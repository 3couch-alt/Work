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ce Calculator" sheetId="1" state="visible" r:id="rId3"/>
    <sheet name="Settings" sheetId="2" state="visible" r:id="rId4"/>
    <sheet name="How to Use"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Any name that helps you tell items apart.</t>
        </r>
      </text>
    </comment>
    <comment ref="A5" authorId="0">
      <text>
        <r>
          <rPr>
            <sz val="10"/>
            <rFont val="Arial"/>
            <family val="2"/>
          </rPr>
          <t xml:space="preserve">Example values - type over these rows with your own items.</t>
        </r>
      </text>
    </comment>
    <comment ref="B4" authorId="0">
      <text>
        <r>
          <rPr>
            <sz val="10"/>
            <rFont val="Arial"/>
            <family val="2"/>
          </rPr>
          <t xml:space="preserve">Pick from the dropdown: Single color, Multicolor or Painted. Blank is priced as Single color.</t>
        </r>
      </text>
    </comment>
    <comment ref="C4" authorId="0">
      <text>
        <r>
          <rPr>
            <sz val="10"/>
            <rFont val="Arial"/>
            <family val="2"/>
          </rPr>
          <t xml:space="preserve">Total grams from Bambu Studio after slicing. For multicolor, include flushed/purged filament.</t>
        </r>
      </text>
    </comment>
    <comment ref="D4" authorId="0">
      <text>
        <r>
          <rPr>
            <sz val="10"/>
            <rFont val="Arial"/>
            <family val="2"/>
          </rPr>
          <t xml:space="preserve">Print time from Bambu Studio, in hours (e.g. 8.5).</t>
        </r>
      </text>
    </comment>
    <comment ref="E4" authorId="0">
      <text>
        <r>
          <rPr>
            <sz val="10"/>
            <rFont val="Arial"/>
            <family val="2"/>
          </rPr>
          <t xml:space="preserve">Hands-on minutes for supports, sanding, assembly and packing. Blank = default from Settings; 0 = none.</t>
        </r>
      </text>
    </comment>
    <comment ref="F4" authorId="0">
      <text>
        <r>
          <rPr>
            <sz val="10"/>
            <rFont val="Arial"/>
            <family val="2"/>
          </rPr>
          <t xml:space="preserve">Hands-on painting hours. Blank = none.</t>
        </r>
      </text>
    </comment>
    <comment ref="G4" authorId="0">
      <text>
        <r>
          <rPr>
            <sz val="10"/>
            <rFont val="Arial"/>
            <family val="2"/>
          </rPr>
          <t xml:space="preserve">Primer, paint and clear coat used on this item. Blank = the Settings default for 'Painted' items, otherwise none.</t>
        </r>
      </text>
    </comment>
    <comment ref="H4" authorId="0">
      <text>
        <r>
          <rPr>
            <sz val="10"/>
            <rFont val="Arial"/>
            <family val="2"/>
          </rPr>
          <t xml:space="preserve">Anything else that goes with the item: strap, magnets, key ring, LED, inserts. Blank = none.</t>
        </r>
      </text>
    </comment>
    <comment ref="I4" authorId="0">
      <text>
        <r>
          <rPr>
            <sz val="10"/>
            <rFont val="Arial"/>
            <family val="2"/>
          </rPr>
          <t xml:space="preserve">Box or mailer, padding, label. Blank = default from Settings; 0 = none.</t>
        </r>
      </text>
    </comment>
    <comment ref="J4" authorId="0">
      <text>
        <r>
          <rPr>
            <sz val="10"/>
            <rFont val="Arial"/>
            <family val="2"/>
          </rPr>
          <t xml:space="preserve">Use a different markup for this item (e.g. 3 for small cheap items). Blank = the markup for its version.</t>
        </r>
      </text>
    </comment>
    <comment ref="K4" authorId="0">
      <text>
        <r>
          <rPr>
            <sz val="10"/>
            <rFont val="Arial"/>
            <family val="2"/>
          </rPr>
          <t xml:space="preserve">Filament (g) x filament cost per gram.</t>
        </r>
      </text>
    </comment>
    <comment ref="L4" authorId="0">
      <text>
        <r>
          <rPr>
            <sz val="10"/>
            <rFont val="Arial"/>
            <family val="2"/>
          </rPr>
          <t xml:space="preserve">Print hours x machine rate.</t>
        </r>
      </text>
    </comment>
    <comment ref="M4" authorId="0">
      <text>
        <r>
          <rPr>
            <sz val="10"/>
            <rFont val="Arial"/>
            <family val="2"/>
          </rPr>
          <t xml:space="preserve">(Material + machine time) x failure buffer %.</t>
        </r>
      </text>
    </comment>
    <comment ref="N4" authorId="0">
      <text>
        <r>
          <rPr>
            <sz val="10"/>
            <rFont val="Arial"/>
            <family val="2"/>
          </rPr>
          <t xml:space="preserve">(Cleanup minutes / 60 + painting hours) x your labor rate.</t>
        </r>
      </text>
    </comment>
    <comment ref="O4" authorId="0">
      <text>
        <r>
          <rPr>
            <sz val="10"/>
            <rFont val="Arial"/>
            <family val="2"/>
          </rPr>
          <t xml:space="preserve">Paint supplies + hardware/extras + packaging.</t>
        </r>
      </text>
    </comment>
    <comment ref="P4" authorId="0">
      <text>
        <r>
          <rPr>
            <sz val="10"/>
            <rFont val="Arial"/>
            <family val="2"/>
          </rPr>
          <t xml:space="preserve">Everything it costs you to make and pack one item.</t>
        </r>
      </text>
    </comment>
    <comment ref="Q4" authorId="0">
      <text>
        <r>
          <rPr>
            <sz val="10"/>
            <rFont val="Arial"/>
            <family val="2"/>
          </rPr>
          <t xml:space="preserve">The override if you entered one, otherwise the version's markup from Settings.</t>
        </r>
      </text>
    </comment>
    <comment ref="R4" authorId="0">
      <text>
        <r>
          <rPr>
            <sz val="10"/>
            <rFont val="Arial"/>
            <family val="2"/>
          </rPr>
          <t xml:space="preserve">Total cost x markup.</t>
        </r>
      </text>
    </comment>
    <comment ref="S4" authorId="0">
      <text>
        <r>
          <rPr>
            <sz val="10"/>
            <rFont val="Arial"/>
            <family val="2"/>
          </rPr>
          <t xml:space="preserve">Price to list at: covers selling fees so you still get your target, rounded up.</t>
        </r>
      </text>
    </comment>
    <comment ref="T4" authorId="0">
      <text>
        <r>
          <rPr>
            <sz val="10"/>
            <rFont val="Arial"/>
            <family val="2"/>
          </rPr>
          <t xml:space="preserve">What Etsy (or your platform) takes from the list price.</t>
        </r>
      </text>
    </comment>
    <comment ref="U4" authorId="0">
      <text>
        <r>
          <rPr>
            <sz val="10"/>
            <rFont val="Arial"/>
            <family val="2"/>
          </rPr>
          <t xml:space="preserve">Left over after costs and fees - on top of paying yourself your labor rate.</t>
        </r>
      </text>
    </comment>
    <comment ref="V4" authorId="0">
      <text>
        <r>
          <rPr>
            <sz val="10"/>
            <rFont val="Arial"/>
            <family val="2"/>
          </rPr>
          <t xml:space="preserve">Profit / print hours. Higher = better use of your printer's time.</t>
        </r>
      </text>
    </comment>
    <comment ref="W4" authorId="0">
      <text>
        <r>
          <rPr>
            <sz val="10"/>
            <rFont val="Arial"/>
            <family val="2"/>
          </rPr>
          <t xml:space="preserve">Anything you want to remember: comparable listings, colors, buyer requests.</t>
        </r>
      </text>
    </comment>
  </commentList>
</comments>
</file>

<file path=xl/sharedStrings.xml><?xml version="1.0" encoding="utf-8"?>
<sst xmlns="http://schemas.openxmlformats.org/spreadsheetml/2006/main" count="95" uniqueCount="90">
  <si>
    <t xml:space="preserve">3D Print Price Calculator</t>
  </si>
  <si>
    <t xml:space="preserve">One row per item. Fill in the yellow cells: name, version, grams and print hours are needed; the lighter yellow cells are optional - leave them blank to use the defaults on the Settings tab.</t>
  </si>
  <si>
    <t xml:space="preserve">Rows 5-8 are examples - type over them with your own items. Get grams and print time from Bambu Studio after slicing (for multicolor, use the total including flushed filament).</t>
  </si>
  <si>
    <t xml:space="preserve">Item</t>
  </si>
  <si>
    <t xml:space="preserve">Version</t>
  </si>
  <si>
    <t xml:space="preserve">Filament (g)</t>
  </si>
  <si>
    <t xml:space="preserve">Print time (hrs)</t>
  </si>
  <si>
    <t xml:space="preserve">Cleanup (min)</t>
  </si>
  <si>
    <t xml:space="preserve">Painting (hrs)</t>
  </si>
  <si>
    <t xml:space="preserve">Paint supplies ($)</t>
  </si>
  <si>
    <t xml:space="preserve">Hardware / extras ($)</t>
  </si>
  <si>
    <t xml:space="preserve">Packaging ($)</t>
  </si>
  <si>
    <t xml:space="preserve">Markup override</t>
  </si>
  <si>
    <t xml:space="preserve">Material ($)</t>
  </si>
  <si>
    <t xml:space="preserve">Machine time ($)</t>
  </si>
  <si>
    <t xml:space="preserve">Failure buffer ($)</t>
  </si>
  <si>
    <t xml:space="preserve">Labor ($)</t>
  </si>
  <si>
    <t xml:space="preserve">Supplies &amp; packaging ($)</t>
  </si>
  <si>
    <t xml:space="preserve">Total cost ($)</t>
  </si>
  <si>
    <t xml:space="preserve">Markup used</t>
  </si>
  <si>
    <t xml:space="preserve">Target price before fees ($)</t>
  </si>
  <si>
    <t xml:space="preserve">LIST PRICE ($)</t>
  </si>
  <si>
    <t xml:space="preserve">Selling fees ($)</t>
  </si>
  <si>
    <t xml:space="preserve">Your profit ($)</t>
  </si>
  <si>
    <t xml:space="preserve">Profit per print hour ($)</t>
  </si>
  <si>
    <t xml:space="preserve">Notes</t>
  </si>
  <si>
    <t xml:space="preserve">Example - Oni mask, single color</t>
  </si>
  <si>
    <t xml:space="preserve">Single color</t>
  </si>
  <si>
    <t xml:space="preserve">Strap $1.50; packaging uses the default</t>
  </si>
  <si>
    <t xml:space="preserve">Example - Oni mask, hand-painted</t>
  </si>
  <si>
    <t xml:space="preserve">Painted</t>
  </si>
  <si>
    <t xml:space="preserve">Paint supplies use the default</t>
  </si>
  <si>
    <t xml:space="preserve">Example - Keychain</t>
  </si>
  <si>
    <t xml:space="preserve">Key ring $0.30; higher markup for a small item</t>
  </si>
  <si>
    <t xml:space="preserve">Example - Desk organizer</t>
  </si>
  <si>
    <t xml:space="preserve">Bigger box for shipping</t>
  </si>
  <si>
    <t xml:space="preserve">Settings - shared costs and defaults for every item</t>
  </si>
  <si>
    <t xml:space="preserve">Yellow cells with blue text are yours to change. Gray cells calculate automatically. Defaults are used when an item's own cell on the Price Calculator is left blank.</t>
  </si>
  <si>
    <t xml:space="preserve">Setting</t>
  </si>
  <si>
    <t xml:space="preserve">Value</t>
  </si>
  <si>
    <t xml:space="preserve">What it means / where the number came from</t>
  </si>
  <si>
    <t xml:space="preserve">Filament spool price ($)</t>
  </si>
  <si>
    <t xml:space="preserve">What you pay for one spool. Starting estimate - change it to your real price.</t>
  </si>
  <si>
    <t xml:space="preserve">Spool weight (g)</t>
  </si>
  <si>
    <t xml:space="preserve">Most spools are 1 kg (1000 g).</t>
  </si>
  <si>
    <t xml:space="preserve">Filament cost per gram ($)</t>
  </si>
  <si>
    <t xml:space="preserve">Calculated: spool price / spool weight.</t>
  </si>
  <si>
    <t xml:space="preserve">Machine rate ($ per print hour)</t>
  </si>
  <si>
    <t xml:space="preserve">Covers electricity (only a few cents an hour on a P2S), nozzle and plate wear, and paying off the printer. Common rule-of-thumb estimate.</t>
  </si>
  <si>
    <t xml:space="preserve">Failure buffer (%)</t>
  </si>
  <si>
    <t xml:space="preserve">Extra added to material + machine cost to cover prints that fail.</t>
  </si>
  <si>
    <t xml:space="preserve">Your labor rate ($/hr)</t>
  </si>
  <si>
    <t xml:space="preserve">What you pay yourself for hands-on work (cleanup and painting).</t>
  </si>
  <si>
    <t xml:space="preserve">Default cleanup time (minutes)</t>
  </si>
  <si>
    <t xml:space="preserve">Used when an item's Cleanup cell is blank: removing supports, sanding, assembly, packing.</t>
  </si>
  <si>
    <t xml:space="preserve">Default paint supplies, painted items ($)</t>
  </si>
  <si>
    <t xml:space="preserve">Used when a 'Painted' item's Paint supplies cell is blank: primer, paint and clear coat.</t>
  </si>
  <si>
    <t xml:space="preserve">Default packaging ($)</t>
  </si>
  <si>
    <t xml:space="preserve">Used when an item's Packaging cell is blank: box or mailer, padding, label.</t>
  </si>
  <si>
    <t xml:space="preserve">Selling fee (%)</t>
  </si>
  <si>
    <t xml:space="preserve">Etsy (US, as of 2025): 6.5% transaction fee + 3% payment processing. Offsite Ads sales cost an extra 12-15%. Set to 0% for cash or in-person sales. Check current fees: https://www.etsy.com/legal/fees/</t>
  </si>
  <si>
    <t xml:space="preserve">Fixed fee per sale ($)</t>
  </si>
  <si>
    <t xml:space="preserve">Etsy (US, as of 2025): $0.20 listing fee + $0.25 payment processing. Set to 0 for in-person sales.</t>
  </si>
  <si>
    <t xml:space="preserve">Round list price up to nearest ($)</t>
  </si>
  <si>
    <t xml:space="preserve">Keeps prices tidy, e.g. $49.78 becomes $50. Use 5 to round to the next $5, or 0 for no rounding.</t>
  </si>
  <si>
    <t xml:space="preserve">Markup by version</t>
  </si>
  <si>
    <t xml:space="preserve">Markup</t>
  </si>
  <si>
    <t xml:space="preserve">Why this multiplier</t>
  </si>
  <si>
    <t xml:space="preserve">One filament, no paint. Starting point; compare with what similar items sell for.</t>
  </si>
  <si>
    <t xml:space="preserve">Multicolor</t>
  </si>
  <si>
    <t xml:space="preserve">Printed in several colors with the AMS - looks finished without paint, so it sells at a premium.</t>
  </si>
  <si>
    <t xml:space="preserve">Lower multiplier because your painting hours are already paid at your labor rate.</t>
  </si>
  <si>
    <t xml:space="preserve">Keep the version names as they are - the calculator's dropdown uses them. Any item can override its markup in the 'Markup override' column.</t>
  </si>
  <si>
    <t xml:space="preserve">The markups were picked against 3D-printed Oni masks on Etsy (unpainted ~$41-65, hand-painted ~$129-175; etsy.com/market/3d_printed_oni_mask, checked Oct 2026). Small, cheap items usually need a higher markup - see the keychain example.</t>
  </si>
  <si>
    <t xml:space="preserve">How to use this calculator</t>
  </si>
  <si>
    <t xml:space="preserve">1. Open the Settings tab and change the yellow cells to match your real costs (spool price, your hourly rate, fees) and your usual cleanup time and packaging.</t>
  </si>
  <si>
    <t xml:space="preserve">2. On the Price Calculator tab, add one row per item: name, version (dropdown), and grams and print time from Bambu Studio.</t>
  </si>
  <si>
    <t xml:space="preserve">3. Fill in the lighter yellow cells only where an item is different: its own cleanup time, painting hours, paint supplies, hardware (straps, magnets, key rings), packaging, or a different markup. Blank cells use the defaults on the Settings tab; type 0 for none.</t>
  </si>
  <si>
    <t xml:space="preserve">4. The green LIST PRICE column is what to list it for. It already covers Etsy's fees.</t>
  </si>
  <si>
    <t xml:space="preserve">5. Compare that price with similar items on Etsy. If yours is much higher, lower the markup (per item with Markup override, or per version on the Settings tab) or find ways to cut print or hands-on time.</t>
  </si>
  <si>
    <t xml:space="preserve">6. Use 'Profit per print hour' to see which items make the best use of your printer.</t>
  </si>
  <si>
    <t xml:space="preserve">Tips</t>
  </si>
  <si>
    <t xml:space="preserve">- Time yourself on your first few painted pieces and use real hours - painting is usually the biggest cost.</t>
  </si>
  <si>
    <t xml:space="preserve">- Small, cheap prints (keychains, magnets) usually need a markup of 3x or more, because your hands-on time and fees are a big share of the price.</t>
  </si>
  <si>
    <t xml:space="preserve">- Selling in person or with cash? Set the selling fee % and fixed fee to 0 on the Settings tab.</t>
  </si>
  <si>
    <t xml:space="preserve">- 'Your profit' is extra money after paying yourself your labor rate for cleanup and painting.</t>
  </si>
  <si>
    <t xml:space="preserve">- Red numbers in the profit columns mean that item loses money at the current settings.</t>
  </si>
  <si>
    <t xml:space="preserve">- Check the model's license allows selling prints before you list it.</t>
  </si>
  <si>
    <t xml:space="preserve">Cell colors</t>
  </si>
  <si>
    <t xml:space="preserve">Yellow with blue text = needed input. Lighter yellow = optional input (blank uses the defaults). Green = the price to list. White/gray = calculated, don't type here.</t>
  </si>
</sst>
</file>

<file path=xl/styles.xml><?xml version="1.0" encoding="utf-8"?>
<styleSheet xmlns="http://schemas.openxmlformats.org/spreadsheetml/2006/main">
  <numFmts count="7">
    <numFmt numFmtId="164" formatCode="General"/>
    <numFmt numFmtId="165" formatCode="#,##0"/>
    <numFmt numFmtId="166" formatCode="0.0"/>
    <numFmt numFmtId="167" formatCode="\$#,##0.00;&quot;($&quot;#,##0.00\);\-"/>
    <numFmt numFmtId="168" formatCode="0.00\x"/>
    <numFmt numFmtId="169" formatCode="\$#,##0.000"/>
    <numFmt numFmtId="170" formatCode="0.0%;\(0.0%\);\-"/>
  </numFmts>
  <fonts count="13">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55555"/>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b val="true"/>
      <sz val="10"/>
      <color rgb="FF000000"/>
      <name val="Arial"/>
      <family val="0"/>
      <charset val="1"/>
    </font>
    <font>
      <sz val="10"/>
      <name val="Arial"/>
      <family val="2"/>
    </font>
    <font>
      <sz val="10"/>
      <color rgb="FF555555"/>
      <name val="Arial"/>
      <family val="0"/>
      <charset val="1"/>
    </font>
    <font>
      <b val="true"/>
      <sz val="12"/>
      <color rgb="FF000000"/>
      <name val="Arial"/>
      <family val="0"/>
      <charset val="1"/>
    </font>
  </fonts>
  <fills count="8">
    <fill>
      <patternFill patternType="none"/>
    </fill>
    <fill>
      <patternFill patternType="gray125"/>
    </fill>
    <fill>
      <patternFill patternType="solid">
        <fgColor rgb="FF1F2937"/>
        <bgColor rgb="FF333300"/>
      </patternFill>
    </fill>
    <fill>
      <patternFill patternType="solid">
        <fgColor rgb="FF4B5563"/>
        <bgColor rgb="FF555555"/>
      </patternFill>
    </fill>
    <fill>
      <patternFill patternType="solid">
        <fgColor rgb="FFFFF2CC"/>
        <bgColor rgb="FFFFF9E6"/>
      </patternFill>
    </fill>
    <fill>
      <patternFill patternType="solid">
        <fgColor rgb="FFFFF9E6"/>
        <bgColor rgb="FFFFFFFF"/>
      </patternFill>
    </fill>
    <fill>
      <patternFill patternType="solid">
        <fgColor rgb="FFDCFCE7"/>
        <bgColor rgb="FFCCFFCC"/>
      </patternFill>
    </fill>
    <fill>
      <patternFill patternType="solid">
        <fgColor rgb="FFE5E7EB"/>
        <bgColor rgb="FFDCFCE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8" fontId="7" fillId="5"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7" fontId="9" fillId="6"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7" fontId="7" fillId="4"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false" indent="0" shrinkToFit="false"/>
      <protection locked="true" hidden="false"/>
    </xf>
    <xf numFmtId="169" fontId="8" fillId="7" borderId="1" xfId="0" applyFont="true" applyBorder="true" applyAlignment="true" applyProtection="false">
      <alignment horizontal="general" vertical="top" textRotation="0" wrapText="false" indent="0" shrinkToFit="false"/>
      <protection locked="true" hidden="false"/>
    </xf>
    <xf numFmtId="170" fontId="7" fillId="4"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7" fillId="4" borderId="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5E7EB"/>
      <rgbColor rgb="FFCCFFCC"/>
      <rgbColor rgb="FFFFF2CC"/>
      <rgbColor rgb="FF99CCFF"/>
      <rgbColor rgb="FFFF99CC"/>
      <rgbColor rgb="FFCC99FF"/>
      <rgbColor rgb="FFFFCC99"/>
      <rgbColor rgb="FF3366FF"/>
      <rgbColor rgb="FF33CCCC"/>
      <rgbColor rgb="FF99CC00"/>
      <rgbColor rgb="FFFFCC00"/>
      <rgbColor rgb="FFFF9900"/>
      <rgbColor rgb="FFFF6600"/>
      <rgbColor rgb="FF4B5563"/>
      <rgbColor rgb="FF969696"/>
      <rgbColor rgb="FF003366"/>
      <rgbColor rgb="FF339966"/>
      <rgbColor rgb="FF003300"/>
      <rgbColor rgb="FF333300"/>
      <rgbColor rgb="FF993300"/>
      <rgbColor rgb="FF993366"/>
      <rgbColor rgb="FF555555"/>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1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30"/>
    <col collapsed="false" customWidth="true" hidden="false" outlineLevel="0" max="2" min="2" style="0" width="13"/>
    <col collapsed="false" customWidth="true" hidden="false" outlineLevel="0" max="7" min="3" style="0" width="10"/>
    <col collapsed="false" customWidth="true" hidden="false" outlineLevel="0" max="8" min="8" style="0" width="11"/>
    <col collapsed="false" customWidth="true" hidden="false" outlineLevel="0" max="14" min="9" style="0" width="10"/>
    <col collapsed="false" customWidth="true" hidden="false" outlineLevel="0" max="16" min="15" style="0" width="11"/>
    <col collapsed="false" customWidth="true" hidden="false" outlineLevel="0" max="17" min="17" style="0" width="9"/>
    <col collapsed="false" customWidth="true" hidden="false" outlineLevel="0" max="19" min="18" style="0" width="12"/>
    <col collapsed="false" customWidth="true" hidden="false" outlineLevel="0" max="20" min="20" style="0" width="10"/>
    <col collapsed="false" customWidth="true" hidden="false" outlineLevel="0" max="22" min="21" style="0" width="11"/>
    <col collapsed="false" customWidth="true" hidden="false" outlineLevel="0" max="23" min="23" style="0" width="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43.5" hidden="false" customHeight="true" outlineLevel="0" collapsed="false">
      <c r="A4" s="3" t="s">
        <v>3</v>
      </c>
      <c r="B4" s="3" t="s">
        <v>4</v>
      </c>
      <c r="C4" s="3" t="s">
        <v>5</v>
      </c>
      <c r="D4" s="3" t="s">
        <v>6</v>
      </c>
      <c r="E4" s="4" t="s">
        <v>7</v>
      </c>
      <c r="F4" s="4" t="s">
        <v>8</v>
      </c>
      <c r="G4" s="4" t="s">
        <v>9</v>
      </c>
      <c r="H4" s="4" t="s">
        <v>10</v>
      </c>
      <c r="I4" s="4" t="s">
        <v>11</v>
      </c>
      <c r="J4" s="4" t="s">
        <v>12</v>
      </c>
      <c r="K4" s="3" t="s">
        <v>13</v>
      </c>
      <c r="L4" s="3" t="s">
        <v>14</v>
      </c>
      <c r="M4" s="3" t="s">
        <v>15</v>
      </c>
      <c r="N4" s="3" t="s">
        <v>16</v>
      </c>
      <c r="O4" s="3" t="s">
        <v>17</v>
      </c>
      <c r="P4" s="3" t="s">
        <v>18</v>
      </c>
      <c r="Q4" s="3" t="s">
        <v>19</v>
      </c>
      <c r="R4" s="3" t="s">
        <v>20</v>
      </c>
      <c r="S4" s="3" t="s">
        <v>21</v>
      </c>
      <c r="T4" s="3" t="s">
        <v>22</v>
      </c>
      <c r="U4" s="3" t="s">
        <v>23</v>
      </c>
      <c r="V4" s="3" t="s">
        <v>24</v>
      </c>
      <c r="W4" s="4" t="s">
        <v>25</v>
      </c>
    </row>
    <row r="5" customFormat="false" ht="15" hidden="false" customHeight="false" outlineLevel="0" collapsed="false">
      <c r="A5" s="5" t="s">
        <v>26</v>
      </c>
      <c r="B5" s="5" t="s">
        <v>27</v>
      </c>
      <c r="C5" s="6" t="n">
        <v>200</v>
      </c>
      <c r="D5" s="7" t="n">
        <v>8</v>
      </c>
      <c r="E5" s="8" t="n">
        <v>30</v>
      </c>
      <c r="F5" s="9"/>
      <c r="G5" s="10"/>
      <c r="H5" s="10" t="n">
        <v>1.5</v>
      </c>
      <c r="I5" s="10"/>
      <c r="J5" s="11"/>
      <c r="K5" s="12" t="n">
        <f aca="false">IF(COUNT($C5:$D5)&lt;2,"",$C5*Settings!$B$7)</f>
        <v>4</v>
      </c>
      <c r="L5" s="12" t="n">
        <f aca="false">IF(COUNT($C5:$D5)&lt;2,"",$D5*Settings!$B$8)</f>
        <v>4</v>
      </c>
      <c r="M5" s="12" t="n">
        <f aca="false">IF(COUNT($C5:$D5)&lt;2,"",($K5+$L5)*Settings!$B$9)</f>
        <v>0.8</v>
      </c>
      <c r="N5" s="12" t="n">
        <f aca="false">IF(COUNT($C5:$D5)&lt;2,"",(IF($E5="",Settings!$B$11,$E5)/60+N($F5))*Settings!$B$10)</f>
        <v>10</v>
      </c>
      <c r="O5" s="12" t="n">
        <f aca="false">IF(COUNT($C5:$D5)&lt;2,"",IF($G5="",IF($B5="Painted",Settings!$B$12,0),$G5)+N($H5)+IF($I5="",Settings!$B$13,$I5))</f>
        <v>3.5</v>
      </c>
      <c r="P5" s="12" t="n">
        <f aca="false">IF(COUNT($C5:$D5)&lt;2,"",SUM($K5:$O5))</f>
        <v>22.3</v>
      </c>
      <c r="Q5" s="13" t="n">
        <f aca="false">IF(COUNT($C5:$D5)&lt;2,"",IF($J5&lt;&gt;"",$J5,IF($B5="",Settings!$B$20,IFERROR(INDEX(Settings!$B$20:$B$22,MATCH($B5,Settings!$A$20:$A$22,0)),""))))</f>
        <v>2</v>
      </c>
      <c r="R5" s="12" t="n">
        <f aca="false">IF(OR($P5="",$Q5=""),"",$P5*$Q5)</f>
        <v>44.6</v>
      </c>
      <c r="S5" s="14" t="n">
        <f aca="false">IF($R5="","",IF(Settings!$B$16&gt;0,CEILING(($R5+Settings!$B$15)/(1-Settings!$B$14),Settings!$B$16),($R5+Settings!$B$15)/(1-Settings!$B$14)))</f>
        <v>50</v>
      </c>
      <c r="T5" s="12" t="n">
        <f aca="false">IF($S5="","",$S5*Settings!$B$14+Settings!$B$15)</f>
        <v>5.2</v>
      </c>
      <c r="U5" s="12" t="n">
        <f aca="false">IF($S5="","",$S5-$T5-$P5)</f>
        <v>22.5</v>
      </c>
      <c r="V5" s="12" t="n">
        <f aca="false">IF(OR($U5="",N($D5)&lt;=0),"",$U5/$D5)</f>
        <v>2.8125</v>
      </c>
      <c r="W5" s="15" t="s">
        <v>28</v>
      </c>
    </row>
    <row r="6" customFormat="false" ht="15" hidden="false" customHeight="false" outlineLevel="0" collapsed="false">
      <c r="A6" s="5" t="s">
        <v>29</v>
      </c>
      <c r="B6" s="5" t="s">
        <v>30</v>
      </c>
      <c r="C6" s="6" t="n">
        <v>230</v>
      </c>
      <c r="D6" s="7" t="n">
        <v>15</v>
      </c>
      <c r="E6" s="8" t="n">
        <v>30</v>
      </c>
      <c r="F6" s="9" t="n">
        <v>3</v>
      </c>
      <c r="G6" s="10"/>
      <c r="H6" s="10" t="n">
        <v>1.5</v>
      </c>
      <c r="I6" s="10"/>
      <c r="J6" s="11"/>
      <c r="K6" s="12" t="n">
        <f aca="false">IF(COUNT($C6:$D6)&lt;2,"",$C6*Settings!$B$7)</f>
        <v>4.6</v>
      </c>
      <c r="L6" s="12" t="n">
        <f aca="false">IF(COUNT($C6:$D6)&lt;2,"",$D6*Settings!$B$8)</f>
        <v>7.5</v>
      </c>
      <c r="M6" s="12" t="n">
        <f aca="false">IF(COUNT($C6:$D6)&lt;2,"",($K6+$L6)*Settings!$B$9)</f>
        <v>1.21</v>
      </c>
      <c r="N6" s="12" t="n">
        <f aca="false">IF(COUNT($C6:$D6)&lt;2,"",(IF($E6="",Settings!$B$11,$E6)/60+N($F6))*Settings!$B$10)</f>
        <v>70</v>
      </c>
      <c r="O6" s="12" t="n">
        <f aca="false">IF(COUNT($C6:$D6)&lt;2,"",IF($G6="",IF($B6="Painted",Settings!$B$12,0),$G6)+N($H6)+IF($I6="",Settings!$B$13,$I6))</f>
        <v>8.5</v>
      </c>
      <c r="P6" s="12" t="n">
        <f aca="false">IF(COUNT($C6:$D6)&lt;2,"",SUM($K6:$O6))</f>
        <v>91.81</v>
      </c>
      <c r="Q6" s="13" t="n">
        <f aca="false">IF(COUNT($C6:$D6)&lt;2,"",IF($J6&lt;&gt;"",$J6,IF($B6="",Settings!$B$20,IFERROR(INDEX(Settings!$B$20:$B$22,MATCH($B6,Settings!$A$20:$A$22,0)),""))))</f>
        <v>1.5</v>
      </c>
      <c r="R6" s="12" t="n">
        <f aca="false">IF(OR($P6="",$Q6=""),"",$P6*$Q6)</f>
        <v>137.715</v>
      </c>
      <c r="S6" s="14" t="n">
        <f aca="false">IF($R6="","",IF(Settings!$B$16&gt;0,CEILING(($R6+Settings!$B$15)/(1-Settings!$B$14),Settings!$B$16),($R6+Settings!$B$15)/(1-Settings!$B$14)))</f>
        <v>153</v>
      </c>
      <c r="T6" s="12" t="n">
        <f aca="false">IF($S6="","",$S6*Settings!$B$14+Settings!$B$15)</f>
        <v>14.985</v>
      </c>
      <c r="U6" s="12" t="n">
        <f aca="false">IF($S6="","",$S6-$T6-$P6)</f>
        <v>46.205</v>
      </c>
      <c r="V6" s="12" t="n">
        <f aca="false">IF(OR($U6="",N($D6)&lt;=0),"",$U6/$D6)</f>
        <v>3.08033333333333</v>
      </c>
      <c r="W6" s="15" t="s">
        <v>31</v>
      </c>
    </row>
    <row r="7" customFormat="false" ht="15" hidden="false" customHeight="false" outlineLevel="0" collapsed="false">
      <c r="A7" s="5" t="s">
        <v>32</v>
      </c>
      <c r="B7" s="5" t="s">
        <v>27</v>
      </c>
      <c r="C7" s="6" t="n">
        <v>8</v>
      </c>
      <c r="D7" s="7" t="n">
        <v>0.5</v>
      </c>
      <c r="E7" s="8" t="n">
        <v>5</v>
      </c>
      <c r="F7" s="9"/>
      <c r="G7" s="10"/>
      <c r="H7" s="10" t="n">
        <v>0.3</v>
      </c>
      <c r="I7" s="10" t="n">
        <v>0.5</v>
      </c>
      <c r="J7" s="11" t="n">
        <v>3</v>
      </c>
      <c r="K7" s="12" t="n">
        <f aca="false">IF(COUNT($C7:$D7)&lt;2,"",$C7*Settings!$B$7)</f>
        <v>0.16</v>
      </c>
      <c r="L7" s="12" t="n">
        <f aca="false">IF(COUNT($C7:$D7)&lt;2,"",$D7*Settings!$B$8)</f>
        <v>0.25</v>
      </c>
      <c r="M7" s="12" t="n">
        <f aca="false">IF(COUNT($C7:$D7)&lt;2,"",($K7+$L7)*Settings!$B$9)</f>
        <v>0.041</v>
      </c>
      <c r="N7" s="12" t="n">
        <f aca="false">IF(COUNT($C7:$D7)&lt;2,"",(IF($E7="",Settings!$B$11,$E7)/60+N($F7))*Settings!$B$10)</f>
        <v>1.66666666666667</v>
      </c>
      <c r="O7" s="12" t="n">
        <f aca="false">IF(COUNT($C7:$D7)&lt;2,"",IF($G7="",IF($B7="Painted",Settings!$B$12,0),$G7)+N($H7)+IF($I7="",Settings!$B$13,$I7))</f>
        <v>0.8</v>
      </c>
      <c r="P7" s="12" t="n">
        <f aca="false">IF(COUNT($C7:$D7)&lt;2,"",SUM($K7:$O7))</f>
        <v>2.91766666666667</v>
      </c>
      <c r="Q7" s="13" t="n">
        <f aca="false">IF(COUNT($C7:$D7)&lt;2,"",IF($J7&lt;&gt;"",$J7,IF($B7="",Settings!$B$20,IFERROR(INDEX(Settings!$B$20:$B$22,MATCH($B7,Settings!$A$20:$A$22,0)),""))))</f>
        <v>3</v>
      </c>
      <c r="R7" s="12" t="n">
        <f aca="false">IF(OR($P7="",$Q7=""),"",$P7*$Q7)</f>
        <v>8.753</v>
      </c>
      <c r="S7" s="14" t="n">
        <f aca="false">IF($R7="","",IF(Settings!$B$16&gt;0,CEILING(($R7+Settings!$B$15)/(1-Settings!$B$14),Settings!$B$16),($R7+Settings!$B$15)/(1-Settings!$B$14)))</f>
        <v>11</v>
      </c>
      <c r="T7" s="12" t="n">
        <f aca="false">IF($S7="","",$S7*Settings!$B$14+Settings!$B$15)</f>
        <v>1.495</v>
      </c>
      <c r="U7" s="12" t="n">
        <f aca="false">IF($S7="","",$S7-$T7-$P7)</f>
        <v>6.58733333333333</v>
      </c>
      <c r="V7" s="12" t="n">
        <f aca="false">IF(OR($U7="",N($D7)&lt;=0),"",$U7/$D7)</f>
        <v>13.1746666666667</v>
      </c>
      <c r="W7" s="15" t="s">
        <v>33</v>
      </c>
    </row>
    <row r="8" customFormat="false" ht="15" hidden="false" customHeight="false" outlineLevel="0" collapsed="false">
      <c r="A8" s="5" t="s">
        <v>34</v>
      </c>
      <c r="B8" s="5" t="s">
        <v>27</v>
      </c>
      <c r="C8" s="6" t="n">
        <v>245</v>
      </c>
      <c r="D8" s="7" t="n">
        <v>9</v>
      </c>
      <c r="E8" s="8" t="n">
        <v>20</v>
      </c>
      <c r="F8" s="9"/>
      <c r="G8" s="10"/>
      <c r="H8" s="10"/>
      <c r="I8" s="10" t="n">
        <v>3</v>
      </c>
      <c r="J8" s="11"/>
      <c r="K8" s="12" t="n">
        <f aca="false">IF(COUNT($C8:$D8)&lt;2,"",$C8*Settings!$B$7)</f>
        <v>4.9</v>
      </c>
      <c r="L8" s="12" t="n">
        <f aca="false">IF(COUNT($C8:$D8)&lt;2,"",$D8*Settings!$B$8)</f>
        <v>4.5</v>
      </c>
      <c r="M8" s="12" t="n">
        <f aca="false">IF(COUNT($C8:$D8)&lt;2,"",($K8+$L8)*Settings!$B$9)</f>
        <v>0.94</v>
      </c>
      <c r="N8" s="12" t="n">
        <f aca="false">IF(COUNT($C8:$D8)&lt;2,"",(IF($E8="",Settings!$B$11,$E8)/60+N($F8))*Settings!$B$10)</f>
        <v>6.66666666666667</v>
      </c>
      <c r="O8" s="12" t="n">
        <f aca="false">IF(COUNT($C8:$D8)&lt;2,"",IF($G8="",IF($B8="Painted",Settings!$B$12,0),$G8)+N($H8)+IF($I8="",Settings!$B$13,$I8))</f>
        <v>3</v>
      </c>
      <c r="P8" s="12" t="n">
        <f aca="false">IF(COUNT($C8:$D8)&lt;2,"",SUM($K8:$O8))</f>
        <v>20.0066666666667</v>
      </c>
      <c r="Q8" s="13" t="n">
        <f aca="false">IF(COUNT($C8:$D8)&lt;2,"",IF($J8&lt;&gt;"",$J8,IF($B8="",Settings!$B$20,IFERROR(INDEX(Settings!$B$20:$B$22,MATCH($B8,Settings!$A$20:$A$22,0)),""))))</f>
        <v>2</v>
      </c>
      <c r="R8" s="12" t="n">
        <f aca="false">IF(OR($P8="",$Q8=""),"",$P8*$Q8)</f>
        <v>40.0133333333333</v>
      </c>
      <c r="S8" s="14" t="n">
        <f aca="false">IF($R8="","",IF(Settings!$B$16&gt;0,CEILING(($R8+Settings!$B$15)/(1-Settings!$B$14),Settings!$B$16),($R8+Settings!$B$15)/(1-Settings!$B$14)))</f>
        <v>45</v>
      </c>
      <c r="T8" s="12" t="n">
        <f aca="false">IF($S8="","",$S8*Settings!$B$14+Settings!$B$15)</f>
        <v>4.725</v>
      </c>
      <c r="U8" s="12" t="n">
        <f aca="false">IF($S8="","",$S8-$T8-$P8)</f>
        <v>20.2683333333333</v>
      </c>
      <c r="V8" s="12" t="n">
        <f aca="false">IF(OR($U8="",N($D8)&lt;=0),"",$U8/$D8)</f>
        <v>2.25203703703704</v>
      </c>
      <c r="W8" s="15" t="s">
        <v>35</v>
      </c>
    </row>
    <row r="9" customFormat="false" ht="15" hidden="false" customHeight="false" outlineLevel="0" collapsed="false">
      <c r="A9" s="5"/>
      <c r="B9" s="5"/>
      <c r="C9" s="6"/>
      <c r="D9" s="7"/>
      <c r="E9" s="8"/>
      <c r="F9" s="9"/>
      <c r="G9" s="10"/>
      <c r="H9" s="10"/>
      <c r="I9" s="10"/>
      <c r="J9" s="11"/>
      <c r="K9" s="12" t="str">
        <f aca="false">IF(COUNT($C9:$D9)&lt;2,"",$C9*Settings!$B$7)</f>
        <v/>
      </c>
      <c r="L9" s="12" t="str">
        <f aca="false">IF(COUNT($C9:$D9)&lt;2,"",$D9*Settings!$B$8)</f>
        <v/>
      </c>
      <c r="M9" s="12" t="str">
        <f aca="false">IF(COUNT($C9:$D9)&lt;2,"",($K9+$L9)*Settings!$B$9)</f>
        <v/>
      </c>
      <c r="N9" s="12" t="str">
        <f aca="false">IF(COUNT($C9:$D9)&lt;2,"",(IF($E9="",Settings!$B$11,$E9)/60+N($F9))*Settings!$B$10)</f>
        <v/>
      </c>
      <c r="O9" s="12" t="str">
        <f aca="false">IF(COUNT($C9:$D9)&lt;2,"",IF($G9="",IF($B9="Painted",Settings!$B$12,0),$G9)+N($H9)+IF($I9="",Settings!$B$13,$I9))</f>
        <v/>
      </c>
      <c r="P9" s="12" t="str">
        <f aca="false">IF(COUNT($C9:$D9)&lt;2,"",SUM($K9:$O9))</f>
        <v/>
      </c>
      <c r="Q9" s="13" t="str">
        <f aca="false">IF(COUNT($C9:$D9)&lt;2,"",IF($J9&lt;&gt;"",$J9,IF($B9="",Settings!$B$20,IFERROR(INDEX(Settings!$B$20:$B$22,MATCH($B9,Settings!$A$20:$A$22,0)),""))))</f>
        <v/>
      </c>
      <c r="R9" s="12" t="str">
        <f aca="false">IF(OR($P9="",$Q9=""),"",$P9*$Q9)</f>
        <v/>
      </c>
      <c r="S9" s="14" t="str">
        <f aca="false">IF($R9="","",IF(Settings!$B$16&gt;0,CEILING(($R9+Settings!$B$15)/(1-Settings!$B$14),Settings!$B$16),($R9+Settings!$B$15)/(1-Settings!$B$14)))</f>
        <v/>
      </c>
      <c r="T9" s="12" t="str">
        <f aca="false">IF($S9="","",$S9*Settings!$B$14+Settings!$B$15)</f>
        <v/>
      </c>
      <c r="U9" s="12" t="str">
        <f aca="false">IF($S9="","",$S9-$T9-$P9)</f>
        <v/>
      </c>
      <c r="V9" s="12" t="str">
        <f aca="false">IF(OR($U9="",N($D9)&lt;=0),"",$U9/$D9)</f>
        <v/>
      </c>
      <c r="W9" s="15"/>
    </row>
    <row r="10" customFormat="false" ht="15" hidden="false" customHeight="false" outlineLevel="0" collapsed="false">
      <c r="A10" s="5"/>
      <c r="B10" s="5"/>
      <c r="C10" s="6"/>
      <c r="D10" s="7"/>
      <c r="E10" s="8"/>
      <c r="F10" s="9"/>
      <c r="G10" s="10"/>
      <c r="H10" s="10"/>
      <c r="I10" s="10"/>
      <c r="J10" s="11"/>
      <c r="K10" s="12" t="str">
        <f aca="false">IF(COUNT($C10:$D10)&lt;2,"",$C10*Settings!$B$7)</f>
        <v/>
      </c>
      <c r="L10" s="12" t="str">
        <f aca="false">IF(COUNT($C10:$D10)&lt;2,"",$D10*Settings!$B$8)</f>
        <v/>
      </c>
      <c r="M10" s="12" t="str">
        <f aca="false">IF(COUNT($C10:$D10)&lt;2,"",($K10+$L10)*Settings!$B$9)</f>
        <v/>
      </c>
      <c r="N10" s="12" t="str">
        <f aca="false">IF(COUNT($C10:$D10)&lt;2,"",(IF($E10="",Settings!$B$11,$E10)/60+N($F10))*Settings!$B$10)</f>
        <v/>
      </c>
      <c r="O10" s="12" t="str">
        <f aca="false">IF(COUNT($C10:$D10)&lt;2,"",IF($G10="",IF($B10="Painted",Settings!$B$12,0),$G10)+N($H10)+IF($I10="",Settings!$B$13,$I10))</f>
        <v/>
      </c>
      <c r="P10" s="12" t="str">
        <f aca="false">IF(COUNT($C10:$D10)&lt;2,"",SUM($K10:$O10))</f>
        <v/>
      </c>
      <c r="Q10" s="13" t="str">
        <f aca="false">IF(COUNT($C10:$D10)&lt;2,"",IF($J10&lt;&gt;"",$J10,IF($B10="",Settings!$B$20,IFERROR(INDEX(Settings!$B$20:$B$22,MATCH($B10,Settings!$A$20:$A$22,0)),""))))</f>
        <v/>
      </c>
      <c r="R10" s="12" t="str">
        <f aca="false">IF(OR($P10="",$Q10=""),"",$P10*$Q10)</f>
        <v/>
      </c>
      <c r="S10" s="14" t="str">
        <f aca="false">IF($R10="","",IF(Settings!$B$16&gt;0,CEILING(($R10+Settings!$B$15)/(1-Settings!$B$14),Settings!$B$16),($R10+Settings!$B$15)/(1-Settings!$B$14)))</f>
        <v/>
      </c>
      <c r="T10" s="12" t="str">
        <f aca="false">IF($S10="","",$S10*Settings!$B$14+Settings!$B$15)</f>
        <v/>
      </c>
      <c r="U10" s="12" t="str">
        <f aca="false">IF($S10="","",$S10-$T10-$P10)</f>
        <v/>
      </c>
      <c r="V10" s="12" t="str">
        <f aca="false">IF(OR($U10="",N($D10)&lt;=0),"",$U10/$D10)</f>
        <v/>
      </c>
      <c r="W10" s="15"/>
    </row>
    <row r="11" customFormat="false" ht="15" hidden="false" customHeight="false" outlineLevel="0" collapsed="false">
      <c r="A11" s="5"/>
      <c r="B11" s="5"/>
      <c r="C11" s="6"/>
      <c r="D11" s="7"/>
      <c r="E11" s="8"/>
      <c r="F11" s="9"/>
      <c r="G11" s="10"/>
      <c r="H11" s="10"/>
      <c r="I11" s="10"/>
      <c r="J11" s="11"/>
      <c r="K11" s="12" t="str">
        <f aca="false">IF(COUNT($C11:$D11)&lt;2,"",$C11*Settings!$B$7)</f>
        <v/>
      </c>
      <c r="L11" s="12" t="str">
        <f aca="false">IF(COUNT($C11:$D11)&lt;2,"",$D11*Settings!$B$8)</f>
        <v/>
      </c>
      <c r="M11" s="12" t="str">
        <f aca="false">IF(COUNT($C11:$D11)&lt;2,"",($K11+$L11)*Settings!$B$9)</f>
        <v/>
      </c>
      <c r="N11" s="12" t="str">
        <f aca="false">IF(COUNT($C11:$D11)&lt;2,"",(IF($E11="",Settings!$B$11,$E11)/60+N($F11))*Settings!$B$10)</f>
        <v/>
      </c>
      <c r="O11" s="12" t="str">
        <f aca="false">IF(COUNT($C11:$D11)&lt;2,"",IF($G11="",IF($B11="Painted",Settings!$B$12,0),$G11)+N($H11)+IF($I11="",Settings!$B$13,$I11))</f>
        <v/>
      </c>
      <c r="P11" s="12" t="str">
        <f aca="false">IF(COUNT($C11:$D11)&lt;2,"",SUM($K11:$O11))</f>
        <v/>
      </c>
      <c r="Q11" s="13" t="str">
        <f aca="false">IF(COUNT($C11:$D11)&lt;2,"",IF($J11&lt;&gt;"",$J11,IF($B11="",Settings!$B$20,IFERROR(INDEX(Settings!$B$20:$B$22,MATCH($B11,Settings!$A$20:$A$22,0)),""))))</f>
        <v/>
      </c>
      <c r="R11" s="12" t="str">
        <f aca="false">IF(OR($P11="",$Q11=""),"",$P11*$Q11)</f>
        <v/>
      </c>
      <c r="S11" s="14" t="str">
        <f aca="false">IF($R11="","",IF(Settings!$B$16&gt;0,CEILING(($R11+Settings!$B$15)/(1-Settings!$B$14),Settings!$B$16),($R11+Settings!$B$15)/(1-Settings!$B$14)))</f>
        <v/>
      </c>
      <c r="T11" s="12" t="str">
        <f aca="false">IF($S11="","",$S11*Settings!$B$14+Settings!$B$15)</f>
        <v/>
      </c>
      <c r="U11" s="12" t="str">
        <f aca="false">IF($S11="","",$S11-$T11-$P11)</f>
        <v/>
      </c>
      <c r="V11" s="12" t="str">
        <f aca="false">IF(OR($U11="",N($D11)&lt;=0),"",$U11/$D11)</f>
        <v/>
      </c>
      <c r="W11" s="15"/>
    </row>
    <row r="12" customFormat="false" ht="15" hidden="false" customHeight="false" outlineLevel="0" collapsed="false">
      <c r="A12" s="5"/>
      <c r="B12" s="5"/>
      <c r="C12" s="6"/>
      <c r="D12" s="7"/>
      <c r="E12" s="8"/>
      <c r="F12" s="9"/>
      <c r="G12" s="10"/>
      <c r="H12" s="10"/>
      <c r="I12" s="10"/>
      <c r="J12" s="11"/>
      <c r="K12" s="12" t="str">
        <f aca="false">IF(COUNT($C12:$D12)&lt;2,"",$C12*Settings!$B$7)</f>
        <v/>
      </c>
      <c r="L12" s="12" t="str">
        <f aca="false">IF(COUNT($C12:$D12)&lt;2,"",$D12*Settings!$B$8)</f>
        <v/>
      </c>
      <c r="M12" s="12" t="str">
        <f aca="false">IF(COUNT($C12:$D12)&lt;2,"",($K12+$L12)*Settings!$B$9)</f>
        <v/>
      </c>
      <c r="N12" s="12" t="str">
        <f aca="false">IF(COUNT($C12:$D12)&lt;2,"",(IF($E12="",Settings!$B$11,$E12)/60+N($F12))*Settings!$B$10)</f>
        <v/>
      </c>
      <c r="O12" s="12" t="str">
        <f aca="false">IF(COUNT($C12:$D12)&lt;2,"",IF($G12="",IF($B12="Painted",Settings!$B$12,0),$G12)+N($H12)+IF($I12="",Settings!$B$13,$I12))</f>
        <v/>
      </c>
      <c r="P12" s="12" t="str">
        <f aca="false">IF(COUNT($C12:$D12)&lt;2,"",SUM($K12:$O12))</f>
        <v/>
      </c>
      <c r="Q12" s="13" t="str">
        <f aca="false">IF(COUNT($C12:$D12)&lt;2,"",IF($J12&lt;&gt;"",$J12,IF($B12="",Settings!$B$20,IFERROR(INDEX(Settings!$B$20:$B$22,MATCH($B12,Settings!$A$20:$A$22,0)),""))))</f>
        <v/>
      </c>
      <c r="R12" s="12" t="str">
        <f aca="false">IF(OR($P12="",$Q12=""),"",$P12*$Q12)</f>
        <v/>
      </c>
      <c r="S12" s="14" t="str">
        <f aca="false">IF($R12="","",IF(Settings!$B$16&gt;0,CEILING(($R12+Settings!$B$15)/(1-Settings!$B$14),Settings!$B$16),($R12+Settings!$B$15)/(1-Settings!$B$14)))</f>
        <v/>
      </c>
      <c r="T12" s="12" t="str">
        <f aca="false">IF($S12="","",$S12*Settings!$B$14+Settings!$B$15)</f>
        <v/>
      </c>
      <c r="U12" s="12" t="str">
        <f aca="false">IF($S12="","",$S12-$T12-$P12)</f>
        <v/>
      </c>
      <c r="V12" s="12" t="str">
        <f aca="false">IF(OR($U12="",N($D12)&lt;=0),"",$U12/$D12)</f>
        <v/>
      </c>
      <c r="W12" s="15"/>
    </row>
    <row r="13" customFormat="false" ht="15" hidden="false" customHeight="false" outlineLevel="0" collapsed="false">
      <c r="A13" s="5"/>
      <c r="B13" s="5"/>
      <c r="C13" s="6"/>
      <c r="D13" s="7"/>
      <c r="E13" s="8"/>
      <c r="F13" s="9"/>
      <c r="G13" s="10"/>
      <c r="H13" s="10"/>
      <c r="I13" s="10"/>
      <c r="J13" s="11"/>
      <c r="K13" s="12" t="str">
        <f aca="false">IF(COUNT($C13:$D13)&lt;2,"",$C13*Settings!$B$7)</f>
        <v/>
      </c>
      <c r="L13" s="12" t="str">
        <f aca="false">IF(COUNT($C13:$D13)&lt;2,"",$D13*Settings!$B$8)</f>
        <v/>
      </c>
      <c r="M13" s="12" t="str">
        <f aca="false">IF(COUNT($C13:$D13)&lt;2,"",($K13+$L13)*Settings!$B$9)</f>
        <v/>
      </c>
      <c r="N13" s="12" t="str">
        <f aca="false">IF(COUNT($C13:$D13)&lt;2,"",(IF($E13="",Settings!$B$11,$E13)/60+N($F13))*Settings!$B$10)</f>
        <v/>
      </c>
      <c r="O13" s="12" t="str">
        <f aca="false">IF(COUNT($C13:$D13)&lt;2,"",IF($G13="",IF($B13="Painted",Settings!$B$12,0),$G13)+N($H13)+IF($I13="",Settings!$B$13,$I13))</f>
        <v/>
      </c>
      <c r="P13" s="12" t="str">
        <f aca="false">IF(COUNT($C13:$D13)&lt;2,"",SUM($K13:$O13))</f>
        <v/>
      </c>
      <c r="Q13" s="13" t="str">
        <f aca="false">IF(COUNT($C13:$D13)&lt;2,"",IF($J13&lt;&gt;"",$J13,IF($B13="",Settings!$B$20,IFERROR(INDEX(Settings!$B$20:$B$22,MATCH($B13,Settings!$A$20:$A$22,0)),""))))</f>
        <v/>
      </c>
      <c r="R13" s="12" t="str">
        <f aca="false">IF(OR($P13="",$Q13=""),"",$P13*$Q13)</f>
        <v/>
      </c>
      <c r="S13" s="14" t="str">
        <f aca="false">IF($R13="","",IF(Settings!$B$16&gt;0,CEILING(($R13+Settings!$B$15)/(1-Settings!$B$14),Settings!$B$16),($R13+Settings!$B$15)/(1-Settings!$B$14)))</f>
        <v/>
      </c>
      <c r="T13" s="12" t="str">
        <f aca="false">IF($S13="","",$S13*Settings!$B$14+Settings!$B$15)</f>
        <v/>
      </c>
      <c r="U13" s="12" t="str">
        <f aca="false">IF($S13="","",$S13-$T13-$P13)</f>
        <v/>
      </c>
      <c r="V13" s="12" t="str">
        <f aca="false">IF(OR($U13="",N($D13)&lt;=0),"",$U13/$D13)</f>
        <v/>
      </c>
      <c r="W13" s="15"/>
    </row>
    <row r="14" customFormat="false" ht="15" hidden="false" customHeight="false" outlineLevel="0" collapsed="false">
      <c r="A14" s="5"/>
      <c r="B14" s="5"/>
      <c r="C14" s="6"/>
      <c r="D14" s="7"/>
      <c r="E14" s="8"/>
      <c r="F14" s="9"/>
      <c r="G14" s="10"/>
      <c r="H14" s="10"/>
      <c r="I14" s="10"/>
      <c r="J14" s="11"/>
      <c r="K14" s="12" t="str">
        <f aca="false">IF(COUNT($C14:$D14)&lt;2,"",$C14*Settings!$B$7)</f>
        <v/>
      </c>
      <c r="L14" s="12" t="str">
        <f aca="false">IF(COUNT($C14:$D14)&lt;2,"",$D14*Settings!$B$8)</f>
        <v/>
      </c>
      <c r="M14" s="12" t="str">
        <f aca="false">IF(COUNT($C14:$D14)&lt;2,"",($K14+$L14)*Settings!$B$9)</f>
        <v/>
      </c>
      <c r="N14" s="12" t="str">
        <f aca="false">IF(COUNT($C14:$D14)&lt;2,"",(IF($E14="",Settings!$B$11,$E14)/60+N($F14))*Settings!$B$10)</f>
        <v/>
      </c>
      <c r="O14" s="12" t="str">
        <f aca="false">IF(COUNT($C14:$D14)&lt;2,"",IF($G14="",IF($B14="Painted",Settings!$B$12,0),$G14)+N($H14)+IF($I14="",Settings!$B$13,$I14))</f>
        <v/>
      </c>
      <c r="P14" s="12" t="str">
        <f aca="false">IF(COUNT($C14:$D14)&lt;2,"",SUM($K14:$O14))</f>
        <v/>
      </c>
      <c r="Q14" s="13" t="str">
        <f aca="false">IF(COUNT($C14:$D14)&lt;2,"",IF($J14&lt;&gt;"",$J14,IF($B14="",Settings!$B$20,IFERROR(INDEX(Settings!$B$20:$B$22,MATCH($B14,Settings!$A$20:$A$22,0)),""))))</f>
        <v/>
      </c>
      <c r="R14" s="12" t="str">
        <f aca="false">IF(OR($P14="",$Q14=""),"",$P14*$Q14)</f>
        <v/>
      </c>
      <c r="S14" s="14" t="str">
        <f aca="false">IF($R14="","",IF(Settings!$B$16&gt;0,CEILING(($R14+Settings!$B$15)/(1-Settings!$B$14),Settings!$B$16),($R14+Settings!$B$15)/(1-Settings!$B$14)))</f>
        <v/>
      </c>
      <c r="T14" s="12" t="str">
        <f aca="false">IF($S14="","",$S14*Settings!$B$14+Settings!$B$15)</f>
        <v/>
      </c>
      <c r="U14" s="12" t="str">
        <f aca="false">IF($S14="","",$S14-$T14-$P14)</f>
        <v/>
      </c>
      <c r="V14" s="12" t="str">
        <f aca="false">IF(OR($U14="",N($D14)&lt;=0),"",$U14/$D14)</f>
        <v/>
      </c>
      <c r="W14" s="15"/>
    </row>
    <row r="15" customFormat="false" ht="15" hidden="false" customHeight="false" outlineLevel="0" collapsed="false">
      <c r="A15" s="5"/>
      <c r="B15" s="5"/>
      <c r="C15" s="6"/>
      <c r="D15" s="7"/>
      <c r="E15" s="8"/>
      <c r="F15" s="9"/>
      <c r="G15" s="10"/>
      <c r="H15" s="10"/>
      <c r="I15" s="10"/>
      <c r="J15" s="11"/>
      <c r="K15" s="12" t="str">
        <f aca="false">IF(COUNT($C15:$D15)&lt;2,"",$C15*Settings!$B$7)</f>
        <v/>
      </c>
      <c r="L15" s="12" t="str">
        <f aca="false">IF(COUNT($C15:$D15)&lt;2,"",$D15*Settings!$B$8)</f>
        <v/>
      </c>
      <c r="M15" s="12" t="str">
        <f aca="false">IF(COUNT($C15:$D15)&lt;2,"",($K15+$L15)*Settings!$B$9)</f>
        <v/>
      </c>
      <c r="N15" s="12" t="str">
        <f aca="false">IF(COUNT($C15:$D15)&lt;2,"",(IF($E15="",Settings!$B$11,$E15)/60+N($F15))*Settings!$B$10)</f>
        <v/>
      </c>
      <c r="O15" s="12" t="str">
        <f aca="false">IF(COUNT($C15:$D15)&lt;2,"",IF($G15="",IF($B15="Painted",Settings!$B$12,0),$G15)+N($H15)+IF($I15="",Settings!$B$13,$I15))</f>
        <v/>
      </c>
      <c r="P15" s="12" t="str">
        <f aca="false">IF(COUNT($C15:$D15)&lt;2,"",SUM($K15:$O15))</f>
        <v/>
      </c>
      <c r="Q15" s="13" t="str">
        <f aca="false">IF(COUNT($C15:$D15)&lt;2,"",IF($J15&lt;&gt;"",$J15,IF($B15="",Settings!$B$20,IFERROR(INDEX(Settings!$B$20:$B$22,MATCH($B15,Settings!$A$20:$A$22,0)),""))))</f>
        <v/>
      </c>
      <c r="R15" s="12" t="str">
        <f aca="false">IF(OR($P15="",$Q15=""),"",$P15*$Q15)</f>
        <v/>
      </c>
      <c r="S15" s="14" t="str">
        <f aca="false">IF($R15="","",IF(Settings!$B$16&gt;0,CEILING(($R15+Settings!$B$15)/(1-Settings!$B$14),Settings!$B$16),($R15+Settings!$B$15)/(1-Settings!$B$14)))</f>
        <v/>
      </c>
      <c r="T15" s="12" t="str">
        <f aca="false">IF($S15="","",$S15*Settings!$B$14+Settings!$B$15)</f>
        <v/>
      </c>
      <c r="U15" s="12" t="str">
        <f aca="false">IF($S15="","",$S15-$T15-$P15)</f>
        <v/>
      </c>
      <c r="V15" s="12" t="str">
        <f aca="false">IF(OR($U15="",N($D15)&lt;=0),"",$U15/$D15)</f>
        <v/>
      </c>
      <c r="W15" s="15"/>
    </row>
    <row r="16" customFormat="false" ht="15" hidden="false" customHeight="false" outlineLevel="0" collapsed="false">
      <c r="A16" s="5"/>
      <c r="B16" s="5"/>
      <c r="C16" s="6"/>
      <c r="D16" s="7"/>
      <c r="E16" s="8"/>
      <c r="F16" s="9"/>
      <c r="G16" s="10"/>
      <c r="H16" s="10"/>
      <c r="I16" s="10"/>
      <c r="J16" s="11"/>
      <c r="K16" s="12" t="str">
        <f aca="false">IF(COUNT($C16:$D16)&lt;2,"",$C16*Settings!$B$7)</f>
        <v/>
      </c>
      <c r="L16" s="12" t="str">
        <f aca="false">IF(COUNT($C16:$D16)&lt;2,"",$D16*Settings!$B$8)</f>
        <v/>
      </c>
      <c r="M16" s="12" t="str">
        <f aca="false">IF(COUNT($C16:$D16)&lt;2,"",($K16+$L16)*Settings!$B$9)</f>
        <v/>
      </c>
      <c r="N16" s="12" t="str">
        <f aca="false">IF(COUNT($C16:$D16)&lt;2,"",(IF($E16="",Settings!$B$11,$E16)/60+N($F16))*Settings!$B$10)</f>
        <v/>
      </c>
      <c r="O16" s="12" t="str">
        <f aca="false">IF(COUNT($C16:$D16)&lt;2,"",IF($G16="",IF($B16="Painted",Settings!$B$12,0),$G16)+N($H16)+IF($I16="",Settings!$B$13,$I16))</f>
        <v/>
      </c>
      <c r="P16" s="12" t="str">
        <f aca="false">IF(COUNT($C16:$D16)&lt;2,"",SUM($K16:$O16))</f>
        <v/>
      </c>
      <c r="Q16" s="13" t="str">
        <f aca="false">IF(COUNT($C16:$D16)&lt;2,"",IF($J16&lt;&gt;"",$J16,IF($B16="",Settings!$B$20,IFERROR(INDEX(Settings!$B$20:$B$22,MATCH($B16,Settings!$A$20:$A$22,0)),""))))</f>
        <v/>
      </c>
      <c r="R16" s="12" t="str">
        <f aca="false">IF(OR($P16="",$Q16=""),"",$P16*$Q16)</f>
        <v/>
      </c>
      <c r="S16" s="14" t="str">
        <f aca="false">IF($R16="","",IF(Settings!$B$16&gt;0,CEILING(($R16+Settings!$B$15)/(1-Settings!$B$14),Settings!$B$16),($R16+Settings!$B$15)/(1-Settings!$B$14)))</f>
        <v/>
      </c>
      <c r="T16" s="12" t="str">
        <f aca="false">IF($S16="","",$S16*Settings!$B$14+Settings!$B$15)</f>
        <v/>
      </c>
      <c r="U16" s="12" t="str">
        <f aca="false">IF($S16="","",$S16-$T16-$P16)</f>
        <v/>
      </c>
      <c r="V16" s="12" t="str">
        <f aca="false">IF(OR($U16="",N($D16)&lt;=0),"",$U16/$D16)</f>
        <v/>
      </c>
      <c r="W16" s="15"/>
    </row>
    <row r="17" customFormat="false" ht="15" hidden="false" customHeight="false" outlineLevel="0" collapsed="false">
      <c r="A17" s="5"/>
      <c r="B17" s="5"/>
      <c r="C17" s="6"/>
      <c r="D17" s="7"/>
      <c r="E17" s="8"/>
      <c r="F17" s="9"/>
      <c r="G17" s="10"/>
      <c r="H17" s="10"/>
      <c r="I17" s="10"/>
      <c r="J17" s="11"/>
      <c r="K17" s="12" t="str">
        <f aca="false">IF(COUNT($C17:$D17)&lt;2,"",$C17*Settings!$B$7)</f>
        <v/>
      </c>
      <c r="L17" s="12" t="str">
        <f aca="false">IF(COUNT($C17:$D17)&lt;2,"",$D17*Settings!$B$8)</f>
        <v/>
      </c>
      <c r="M17" s="12" t="str">
        <f aca="false">IF(COUNT($C17:$D17)&lt;2,"",($K17+$L17)*Settings!$B$9)</f>
        <v/>
      </c>
      <c r="N17" s="12" t="str">
        <f aca="false">IF(COUNT($C17:$D17)&lt;2,"",(IF($E17="",Settings!$B$11,$E17)/60+N($F17))*Settings!$B$10)</f>
        <v/>
      </c>
      <c r="O17" s="12" t="str">
        <f aca="false">IF(COUNT($C17:$D17)&lt;2,"",IF($G17="",IF($B17="Painted",Settings!$B$12,0),$G17)+N($H17)+IF($I17="",Settings!$B$13,$I17))</f>
        <v/>
      </c>
      <c r="P17" s="12" t="str">
        <f aca="false">IF(COUNT($C17:$D17)&lt;2,"",SUM($K17:$O17))</f>
        <v/>
      </c>
      <c r="Q17" s="13" t="str">
        <f aca="false">IF(COUNT($C17:$D17)&lt;2,"",IF($J17&lt;&gt;"",$J17,IF($B17="",Settings!$B$20,IFERROR(INDEX(Settings!$B$20:$B$22,MATCH($B17,Settings!$A$20:$A$22,0)),""))))</f>
        <v/>
      </c>
      <c r="R17" s="12" t="str">
        <f aca="false">IF(OR($P17="",$Q17=""),"",$P17*$Q17)</f>
        <v/>
      </c>
      <c r="S17" s="14" t="str">
        <f aca="false">IF($R17="","",IF(Settings!$B$16&gt;0,CEILING(($R17+Settings!$B$15)/(1-Settings!$B$14),Settings!$B$16),($R17+Settings!$B$15)/(1-Settings!$B$14)))</f>
        <v/>
      </c>
      <c r="T17" s="12" t="str">
        <f aca="false">IF($S17="","",$S17*Settings!$B$14+Settings!$B$15)</f>
        <v/>
      </c>
      <c r="U17" s="12" t="str">
        <f aca="false">IF($S17="","",$S17-$T17-$P17)</f>
        <v/>
      </c>
      <c r="V17" s="12" t="str">
        <f aca="false">IF(OR($U17="",N($D17)&lt;=0),"",$U17/$D17)</f>
        <v/>
      </c>
      <c r="W17" s="15"/>
    </row>
    <row r="18" customFormat="false" ht="15" hidden="false" customHeight="false" outlineLevel="0" collapsed="false">
      <c r="A18" s="5"/>
      <c r="B18" s="5"/>
      <c r="C18" s="6"/>
      <c r="D18" s="7"/>
      <c r="E18" s="8"/>
      <c r="F18" s="9"/>
      <c r="G18" s="10"/>
      <c r="H18" s="10"/>
      <c r="I18" s="10"/>
      <c r="J18" s="11"/>
      <c r="K18" s="12" t="str">
        <f aca="false">IF(COUNT($C18:$D18)&lt;2,"",$C18*Settings!$B$7)</f>
        <v/>
      </c>
      <c r="L18" s="12" t="str">
        <f aca="false">IF(COUNT($C18:$D18)&lt;2,"",$D18*Settings!$B$8)</f>
        <v/>
      </c>
      <c r="M18" s="12" t="str">
        <f aca="false">IF(COUNT($C18:$D18)&lt;2,"",($K18+$L18)*Settings!$B$9)</f>
        <v/>
      </c>
      <c r="N18" s="12" t="str">
        <f aca="false">IF(COUNT($C18:$D18)&lt;2,"",(IF($E18="",Settings!$B$11,$E18)/60+N($F18))*Settings!$B$10)</f>
        <v/>
      </c>
      <c r="O18" s="12" t="str">
        <f aca="false">IF(COUNT($C18:$D18)&lt;2,"",IF($G18="",IF($B18="Painted",Settings!$B$12,0),$G18)+N($H18)+IF($I18="",Settings!$B$13,$I18))</f>
        <v/>
      </c>
      <c r="P18" s="12" t="str">
        <f aca="false">IF(COUNT($C18:$D18)&lt;2,"",SUM($K18:$O18))</f>
        <v/>
      </c>
      <c r="Q18" s="13" t="str">
        <f aca="false">IF(COUNT($C18:$D18)&lt;2,"",IF($J18&lt;&gt;"",$J18,IF($B18="",Settings!$B$20,IFERROR(INDEX(Settings!$B$20:$B$22,MATCH($B18,Settings!$A$20:$A$22,0)),""))))</f>
        <v/>
      </c>
      <c r="R18" s="12" t="str">
        <f aca="false">IF(OR($P18="",$Q18=""),"",$P18*$Q18)</f>
        <v/>
      </c>
      <c r="S18" s="14" t="str">
        <f aca="false">IF($R18="","",IF(Settings!$B$16&gt;0,CEILING(($R18+Settings!$B$15)/(1-Settings!$B$14),Settings!$B$16),($R18+Settings!$B$15)/(1-Settings!$B$14)))</f>
        <v/>
      </c>
      <c r="T18" s="12" t="str">
        <f aca="false">IF($S18="","",$S18*Settings!$B$14+Settings!$B$15)</f>
        <v/>
      </c>
      <c r="U18" s="12" t="str">
        <f aca="false">IF($S18="","",$S18-$T18-$P18)</f>
        <v/>
      </c>
      <c r="V18" s="12" t="str">
        <f aca="false">IF(OR($U18="",N($D18)&lt;=0),"",$U18/$D18)</f>
        <v/>
      </c>
      <c r="W18" s="15"/>
    </row>
    <row r="19" customFormat="false" ht="15" hidden="false" customHeight="false" outlineLevel="0" collapsed="false">
      <c r="A19" s="5"/>
      <c r="B19" s="5"/>
      <c r="C19" s="6"/>
      <c r="D19" s="7"/>
      <c r="E19" s="8"/>
      <c r="F19" s="9"/>
      <c r="G19" s="10"/>
      <c r="H19" s="10"/>
      <c r="I19" s="10"/>
      <c r="J19" s="11"/>
      <c r="K19" s="12" t="str">
        <f aca="false">IF(COUNT($C19:$D19)&lt;2,"",$C19*Settings!$B$7)</f>
        <v/>
      </c>
      <c r="L19" s="12" t="str">
        <f aca="false">IF(COUNT($C19:$D19)&lt;2,"",$D19*Settings!$B$8)</f>
        <v/>
      </c>
      <c r="M19" s="12" t="str">
        <f aca="false">IF(COUNT($C19:$D19)&lt;2,"",($K19+$L19)*Settings!$B$9)</f>
        <v/>
      </c>
      <c r="N19" s="12" t="str">
        <f aca="false">IF(COUNT($C19:$D19)&lt;2,"",(IF($E19="",Settings!$B$11,$E19)/60+N($F19))*Settings!$B$10)</f>
        <v/>
      </c>
      <c r="O19" s="12" t="str">
        <f aca="false">IF(COUNT($C19:$D19)&lt;2,"",IF($G19="",IF($B19="Painted",Settings!$B$12,0),$G19)+N($H19)+IF($I19="",Settings!$B$13,$I19))</f>
        <v/>
      </c>
      <c r="P19" s="12" t="str">
        <f aca="false">IF(COUNT($C19:$D19)&lt;2,"",SUM($K19:$O19))</f>
        <v/>
      </c>
      <c r="Q19" s="13" t="str">
        <f aca="false">IF(COUNT($C19:$D19)&lt;2,"",IF($J19&lt;&gt;"",$J19,IF($B19="",Settings!$B$20,IFERROR(INDEX(Settings!$B$20:$B$22,MATCH($B19,Settings!$A$20:$A$22,0)),""))))</f>
        <v/>
      </c>
      <c r="R19" s="12" t="str">
        <f aca="false">IF(OR($P19="",$Q19=""),"",$P19*$Q19)</f>
        <v/>
      </c>
      <c r="S19" s="14" t="str">
        <f aca="false">IF($R19="","",IF(Settings!$B$16&gt;0,CEILING(($R19+Settings!$B$15)/(1-Settings!$B$14),Settings!$B$16),($R19+Settings!$B$15)/(1-Settings!$B$14)))</f>
        <v/>
      </c>
      <c r="T19" s="12" t="str">
        <f aca="false">IF($S19="","",$S19*Settings!$B$14+Settings!$B$15)</f>
        <v/>
      </c>
      <c r="U19" s="12" t="str">
        <f aca="false">IF($S19="","",$S19-$T19-$P19)</f>
        <v/>
      </c>
      <c r="V19" s="12" t="str">
        <f aca="false">IF(OR($U19="",N($D19)&lt;=0),"",$U19/$D19)</f>
        <v/>
      </c>
      <c r="W19" s="15"/>
    </row>
    <row r="20" customFormat="false" ht="15" hidden="false" customHeight="false" outlineLevel="0" collapsed="false">
      <c r="A20" s="5"/>
      <c r="B20" s="5"/>
      <c r="C20" s="6"/>
      <c r="D20" s="7"/>
      <c r="E20" s="8"/>
      <c r="F20" s="9"/>
      <c r="G20" s="10"/>
      <c r="H20" s="10"/>
      <c r="I20" s="10"/>
      <c r="J20" s="11"/>
      <c r="K20" s="12" t="str">
        <f aca="false">IF(COUNT($C20:$D20)&lt;2,"",$C20*Settings!$B$7)</f>
        <v/>
      </c>
      <c r="L20" s="12" t="str">
        <f aca="false">IF(COUNT($C20:$D20)&lt;2,"",$D20*Settings!$B$8)</f>
        <v/>
      </c>
      <c r="M20" s="12" t="str">
        <f aca="false">IF(COUNT($C20:$D20)&lt;2,"",($K20+$L20)*Settings!$B$9)</f>
        <v/>
      </c>
      <c r="N20" s="12" t="str">
        <f aca="false">IF(COUNT($C20:$D20)&lt;2,"",(IF($E20="",Settings!$B$11,$E20)/60+N($F20))*Settings!$B$10)</f>
        <v/>
      </c>
      <c r="O20" s="12" t="str">
        <f aca="false">IF(COUNT($C20:$D20)&lt;2,"",IF($G20="",IF($B20="Painted",Settings!$B$12,0),$G20)+N($H20)+IF($I20="",Settings!$B$13,$I20))</f>
        <v/>
      </c>
      <c r="P20" s="12" t="str">
        <f aca="false">IF(COUNT($C20:$D20)&lt;2,"",SUM($K20:$O20))</f>
        <v/>
      </c>
      <c r="Q20" s="13" t="str">
        <f aca="false">IF(COUNT($C20:$D20)&lt;2,"",IF($J20&lt;&gt;"",$J20,IF($B20="",Settings!$B$20,IFERROR(INDEX(Settings!$B$20:$B$22,MATCH($B20,Settings!$A$20:$A$22,0)),""))))</f>
        <v/>
      </c>
      <c r="R20" s="12" t="str">
        <f aca="false">IF(OR($P20="",$Q20=""),"",$P20*$Q20)</f>
        <v/>
      </c>
      <c r="S20" s="14" t="str">
        <f aca="false">IF($R20="","",IF(Settings!$B$16&gt;0,CEILING(($R20+Settings!$B$15)/(1-Settings!$B$14),Settings!$B$16),($R20+Settings!$B$15)/(1-Settings!$B$14)))</f>
        <v/>
      </c>
      <c r="T20" s="12" t="str">
        <f aca="false">IF($S20="","",$S20*Settings!$B$14+Settings!$B$15)</f>
        <v/>
      </c>
      <c r="U20" s="12" t="str">
        <f aca="false">IF($S20="","",$S20-$T20-$P20)</f>
        <v/>
      </c>
      <c r="V20" s="12" t="str">
        <f aca="false">IF(OR($U20="",N($D20)&lt;=0),"",$U20/$D20)</f>
        <v/>
      </c>
      <c r="W20" s="15"/>
    </row>
    <row r="21" customFormat="false" ht="15" hidden="false" customHeight="false" outlineLevel="0" collapsed="false">
      <c r="A21" s="5"/>
      <c r="B21" s="5"/>
      <c r="C21" s="6"/>
      <c r="D21" s="7"/>
      <c r="E21" s="8"/>
      <c r="F21" s="9"/>
      <c r="G21" s="10"/>
      <c r="H21" s="10"/>
      <c r="I21" s="10"/>
      <c r="J21" s="11"/>
      <c r="K21" s="12" t="str">
        <f aca="false">IF(COUNT($C21:$D21)&lt;2,"",$C21*Settings!$B$7)</f>
        <v/>
      </c>
      <c r="L21" s="12" t="str">
        <f aca="false">IF(COUNT($C21:$D21)&lt;2,"",$D21*Settings!$B$8)</f>
        <v/>
      </c>
      <c r="M21" s="12" t="str">
        <f aca="false">IF(COUNT($C21:$D21)&lt;2,"",($K21+$L21)*Settings!$B$9)</f>
        <v/>
      </c>
      <c r="N21" s="12" t="str">
        <f aca="false">IF(COUNT($C21:$D21)&lt;2,"",(IF($E21="",Settings!$B$11,$E21)/60+N($F21))*Settings!$B$10)</f>
        <v/>
      </c>
      <c r="O21" s="12" t="str">
        <f aca="false">IF(COUNT($C21:$D21)&lt;2,"",IF($G21="",IF($B21="Painted",Settings!$B$12,0),$G21)+N($H21)+IF($I21="",Settings!$B$13,$I21))</f>
        <v/>
      </c>
      <c r="P21" s="12" t="str">
        <f aca="false">IF(COUNT($C21:$D21)&lt;2,"",SUM($K21:$O21))</f>
        <v/>
      </c>
      <c r="Q21" s="13" t="str">
        <f aca="false">IF(COUNT($C21:$D21)&lt;2,"",IF($J21&lt;&gt;"",$J21,IF($B21="",Settings!$B$20,IFERROR(INDEX(Settings!$B$20:$B$22,MATCH($B21,Settings!$A$20:$A$22,0)),""))))</f>
        <v/>
      </c>
      <c r="R21" s="12" t="str">
        <f aca="false">IF(OR($P21="",$Q21=""),"",$P21*$Q21)</f>
        <v/>
      </c>
      <c r="S21" s="14" t="str">
        <f aca="false">IF($R21="","",IF(Settings!$B$16&gt;0,CEILING(($R21+Settings!$B$15)/(1-Settings!$B$14),Settings!$B$16),($R21+Settings!$B$15)/(1-Settings!$B$14)))</f>
        <v/>
      </c>
      <c r="T21" s="12" t="str">
        <f aca="false">IF($S21="","",$S21*Settings!$B$14+Settings!$B$15)</f>
        <v/>
      </c>
      <c r="U21" s="12" t="str">
        <f aca="false">IF($S21="","",$S21-$T21-$P21)</f>
        <v/>
      </c>
      <c r="V21" s="12" t="str">
        <f aca="false">IF(OR($U21="",N($D21)&lt;=0),"",$U21/$D21)</f>
        <v/>
      </c>
      <c r="W21" s="15"/>
    </row>
    <row r="22" customFormat="false" ht="15" hidden="false" customHeight="false" outlineLevel="0" collapsed="false">
      <c r="A22" s="5"/>
      <c r="B22" s="5"/>
      <c r="C22" s="6"/>
      <c r="D22" s="7"/>
      <c r="E22" s="8"/>
      <c r="F22" s="9"/>
      <c r="G22" s="10"/>
      <c r="H22" s="10"/>
      <c r="I22" s="10"/>
      <c r="J22" s="11"/>
      <c r="K22" s="12" t="str">
        <f aca="false">IF(COUNT($C22:$D22)&lt;2,"",$C22*Settings!$B$7)</f>
        <v/>
      </c>
      <c r="L22" s="12" t="str">
        <f aca="false">IF(COUNT($C22:$D22)&lt;2,"",$D22*Settings!$B$8)</f>
        <v/>
      </c>
      <c r="M22" s="12" t="str">
        <f aca="false">IF(COUNT($C22:$D22)&lt;2,"",($K22+$L22)*Settings!$B$9)</f>
        <v/>
      </c>
      <c r="N22" s="12" t="str">
        <f aca="false">IF(COUNT($C22:$D22)&lt;2,"",(IF($E22="",Settings!$B$11,$E22)/60+N($F22))*Settings!$B$10)</f>
        <v/>
      </c>
      <c r="O22" s="12" t="str">
        <f aca="false">IF(COUNT($C22:$D22)&lt;2,"",IF($G22="",IF($B22="Painted",Settings!$B$12,0),$G22)+N($H22)+IF($I22="",Settings!$B$13,$I22))</f>
        <v/>
      </c>
      <c r="P22" s="12" t="str">
        <f aca="false">IF(COUNT($C22:$D22)&lt;2,"",SUM($K22:$O22))</f>
        <v/>
      </c>
      <c r="Q22" s="13" t="str">
        <f aca="false">IF(COUNT($C22:$D22)&lt;2,"",IF($J22&lt;&gt;"",$J22,IF($B22="",Settings!$B$20,IFERROR(INDEX(Settings!$B$20:$B$22,MATCH($B22,Settings!$A$20:$A$22,0)),""))))</f>
        <v/>
      </c>
      <c r="R22" s="12" t="str">
        <f aca="false">IF(OR($P22="",$Q22=""),"",$P22*$Q22)</f>
        <v/>
      </c>
      <c r="S22" s="14" t="str">
        <f aca="false">IF($R22="","",IF(Settings!$B$16&gt;0,CEILING(($R22+Settings!$B$15)/(1-Settings!$B$14),Settings!$B$16),($R22+Settings!$B$15)/(1-Settings!$B$14)))</f>
        <v/>
      </c>
      <c r="T22" s="12" t="str">
        <f aca="false">IF($S22="","",$S22*Settings!$B$14+Settings!$B$15)</f>
        <v/>
      </c>
      <c r="U22" s="12" t="str">
        <f aca="false">IF($S22="","",$S22-$T22-$P22)</f>
        <v/>
      </c>
      <c r="V22" s="12" t="str">
        <f aca="false">IF(OR($U22="",N($D22)&lt;=0),"",$U22/$D22)</f>
        <v/>
      </c>
      <c r="W22" s="15"/>
    </row>
    <row r="23" customFormat="false" ht="15" hidden="false" customHeight="false" outlineLevel="0" collapsed="false">
      <c r="A23" s="5"/>
      <c r="B23" s="5"/>
      <c r="C23" s="6"/>
      <c r="D23" s="7"/>
      <c r="E23" s="8"/>
      <c r="F23" s="9"/>
      <c r="G23" s="10"/>
      <c r="H23" s="10"/>
      <c r="I23" s="10"/>
      <c r="J23" s="11"/>
      <c r="K23" s="12" t="str">
        <f aca="false">IF(COUNT($C23:$D23)&lt;2,"",$C23*Settings!$B$7)</f>
        <v/>
      </c>
      <c r="L23" s="12" t="str">
        <f aca="false">IF(COUNT($C23:$D23)&lt;2,"",$D23*Settings!$B$8)</f>
        <v/>
      </c>
      <c r="M23" s="12" t="str">
        <f aca="false">IF(COUNT($C23:$D23)&lt;2,"",($K23+$L23)*Settings!$B$9)</f>
        <v/>
      </c>
      <c r="N23" s="12" t="str">
        <f aca="false">IF(COUNT($C23:$D23)&lt;2,"",(IF($E23="",Settings!$B$11,$E23)/60+N($F23))*Settings!$B$10)</f>
        <v/>
      </c>
      <c r="O23" s="12" t="str">
        <f aca="false">IF(COUNT($C23:$D23)&lt;2,"",IF($G23="",IF($B23="Painted",Settings!$B$12,0),$G23)+N($H23)+IF($I23="",Settings!$B$13,$I23))</f>
        <v/>
      </c>
      <c r="P23" s="12" t="str">
        <f aca="false">IF(COUNT($C23:$D23)&lt;2,"",SUM($K23:$O23))</f>
        <v/>
      </c>
      <c r="Q23" s="13" t="str">
        <f aca="false">IF(COUNT($C23:$D23)&lt;2,"",IF($J23&lt;&gt;"",$J23,IF($B23="",Settings!$B$20,IFERROR(INDEX(Settings!$B$20:$B$22,MATCH($B23,Settings!$A$20:$A$22,0)),""))))</f>
        <v/>
      </c>
      <c r="R23" s="12" t="str">
        <f aca="false">IF(OR($P23="",$Q23=""),"",$P23*$Q23)</f>
        <v/>
      </c>
      <c r="S23" s="14" t="str">
        <f aca="false">IF($R23="","",IF(Settings!$B$16&gt;0,CEILING(($R23+Settings!$B$15)/(1-Settings!$B$14),Settings!$B$16),($R23+Settings!$B$15)/(1-Settings!$B$14)))</f>
        <v/>
      </c>
      <c r="T23" s="12" t="str">
        <f aca="false">IF($S23="","",$S23*Settings!$B$14+Settings!$B$15)</f>
        <v/>
      </c>
      <c r="U23" s="12" t="str">
        <f aca="false">IF($S23="","",$S23-$T23-$P23)</f>
        <v/>
      </c>
      <c r="V23" s="12" t="str">
        <f aca="false">IF(OR($U23="",N($D23)&lt;=0),"",$U23/$D23)</f>
        <v/>
      </c>
      <c r="W23" s="15"/>
    </row>
    <row r="24" customFormat="false" ht="15" hidden="false" customHeight="false" outlineLevel="0" collapsed="false">
      <c r="A24" s="5"/>
      <c r="B24" s="5"/>
      <c r="C24" s="6"/>
      <c r="D24" s="7"/>
      <c r="E24" s="8"/>
      <c r="F24" s="9"/>
      <c r="G24" s="10"/>
      <c r="H24" s="10"/>
      <c r="I24" s="10"/>
      <c r="J24" s="11"/>
      <c r="K24" s="12" t="str">
        <f aca="false">IF(COUNT($C24:$D24)&lt;2,"",$C24*Settings!$B$7)</f>
        <v/>
      </c>
      <c r="L24" s="12" t="str">
        <f aca="false">IF(COUNT($C24:$D24)&lt;2,"",$D24*Settings!$B$8)</f>
        <v/>
      </c>
      <c r="M24" s="12" t="str">
        <f aca="false">IF(COUNT($C24:$D24)&lt;2,"",($K24+$L24)*Settings!$B$9)</f>
        <v/>
      </c>
      <c r="N24" s="12" t="str">
        <f aca="false">IF(COUNT($C24:$D24)&lt;2,"",(IF($E24="",Settings!$B$11,$E24)/60+N($F24))*Settings!$B$10)</f>
        <v/>
      </c>
      <c r="O24" s="12" t="str">
        <f aca="false">IF(COUNT($C24:$D24)&lt;2,"",IF($G24="",IF($B24="Painted",Settings!$B$12,0),$G24)+N($H24)+IF($I24="",Settings!$B$13,$I24))</f>
        <v/>
      </c>
      <c r="P24" s="12" t="str">
        <f aca="false">IF(COUNT($C24:$D24)&lt;2,"",SUM($K24:$O24))</f>
        <v/>
      </c>
      <c r="Q24" s="13" t="str">
        <f aca="false">IF(COUNT($C24:$D24)&lt;2,"",IF($J24&lt;&gt;"",$J24,IF($B24="",Settings!$B$20,IFERROR(INDEX(Settings!$B$20:$B$22,MATCH($B24,Settings!$A$20:$A$22,0)),""))))</f>
        <v/>
      </c>
      <c r="R24" s="12" t="str">
        <f aca="false">IF(OR($P24="",$Q24=""),"",$P24*$Q24)</f>
        <v/>
      </c>
      <c r="S24" s="14" t="str">
        <f aca="false">IF($R24="","",IF(Settings!$B$16&gt;0,CEILING(($R24+Settings!$B$15)/(1-Settings!$B$14),Settings!$B$16),($R24+Settings!$B$15)/(1-Settings!$B$14)))</f>
        <v/>
      </c>
      <c r="T24" s="12" t="str">
        <f aca="false">IF($S24="","",$S24*Settings!$B$14+Settings!$B$15)</f>
        <v/>
      </c>
      <c r="U24" s="12" t="str">
        <f aca="false">IF($S24="","",$S24-$T24-$P24)</f>
        <v/>
      </c>
      <c r="V24" s="12" t="str">
        <f aca="false">IF(OR($U24="",N($D24)&lt;=0),"",$U24/$D24)</f>
        <v/>
      </c>
      <c r="W24" s="15"/>
    </row>
    <row r="25" customFormat="false" ht="15" hidden="false" customHeight="false" outlineLevel="0" collapsed="false">
      <c r="A25" s="5"/>
      <c r="B25" s="5"/>
      <c r="C25" s="6"/>
      <c r="D25" s="7"/>
      <c r="E25" s="8"/>
      <c r="F25" s="9"/>
      <c r="G25" s="10"/>
      <c r="H25" s="10"/>
      <c r="I25" s="10"/>
      <c r="J25" s="11"/>
      <c r="K25" s="12" t="str">
        <f aca="false">IF(COUNT($C25:$D25)&lt;2,"",$C25*Settings!$B$7)</f>
        <v/>
      </c>
      <c r="L25" s="12" t="str">
        <f aca="false">IF(COUNT($C25:$D25)&lt;2,"",$D25*Settings!$B$8)</f>
        <v/>
      </c>
      <c r="M25" s="12" t="str">
        <f aca="false">IF(COUNT($C25:$D25)&lt;2,"",($K25+$L25)*Settings!$B$9)</f>
        <v/>
      </c>
      <c r="N25" s="12" t="str">
        <f aca="false">IF(COUNT($C25:$D25)&lt;2,"",(IF($E25="",Settings!$B$11,$E25)/60+N($F25))*Settings!$B$10)</f>
        <v/>
      </c>
      <c r="O25" s="12" t="str">
        <f aca="false">IF(COUNT($C25:$D25)&lt;2,"",IF($G25="",IF($B25="Painted",Settings!$B$12,0),$G25)+N($H25)+IF($I25="",Settings!$B$13,$I25))</f>
        <v/>
      </c>
      <c r="P25" s="12" t="str">
        <f aca="false">IF(COUNT($C25:$D25)&lt;2,"",SUM($K25:$O25))</f>
        <v/>
      </c>
      <c r="Q25" s="13" t="str">
        <f aca="false">IF(COUNT($C25:$D25)&lt;2,"",IF($J25&lt;&gt;"",$J25,IF($B25="",Settings!$B$20,IFERROR(INDEX(Settings!$B$20:$B$22,MATCH($B25,Settings!$A$20:$A$22,0)),""))))</f>
        <v/>
      </c>
      <c r="R25" s="12" t="str">
        <f aca="false">IF(OR($P25="",$Q25=""),"",$P25*$Q25)</f>
        <v/>
      </c>
      <c r="S25" s="14" t="str">
        <f aca="false">IF($R25="","",IF(Settings!$B$16&gt;0,CEILING(($R25+Settings!$B$15)/(1-Settings!$B$14),Settings!$B$16),($R25+Settings!$B$15)/(1-Settings!$B$14)))</f>
        <v/>
      </c>
      <c r="T25" s="12" t="str">
        <f aca="false">IF($S25="","",$S25*Settings!$B$14+Settings!$B$15)</f>
        <v/>
      </c>
      <c r="U25" s="12" t="str">
        <f aca="false">IF($S25="","",$S25-$T25-$P25)</f>
        <v/>
      </c>
      <c r="V25" s="12" t="str">
        <f aca="false">IF(OR($U25="",N($D25)&lt;=0),"",$U25/$D25)</f>
        <v/>
      </c>
      <c r="W25" s="15"/>
    </row>
    <row r="26" customFormat="false" ht="15" hidden="false" customHeight="false" outlineLevel="0" collapsed="false">
      <c r="A26" s="5"/>
      <c r="B26" s="5"/>
      <c r="C26" s="6"/>
      <c r="D26" s="7"/>
      <c r="E26" s="8"/>
      <c r="F26" s="9"/>
      <c r="G26" s="10"/>
      <c r="H26" s="10"/>
      <c r="I26" s="10"/>
      <c r="J26" s="11"/>
      <c r="K26" s="12" t="str">
        <f aca="false">IF(COUNT($C26:$D26)&lt;2,"",$C26*Settings!$B$7)</f>
        <v/>
      </c>
      <c r="L26" s="12" t="str">
        <f aca="false">IF(COUNT($C26:$D26)&lt;2,"",$D26*Settings!$B$8)</f>
        <v/>
      </c>
      <c r="M26" s="12" t="str">
        <f aca="false">IF(COUNT($C26:$D26)&lt;2,"",($K26+$L26)*Settings!$B$9)</f>
        <v/>
      </c>
      <c r="N26" s="12" t="str">
        <f aca="false">IF(COUNT($C26:$D26)&lt;2,"",(IF($E26="",Settings!$B$11,$E26)/60+N($F26))*Settings!$B$10)</f>
        <v/>
      </c>
      <c r="O26" s="12" t="str">
        <f aca="false">IF(COUNT($C26:$D26)&lt;2,"",IF($G26="",IF($B26="Painted",Settings!$B$12,0),$G26)+N($H26)+IF($I26="",Settings!$B$13,$I26))</f>
        <v/>
      </c>
      <c r="P26" s="12" t="str">
        <f aca="false">IF(COUNT($C26:$D26)&lt;2,"",SUM($K26:$O26))</f>
        <v/>
      </c>
      <c r="Q26" s="13" t="str">
        <f aca="false">IF(COUNT($C26:$D26)&lt;2,"",IF($J26&lt;&gt;"",$J26,IF($B26="",Settings!$B$20,IFERROR(INDEX(Settings!$B$20:$B$22,MATCH($B26,Settings!$A$20:$A$22,0)),""))))</f>
        <v/>
      </c>
      <c r="R26" s="12" t="str">
        <f aca="false">IF(OR($P26="",$Q26=""),"",$P26*$Q26)</f>
        <v/>
      </c>
      <c r="S26" s="14" t="str">
        <f aca="false">IF($R26="","",IF(Settings!$B$16&gt;0,CEILING(($R26+Settings!$B$15)/(1-Settings!$B$14),Settings!$B$16),($R26+Settings!$B$15)/(1-Settings!$B$14)))</f>
        <v/>
      </c>
      <c r="T26" s="12" t="str">
        <f aca="false">IF($S26="","",$S26*Settings!$B$14+Settings!$B$15)</f>
        <v/>
      </c>
      <c r="U26" s="12" t="str">
        <f aca="false">IF($S26="","",$S26-$T26-$P26)</f>
        <v/>
      </c>
      <c r="V26" s="12" t="str">
        <f aca="false">IF(OR($U26="",N($D26)&lt;=0),"",$U26/$D26)</f>
        <v/>
      </c>
      <c r="W26" s="15"/>
    </row>
    <row r="27" customFormat="false" ht="15" hidden="false" customHeight="false" outlineLevel="0" collapsed="false">
      <c r="A27" s="5"/>
      <c r="B27" s="5"/>
      <c r="C27" s="6"/>
      <c r="D27" s="7"/>
      <c r="E27" s="8"/>
      <c r="F27" s="9"/>
      <c r="G27" s="10"/>
      <c r="H27" s="10"/>
      <c r="I27" s="10"/>
      <c r="J27" s="11"/>
      <c r="K27" s="12" t="str">
        <f aca="false">IF(COUNT($C27:$D27)&lt;2,"",$C27*Settings!$B$7)</f>
        <v/>
      </c>
      <c r="L27" s="12" t="str">
        <f aca="false">IF(COUNT($C27:$D27)&lt;2,"",$D27*Settings!$B$8)</f>
        <v/>
      </c>
      <c r="M27" s="12" t="str">
        <f aca="false">IF(COUNT($C27:$D27)&lt;2,"",($K27+$L27)*Settings!$B$9)</f>
        <v/>
      </c>
      <c r="N27" s="12" t="str">
        <f aca="false">IF(COUNT($C27:$D27)&lt;2,"",(IF($E27="",Settings!$B$11,$E27)/60+N($F27))*Settings!$B$10)</f>
        <v/>
      </c>
      <c r="O27" s="12" t="str">
        <f aca="false">IF(COUNT($C27:$D27)&lt;2,"",IF($G27="",IF($B27="Painted",Settings!$B$12,0),$G27)+N($H27)+IF($I27="",Settings!$B$13,$I27))</f>
        <v/>
      </c>
      <c r="P27" s="12" t="str">
        <f aca="false">IF(COUNT($C27:$D27)&lt;2,"",SUM($K27:$O27))</f>
        <v/>
      </c>
      <c r="Q27" s="13" t="str">
        <f aca="false">IF(COUNT($C27:$D27)&lt;2,"",IF($J27&lt;&gt;"",$J27,IF($B27="",Settings!$B$20,IFERROR(INDEX(Settings!$B$20:$B$22,MATCH($B27,Settings!$A$20:$A$22,0)),""))))</f>
        <v/>
      </c>
      <c r="R27" s="12" t="str">
        <f aca="false">IF(OR($P27="",$Q27=""),"",$P27*$Q27)</f>
        <v/>
      </c>
      <c r="S27" s="14" t="str">
        <f aca="false">IF($R27="","",IF(Settings!$B$16&gt;0,CEILING(($R27+Settings!$B$15)/(1-Settings!$B$14),Settings!$B$16),($R27+Settings!$B$15)/(1-Settings!$B$14)))</f>
        <v/>
      </c>
      <c r="T27" s="12" t="str">
        <f aca="false">IF($S27="","",$S27*Settings!$B$14+Settings!$B$15)</f>
        <v/>
      </c>
      <c r="U27" s="12" t="str">
        <f aca="false">IF($S27="","",$S27-$T27-$P27)</f>
        <v/>
      </c>
      <c r="V27" s="12" t="str">
        <f aca="false">IF(OR($U27="",N($D27)&lt;=0),"",$U27/$D27)</f>
        <v/>
      </c>
      <c r="W27" s="15"/>
    </row>
    <row r="28" customFormat="false" ht="15" hidden="false" customHeight="false" outlineLevel="0" collapsed="false">
      <c r="A28" s="5"/>
      <c r="B28" s="5"/>
      <c r="C28" s="6"/>
      <c r="D28" s="7"/>
      <c r="E28" s="8"/>
      <c r="F28" s="9"/>
      <c r="G28" s="10"/>
      <c r="H28" s="10"/>
      <c r="I28" s="10"/>
      <c r="J28" s="11"/>
      <c r="K28" s="12" t="str">
        <f aca="false">IF(COUNT($C28:$D28)&lt;2,"",$C28*Settings!$B$7)</f>
        <v/>
      </c>
      <c r="L28" s="12" t="str">
        <f aca="false">IF(COUNT($C28:$D28)&lt;2,"",$D28*Settings!$B$8)</f>
        <v/>
      </c>
      <c r="M28" s="12" t="str">
        <f aca="false">IF(COUNT($C28:$D28)&lt;2,"",($K28+$L28)*Settings!$B$9)</f>
        <v/>
      </c>
      <c r="N28" s="12" t="str">
        <f aca="false">IF(COUNT($C28:$D28)&lt;2,"",(IF($E28="",Settings!$B$11,$E28)/60+N($F28))*Settings!$B$10)</f>
        <v/>
      </c>
      <c r="O28" s="12" t="str">
        <f aca="false">IF(COUNT($C28:$D28)&lt;2,"",IF($G28="",IF($B28="Painted",Settings!$B$12,0),$G28)+N($H28)+IF($I28="",Settings!$B$13,$I28))</f>
        <v/>
      </c>
      <c r="P28" s="12" t="str">
        <f aca="false">IF(COUNT($C28:$D28)&lt;2,"",SUM($K28:$O28))</f>
        <v/>
      </c>
      <c r="Q28" s="13" t="str">
        <f aca="false">IF(COUNT($C28:$D28)&lt;2,"",IF($J28&lt;&gt;"",$J28,IF($B28="",Settings!$B$20,IFERROR(INDEX(Settings!$B$20:$B$22,MATCH($B28,Settings!$A$20:$A$22,0)),""))))</f>
        <v/>
      </c>
      <c r="R28" s="12" t="str">
        <f aca="false">IF(OR($P28="",$Q28=""),"",$P28*$Q28)</f>
        <v/>
      </c>
      <c r="S28" s="14" t="str">
        <f aca="false">IF($R28="","",IF(Settings!$B$16&gt;0,CEILING(($R28+Settings!$B$15)/(1-Settings!$B$14),Settings!$B$16),($R28+Settings!$B$15)/(1-Settings!$B$14)))</f>
        <v/>
      </c>
      <c r="T28" s="12" t="str">
        <f aca="false">IF($S28="","",$S28*Settings!$B$14+Settings!$B$15)</f>
        <v/>
      </c>
      <c r="U28" s="12" t="str">
        <f aca="false">IF($S28="","",$S28-$T28-$P28)</f>
        <v/>
      </c>
      <c r="V28" s="12" t="str">
        <f aca="false">IF(OR($U28="",N($D28)&lt;=0),"",$U28/$D28)</f>
        <v/>
      </c>
      <c r="W28" s="15"/>
    </row>
    <row r="29" customFormat="false" ht="15" hidden="false" customHeight="false" outlineLevel="0" collapsed="false">
      <c r="A29" s="5"/>
      <c r="B29" s="5"/>
      <c r="C29" s="6"/>
      <c r="D29" s="7"/>
      <c r="E29" s="8"/>
      <c r="F29" s="9"/>
      <c r="G29" s="10"/>
      <c r="H29" s="10"/>
      <c r="I29" s="10"/>
      <c r="J29" s="11"/>
      <c r="K29" s="12" t="str">
        <f aca="false">IF(COUNT($C29:$D29)&lt;2,"",$C29*Settings!$B$7)</f>
        <v/>
      </c>
      <c r="L29" s="12" t="str">
        <f aca="false">IF(COUNT($C29:$D29)&lt;2,"",$D29*Settings!$B$8)</f>
        <v/>
      </c>
      <c r="M29" s="12" t="str">
        <f aca="false">IF(COUNT($C29:$D29)&lt;2,"",($K29+$L29)*Settings!$B$9)</f>
        <v/>
      </c>
      <c r="N29" s="12" t="str">
        <f aca="false">IF(COUNT($C29:$D29)&lt;2,"",(IF($E29="",Settings!$B$11,$E29)/60+N($F29))*Settings!$B$10)</f>
        <v/>
      </c>
      <c r="O29" s="12" t="str">
        <f aca="false">IF(COUNT($C29:$D29)&lt;2,"",IF($G29="",IF($B29="Painted",Settings!$B$12,0),$G29)+N($H29)+IF($I29="",Settings!$B$13,$I29))</f>
        <v/>
      </c>
      <c r="P29" s="12" t="str">
        <f aca="false">IF(COUNT($C29:$D29)&lt;2,"",SUM($K29:$O29))</f>
        <v/>
      </c>
      <c r="Q29" s="13" t="str">
        <f aca="false">IF(COUNT($C29:$D29)&lt;2,"",IF($J29&lt;&gt;"",$J29,IF($B29="",Settings!$B$20,IFERROR(INDEX(Settings!$B$20:$B$22,MATCH($B29,Settings!$A$20:$A$22,0)),""))))</f>
        <v/>
      </c>
      <c r="R29" s="12" t="str">
        <f aca="false">IF(OR($P29="",$Q29=""),"",$P29*$Q29)</f>
        <v/>
      </c>
      <c r="S29" s="14" t="str">
        <f aca="false">IF($R29="","",IF(Settings!$B$16&gt;0,CEILING(($R29+Settings!$B$15)/(1-Settings!$B$14),Settings!$B$16),($R29+Settings!$B$15)/(1-Settings!$B$14)))</f>
        <v/>
      </c>
      <c r="T29" s="12" t="str">
        <f aca="false">IF($S29="","",$S29*Settings!$B$14+Settings!$B$15)</f>
        <v/>
      </c>
      <c r="U29" s="12" t="str">
        <f aca="false">IF($S29="","",$S29-$T29-$P29)</f>
        <v/>
      </c>
      <c r="V29" s="12" t="str">
        <f aca="false">IF(OR($U29="",N($D29)&lt;=0),"",$U29/$D29)</f>
        <v/>
      </c>
      <c r="W29" s="15"/>
    </row>
    <row r="30" customFormat="false" ht="15" hidden="false" customHeight="false" outlineLevel="0" collapsed="false">
      <c r="A30" s="5"/>
      <c r="B30" s="5"/>
      <c r="C30" s="6"/>
      <c r="D30" s="7"/>
      <c r="E30" s="8"/>
      <c r="F30" s="9"/>
      <c r="G30" s="10"/>
      <c r="H30" s="10"/>
      <c r="I30" s="10"/>
      <c r="J30" s="11"/>
      <c r="K30" s="12" t="str">
        <f aca="false">IF(COUNT($C30:$D30)&lt;2,"",$C30*Settings!$B$7)</f>
        <v/>
      </c>
      <c r="L30" s="12" t="str">
        <f aca="false">IF(COUNT($C30:$D30)&lt;2,"",$D30*Settings!$B$8)</f>
        <v/>
      </c>
      <c r="M30" s="12" t="str">
        <f aca="false">IF(COUNT($C30:$D30)&lt;2,"",($K30+$L30)*Settings!$B$9)</f>
        <v/>
      </c>
      <c r="N30" s="12" t="str">
        <f aca="false">IF(COUNT($C30:$D30)&lt;2,"",(IF($E30="",Settings!$B$11,$E30)/60+N($F30))*Settings!$B$10)</f>
        <v/>
      </c>
      <c r="O30" s="12" t="str">
        <f aca="false">IF(COUNT($C30:$D30)&lt;2,"",IF($G30="",IF($B30="Painted",Settings!$B$12,0),$G30)+N($H30)+IF($I30="",Settings!$B$13,$I30))</f>
        <v/>
      </c>
      <c r="P30" s="12" t="str">
        <f aca="false">IF(COUNT($C30:$D30)&lt;2,"",SUM($K30:$O30))</f>
        <v/>
      </c>
      <c r="Q30" s="13" t="str">
        <f aca="false">IF(COUNT($C30:$D30)&lt;2,"",IF($J30&lt;&gt;"",$J30,IF($B30="",Settings!$B$20,IFERROR(INDEX(Settings!$B$20:$B$22,MATCH($B30,Settings!$A$20:$A$22,0)),""))))</f>
        <v/>
      </c>
      <c r="R30" s="12" t="str">
        <f aca="false">IF(OR($P30="",$Q30=""),"",$P30*$Q30)</f>
        <v/>
      </c>
      <c r="S30" s="14" t="str">
        <f aca="false">IF($R30="","",IF(Settings!$B$16&gt;0,CEILING(($R30+Settings!$B$15)/(1-Settings!$B$14),Settings!$B$16),($R30+Settings!$B$15)/(1-Settings!$B$14)))</f>
        <v/>
      </c>
      <c r="T30" s="12" t="str">
        <f aca="false">IF($S30="","",$S30*Settings!$B$14+Settings!$B$15)</f>
        <v/>
      </c>
      <c r="U30" s="12" t="str">
        <f aca="false">IF($S30="","",$S30-$T30-$P30)</f>
        <v/>
      </c>
      <c r="V30" s="12" t="str">
        <f aca="false">IF(OR($U30="",N($D30)&lt;=0),"",$U30/$D30)</f>
        <v/>
      </c>
      <c r="W30" s="15"/>
    </row>
    <row r="31" customFormat="false" ht="15" hidden="false" customHeight="false" outlineLevel="0" collapsed="false">
      <c r="A31" s="5"/>
      <c r="B31" s="5"/>
      <c r="C31" s="6"/>
      <c r="D31" s="7"/>
      <c r="E31" s="8"/>
      <c r="F31" s="9"/>
      <c r="G31" s="10"/>
      <c r="H31" s="10"/>
      <c r="I31" s="10"/>
      <c r="J31" s="11"/>
      <c r="K31" s="12" t="str">
        <f aca="false">IF(COUNT($C31:$D31)&lt;2,"",$C31*Settings!$B$7)</f>
        <v/>
      </c>
      <c r="L31" s="12" t="str">
        <f aca="false">IF(COUNT($C31:$D31)&lt;2,"",$D31*Settings!$B$8)</f>
        <v/>
      </c>
      <c r="M31" s="12" t="str">
        <f aca="false">IF(COUNT($C31:$D31)&lt;2,"",($K31+$L31)*Settings!$B$9)</f>
        <v/>
      </c>
      <c r="N31" s="12" t="str">
        <f aca="false">IF(COUNT($C31:$D31)&lt;2,"",(IF($E31="",Settings!$B$11,$E31)/60+N($F31))*Settings!$B$10)</f>
        <v/>
      </c>
      <c r="O31" s="12" t="str">
        <f aca="false">IF(COUNT($C31:$D31)&lt;2,"",IF($G31="",IF($B31="Painted",Settings!$B$12,0),$G31)+N($H31)+IF($I31="",Settings!$B$13,$I31))</f>
        <v/>
      </c>
      <c r="P31" s="12" t="str">
        <f aca="false">IF(COUNT($C31:$D31)&lt;2,"",SUM($K31:$O31))</f>
        <v/>
      </c>
      <c r="Q31" s="13" t="str">
        <f aca="false">IF(COUNT($C31:$D31)&lt;2,"",IF($J31&lt;&gt;"",$J31,IF($B31="",Settings!$B$20,IFERROR(INDEX(Settings!$B$20:$B$22,MATCH($B31,Settings!$A$20:$A$22,0)),""))))</f>
        <v/>
      </c>
      <c r="R31" s="12" t="str">
        <f aca="false">IF(OR($P31="",$Q31=""),"",$P31*$Q31)</f>
        <v/>
      </c>
      <c r="S31" s="14" t="str">
        <f aca="false">IF($R31="","",IF(Settings!$B$16&gt;0,CEILING(($R31+Settings!$B$15)/(1-Settings!$B$14),Settings!$B$16),($R31+Settings!$B$15)/(1-Settings!$B$14)))</f>
        <v/>
      </c>
      <c r="T31" s="12" t="str">
        <f aca="false">IF($S31="","",$S31*Settings!$B$14+Settings!$B$15)</f>
        <v/>
      </c>
      <c r="U31" s="12" t="str">
        <f aca="false">IF($S31="","",$S31-$T31-$P31)</f>
        <v/>
      </c>
      <c r="V31" s="12" t="str">
        <f aca="false">IF(OR($U31="",N($D31)&lt;=0),"",$U31/$D31)</f>
        <v/>
      </c>
      <c r="W31" s="15"/>
    </row>
    <row r="32" customFormat="false" ht="15" hidden="false" customHeight="false" outlineLevel="0" collapsed="false">
      <c r="A32" s="5"/>
      <c r="B32" s="5"/>
      <c r="C32" s="6"/>
      <c r="D32" s="7"/>
      <c r="E32" s="8"/>
      <c r="F32" s="9"/>
      <c r="G32" s="10"/>
      <c r="H32" s="10"/>
      <c r="I32" s="10"/>
      <c r="J32" s="11"/>
      <c r="K32" s="12" t="str">
        <f aca="false">IF(COUNT($C32:$D32)&lt;2,"",$C32*Settings!$B$7)</f>
        <v/>
      </c>
      <c r="L32" s="12" t="str">
        <f aca="false">IF(COUNT($C32:$D32)&lt;2,"",$D32*Settings!$B$8)</f>
        <v/>
      </c>
      <c r="M32" s="12" t="str">
        <f aca="false">IF(COUNT($C32:$D32)&lt;2,"",($K32+$L32)*Settings!$B$9)</f>
        <v/>
      </c>
      <c r="N32" s="12" t="str">
        <f aca="false">IF(COUNT($C32:$D32)&lt;2,"",(IF($E32="",Settings!$B$11,$E32)/60+N($F32))*Settings!$B$10)</f>
        <v/>
      </c>
      <c r="O32" s="12" t="str">
        <f aca="false">IF(COUNT($C32:$D32)&lt;2,"",IF($G32="",IF($B32="Painted",Settings!$B$12,0),$G32)+N($H32)+IF($I32="",Settings!$B$13,$I32))</f>
        <v/>
      </c>
      <c r="P32" s="12" t="str">
        <f aca="false">IF(COUNT($C32:$D32)&lt;2,"",SUM($K32:$O32))</f>
        <v/>
      </c>
      <c r="Q32" s="13" t="str">
        <f aca="false">IF(COUNT($C32:$D32)&lt;2,"",IF($J32&lt;&gt;"",$J32,IF($B32="",Settings!$B$20,IFERROR(INDEX(Settings!$B$20:$B$22,MATCH($B32,Settings!$A$20:$A$22,0)),""))))</f>
        <v/>
      </c>
      <c r="R32" s="12" t="str">
        <f aca="false">IF(OR($P32="",$Q32=""),"",$P32*$Q32)</f>
        <v/>
      </c>
      <c r="S32" s="14" t="str">
        <f aca="false">IF($R32="","",IF(Settings!$B$16&gt;0,CEILING(($R32+Settings!$B$15)/(1-Settings!$B$14),Settings!$B$16),($R32+Settings!$B$15)/(1-Settings!$B$14)))</f>
        <v/>
      </c>
      <c r="T32" s="12" t="str">
        <f aca="false">IF($S32="","",$S32*Settings!$B$14+Settings!$B$15)</f>
        <v/>
      </c>
      <c r="U32" s="12" t="str">
        <f aca="false">IF($S32="","",$S32-$T32-$P32)</f>
        <v/>
      </c>
      <c r="V32" s="12" t="str">
        <f aca="false">IF(OR($U32="",N($D32)&lt;=0),"",$U32/$D32)</f>
        <v/>
      </c>
      <c r="W32" s="15"/>
    </row>
    <row r="33" customFormat="false" ht="15" hidden="false" customHeight="false" outlineLevel="0" collapsed="false">
      <c r="A33" s="5"/>
      <c r="B33" s="5"/>
      <c r="C33" s="6"/>
      <c r="D33" s="7"/>
      <c r="E33" s="8"/>
      <c r="F33" s="9"/>
      <c r="G33" s="10"/>
      <c r="H33" s="10"/>
      <c r="I33" s="10"/>
      <c r="J33" s="11"/>
      <c r="K33" s="12" t="str">
        <f aca="false">IF(COUNT($C33:$D33)&lt;2,"",$C33*Settings!$B$7)</f>
        <v/>
      </c>
      <c r="L33" s="12" t="str">
        <f aca="false">IF(COUNT($C33:$D33)&lt;2,"",$D33*Settings!$B$8)</f>
        <v/>
      </c>
      <c r="M33" s="12" t="str">
        <f aca="false">IF(COUNT($C33:$D33)&lt;2,"",($K33+$L33)*Settings!$B$9)</f>
        <v/>
      </c>
      <c r="N33" s="12" t="str">
        <f aca="false">IF(COUNT($C33:$D33)&lt;2,"",(IF($E33="",Settings!$B$11,$E33)/60+N($F33))*Settings!$B$10)</f>
        <v/>
      </c>
      <c r="O33" s="12" t="str">
        <f aca="false">IF(COUNT($C33:$D33)&lt;2,"",IF($G33="",IF($B33="Painted",Settings!$B$12,0),$G33)+N($H33)+IF($I33="",Settings!$B$13,$I33))</f>
        <v/>
      </c>
      <c r="P33" s="12" t="str">
        <f aca="false">IF(COUNT($C33:$D33)&lt;2,"",SUM($K33:$O33))</f>
        <v/>
      </c>
      <c r="Q33" s="13" t="str">
        <f aca="false">IF(COUNT($C33:$D33)&lt;2,"",IF($J33&lt;&gt;"",$J33,IF($B33="",Settings!$B$20,IFERROR(INDEX(Settings!$B$20:$B$22,MATCH($B33,Settings!$A$20:$A$22,0)),""))))</f>
        <v/>
      </c>
      <c r="R33" s="12" t="str">
        <f aca="false">IF(OR($P33="",$Q33=""),"",$P33*$Q33)</f>
        <v/>
      </c>
      <c r="S33" s="14" t="str">
        <f aca="false">IF($R33="","",IF(Settings!$B$16&gt;0,CEILING(($R33+Settings!$B$15)/(1-Settings!$B$14),Settings!$B$16),($R33+Settings!$B$15)/(1-Settings!$B$14)))</f>
        <v/>
      </c>
      <c r="T33" s="12" t="str">
        <f aca="false">IF($S33="","",$S33*Settings!$B$14+Settings!$B$15)</f>
        <v/>
      </c>
      <c r="U33" s="12" t="str">
        <f aca="false">IF($S33="","",$S33-$T33-$P33)</f>
        <v/>
      </c>
      <c r="V33" s="12" t="str">
        <f aca="false">IF(OR($U33="",N($D33)&lt;=0),"",$U33/$D33)</f>
        <v/>
      </c>
      <c r="W33" s="15"/>
    </row>
    <row r="34" customFormat="false" ht="15" hidden="false" customHeight="false" outlineLevel="0" collapsed="false">
      <c r="A34" s="5"/>
      <c r="B34" s="5"/>
      <c r="C34" s="6"/>
      <c r="D34" s="7"/>
      <c r="E34" s="8"/>
      <c r="F34" s="9"/>
      <c r="G34" s="10"/>
      <c r="H34" s="10"/>
      <c r="I34" s="10"/>
      <c r="J34" s="11"/>
      <c r="K34" s="12" t="str">
        <f aca="false">IF(COUNT($C34:$D34)&lt;2,"",$C34*Settings!$B$7)</f>
        <v/>
      </c>
      <c r="L34" s="12" t="str">
        <f aca="false">IF(COUNT($C34:$D34)&lt;2,"",$D34*Settings!$B$8)</f>
        <v/>
      </c>
      <c r="M34" s="12" t="str">
        <f aca="false">IF(COUNT($C34:$D34)&lt;2,"",($K34+$L34)*Settings!$B$9)</f>
        <v/>
      </c>
      <c r="N34" s="12" t="str">
        <f aca="false">IF(COUNT($C34:$D34)&lt;2,"",(IF($E34="",Settings!$B$11,$E34)/60+N($F34))*Settings!$B$10)</f>
        <v/>
      </c>
      <c r="O34" s="12" t="str">
        <f aca="false">IF(COUNT($C34:$D34)&lt;2,"",IF($G34="",IF($B34="Painted",Settings!$B$12,0),$G34)+N($H34)+IF($I34="",Settings!$B$13,$I34))</f>
        <v/>
      </c>
      <c r="P34" s="12" t="str">
        <f aca="false">IF(COUNT($C34:$D34)&lt;2,"",SUM($K34:$O34))</f>
        <v/>
      </c>
      <c r="Q34" s="13" t="str">
        <f aca="false">IF(COUNT($C34:$D34)&lt;2,"",IF($J34&lt;&gt;"",$J34,IF($B34="",Settings!$B$20,IFERROR(INDEX(Settings!$B$20:$B$22,MATCH($B34,Settings!$A$20:$A$22,0)),""))))</f>
        <v/>
      </c>
      <c r="R34" s="12" t="str">
        <f aca="false">IF(OR($P34="",$Q34=""),"",$P34*$Q34)</f>
        <v/>
      </c>
      <c r="S34" s="14" t="str">
        <f aca="false">IF($R34="","",IF(Settings!$B$16&gt;0,CEILING(($R34+Settings!$B$15)/(1-Settings!$B$14),Settings!$B$16),($R34+Settings!$B$15)/(1-Settings!$B$14)))</f>
        <v/>
      </c>
      <c r="T34" s="12" t="str">
        <f aca="false">IF($S34="","",$S34*Settings!$B$14+Settings!$B$15)</f>
        <v/>
      </c>
      <c r="U34" s="12" t="str">
        <f aca="false">IF($S34="","",$S34-$T34-$P34)</f>
        <v/>
      </c>
      <c r="V34" s="12" t="str">
        <f aca="false">IF(OR($U34="",N($D34)&lt;=0),"",$U34/$D34)</f>
        <v/>
      </c>
      <c r="W34" s="15"/>
    </row>
    <row r="35" customFormat="false" ht="15" hidden="false" customHeight="false" outlineLevel="0" collapsed="false">
      <c r="A35" s="5"/>
      <c r="B35" s="5"/>
      <c r="C35" s="6"/>
      <c r="D35" s="7"/>
      <c r="E35" s="8"/>
      <c r="F35" s="9"/>
      <c r="G35" s="10"/>
      <c r="H35" s="10"/>
      <c r="I35" s="10"/>
      <c r="J35" s="11"/>
      <c r="K35" s="12" t="str">
        <f aca="false">IF(COUNT($C35:$D35)&lt;2,"",$C35*Settings!$B$7)</f>
        <v/>
      </c>
      <c r="L35" s="12" t="str">
        <f aca="false">IF(COUNT($C35:$D35)&lt;2,"",$D35*Settings!$B$8)</f>
        <v/>
      </c>
      <c r="M35" s="12" t="str">
        <f aca="false">IF(COUNT($C35:$D35)&lt;2,"",($K35+$L35)*Settings!$B$9)</f>
        <v/>
      </c>
      <c r="N35" s="12" t="str">
        <f aca="false">IF(COUNT($C35:$D35)&lt;2,"",(IF($E35="",Settings!$B$11,$E35)/60+N($F35))*Settings!$B$10)</f>
        <v/>
      </c>
      <c r="O35" s="12" t="str">
        <f aca="false">IF(COUNT($C35:$D35)&lt;2,"",IF($G35="",IF($B35="Painted",Settings!$B$12,0),$G35)+N($H35)+IF($I35="",Settings!$B$13,$I35))</f>
        <v/>
      </c>
      <c r="P35" s="12" t="str">
        <f aca="false">IF(COUNT($C35:$D35)&lt;2,"",SUM($K35:$O35))</f>
        <v/>
      </c>
      <c r="Q35" s="13" t="str">
        <f aca="false">IF(COUNT($C35:$D35)&lt;2,"",IF($J35&lt;&gt;"",$J35,IF($B35="",Settings!$B$20,IFERROR(INDEX(Settings!$B$20:$B$22,MATCH($B35,Settings!$A$20:$A$22,0)),""))))</f>
        <v/>
      </c>
      <c r="R35" s="12" t="str">
        <f aca="false">IF(OR($P35="",$Q35=""),"",$P35*$Q35)</f>
        <v/>
      </c>
      <c r="S35" s="14" t="str">
        <f aca="false">IF($R35="","",IF(Settings!$B$16&gt;0,CEILING(($R35+Settings!$B$15)/(1-Settings!$B$14),Settings!$B$16),($R35+Settings!$B$15)/(1-Settings!$B$14)))</f>
        <v/>
      </c>
      <c r="T35" s="12" t="str">
        <f aca="false">IF($S35="","",$S35*Settings!$B$14+Settings!$B$15)</f>
        <v/>
      </c>
      <c r="U35" s="12" t="str">
        <f aca="false">IF($S35="","",$S35-$T35-$P35)</f>
        <v/>
      </c>
      <c r="V35" s="12" t="str">
        <f aca="false">IF(OR($U35="",N($D35)&lt;=0),"",$U35/$D35)</f>
        <v/>
      </c>
      <c r="W35" s="15"/>
    </row>
    <row r="36" customFormat="false" ht="15" hidden="false" customHeight="false" outlineLevel="0" collapsed="false">
      <c r="A36" s="5"/>
      <c r="B36" s="5"/>
      <c r="C36" s="6"/>
      <c r="D36" s="7"/>
      <c r="E36" s="8"/>
      <c r="F36" s="9"/>
      <c r="G36" s="10"/>
      <c r="H36" s="10"/>
      <c r="I36" s="10"/>
      <c r="J36" s="11"/>
      <c r="K36" s="12" t="str">
        <f aca="false">IF(COUNT($C36:$D36)&lt;2,"",$C36*Settings!$B$7)</f>
        <v/>
      </c>
      <c r="L36" s="12" t="str">
        <f aca="false">IF(COUNT($C36:$D36)&lt;2,"",$D36*Settings!$B$8)</f>
        <v/>
      </c>
      <c r="M36" s="12" t="str">
        <f aca="false">IF(COUNT($C36:$D36)&lt;2,"",($K36+$L36)*Settings!$B$9)</f>
        <v/>
      </c>
      <c r="N36" s="12" t="str">
        <f aca="false">IF(COUNT($C36:$D36)&lt;2,"",(IF($E36="",Settings!$B$11,$E36)/60+N($F36))*Settings!$B$10)</f>
        <v/>
      </c>
      <c r="O36" s="12" t="str">
        <f aca="false">IF(COUNT($C36:$D36)&lt;2,"",IF($G36="",IF($B36="Painted",Settings!$B$12,0),$G36)+N($H36)+IF($I36="",Settings!$B$13,$I36))</f>
        <v/>
      </c>
      <c r="P36" s="12" t="str">
        <f aca="false">IF(COUNT($C36:$D36)&lt;2,"",SUM($K36:$O36))</f>
        <v/>
      </c>
      <c r="Q36" s="13" t="str">
        <f aca="false">IF(COUNT($C36:$D36)&lt;2,"",IF($J36&lt;&gt;"",$J36,IF($B36="",Settings!$B$20,IFERROR(INDEX(Settings!$B$20:$B$22,MATCH($B36,Settings!$A$20:$A$22,0)),""))))</f>
        <v/>
      </c>
      <c r="R36" s="12" t="str">
        <f aca="false">IF(OR($P36="",$Q36=""),"",$P36*$Q36)</f>
        <v/>
      </c>
      <c r="S36" s="14" t="str">
        <f aca="false">IF($R36="","",IF(Settings!$B$16&gt;0,CEILING(($R36+Settings!$B$15)/(1-Settings!$B$14),Settings!$B$16),($R36+Settings!$B$15)/(1-Settings!$B$14)))</f>
        <v/>
      </c>
      <c r="T36" s="12" t="str">
        <f aca="false">IF($S36="","",$S36*Settings!$B$14+Settings!$B$15)</f>
        <v/>
      </c>
      <c r="U36" s="12" t="str">
        <f aca="false">IF($S36="","",$S36-$T36-$P36)</f>
        <v/>
      </c>
      <c r="V36" s="12" t="str">
        <f aca="false">IF(OR($U36="",N($D36)&lt;=0),"",$U36/$D36)</f>
        <v/>
      </c>
      <c r="W36" s="15"/>
    </row>
    <row r="37" customFormat="false" ht="15" hidden="false" customHeight="false" outlineLevel="0" collapsed="false">
      <c r="A37" s="5"/>
      <c r="B37" s="5"/>
      <c r="C37" s="6"/>
      <c r="D37" s="7"/>
      <c r="E37" s="8"/>
      <c r="F37" s="9"/>
      <c r="G37" s="10"/>
      <c r="H37" s="10"/>
      <c r="I37" s="10"/>
      <c r="J37" s="11"/>
      <c r="K37" s="12" t="str">
        <f aca="false">IF(COUNT($C37:$D37)&lt;2,"",$C37*Settings!$B$7)</f>
        <v/>
      </c>
      <c r="L37" s="12" t="str">
        <f aca="false">IF(COUNT($C37:$D37)&lt;2,"",$D37*Settings!$B$8)</f>
        <v/>
      </c>
      <c r="M37" s="12" t="str">
        <f aca="false">IF(COUNT($C37:$D37)&lt;2,"",($K37+$L37)*Settings!$B$9)</f>
        <v/>
      </c>
      <c r="N37" s="12" t="str">
        <f aca="false">IF(COUNT($C37:$D37)&lt;2,"",(IF($E37="",Settings!$B$11,$E37)/60+N($F37))*Settings!$B$10)</f>
        <v/>
      </c>
      <c r="O37" s="12" t="str">
        <f aca="false">IF(COUNT($C37:$D37)&lt;2,"",IF($G37="",IF($B37="Painted",Settings!$B$12,0),$G37)+N($H37)+IF($I37="",Settings!$B$13,$I37))</f>
        <v/>
      </c>
      <c r="P37" s="12" t="str">
        <f aca="false">IF(COUNT($C37:$D37)&lt;2,"",SUM($K37:$O37))</f>
        <v/>
      </c>
      <c r="Q37" s="13" t="str">
        <f aca="false">IF(COUNT($C37:$D37)&lt;2,"",IF($J37&lt;&gt;"",$J37,IF($B37="",Settings!$B$20,IFERROR(INDEX(Settings!$B$20:$B$22,MATCH($B37,Settings!$A$20:$A$22,0)),""))))</f>
        <v/>
      </c>
      <c r="R37" s="12" t="str">
        <f aca="false">IF(OR($P37="",$Q37=""),"",$P37*$Q37)</f>
        <v/>
      </c>
      <c r="S37" s="14" t="str">
        <f aca="false">IF($R37="","",IF(Settings!$B$16&gt;0,CEILING(($R37+Settings!$B$15)/(1-Settings!$B$14),Settings!$B$16),($R37+Settings!$B$15)/(1-Settings!$B$14)))</f>
        <v/>
      </c>
      <c r="T37" s="12" t="str">
        <f aca="false">IF($S37="","",$S37*Settings!$B$14+Settings!$B$15)</f>
        <v/>
      </c>
      <c r="U37" s="12" t="str">
        <f aca="false">IF($S37="","",$S37-$T37-$P37)</f>
        <v/>
      </c>
      <c r="V37" s="12" t="str">
        <f aca="false">IF(OR($U37="",N($D37)&lt;=0),"",$U37/$D37)</f>
        <v/>
      </c>
      <c r="W37" s="15"/>
    </row>
    <row r="38" customFormat="false" ht="15" hidden="false" customHeight="false" outlineLevel="0" collapsed="false">
      <c r="A38" s="5"/>
      <c r="B38" s="5"/>
      <c r="C38" s="6"/>
      <c r="D38" s="7"/>
      <c r="E38" s="8"/>
      <c r="F38" s="9"/>
      <c r="G38" s="10"/>
      <c r="H38" s="10"/>
      <c r="I38" s="10"/>
      <c r="J38" s="11"/>
      <c r="K38" s="12" t="str">
        <f aca="false">IF(COUNT($C38:$D38)&lt;2,"",$C38*Settings!$B$7)</f>
        <v/>
      </c>
      <c r="L38" s="12" t="str">
        <f aca="false">IF(COUNT($C38:$D38)&lt;2,"",$D38*Settings!$B$8)</f>
        <v/>
      </c>
      <c r="M38" s="12" t="str">
        <f aca="false">IF(COUNT($C38:$D38)&lt;2,"",($K38+$L38)*Settings!$B$9)</f>
        <v/>
      </c>
      <c r="N38" s="12" t="str">
        <f aca="false">IF(COUNT($C38:$D38)&lt;2,"",(IF($E38="",Settings!$B$11,$E38)/60+N($F38))*Settings!$B$10)</f>
        <v/>
      </c>
      <c r="O38" s="12" t="str">
        <f aca="false">IF(COUNT($C38:$D38)&lt;2,"",IF($G38="",IF($B38="Painted",Settings!$B$12,0),$G38)+N($H38)+IF($I38="",Settings!$B$13,$I38))</f>
        <v/>
      </c>
      <c r="P38" s="12" t="str">
        <f aca="false">IF(COUNT($C38:$D38)&lt;2,"",SUM($K38:$O38))</f>
        <v/>
      </c>
      <c r="Q38" s="13" t="str">
        <f aca="false">IF(COUNT($C38:$D38)&lt;2,"",IF($J38&lt;&gt;"",$J38,IF($B38="",Settings!$B$20,IFERROR(INDEX(Settings!$B$20:$B$22,MATCH($B38,Settings!$A$20:$A$22,0)),""))))</f>
        <v/>
      </c>
      <c r="R38" s="12" t="str">
        <f aca="false">IF(OR($P38="",$Q38=""),"",$P38*$Q38)</f>
        <v/>
      </c>
      <c r="S38" s="14" t="str">
        <f aca="false">IF($R38="","",IF(Settings!$B$16&gt;0,CEILING(($R38+Settings!$B$15)/(1-Settings!$B$14),Settings!$B$16),($R38+Settings!$B$15)/(1-Settings!$B$14)))</f>
        <v/>
      </c>
      <c r="T38" s="12" t="str">
        <f aca="false">IF($S38="","",$S38*Settings!$B$14+Settings!$B$15)</f>
        <v/>
      </c>
      <c r="U38" s="12" t="str">
        <f aca="false">IF($S38="","",$S38-$T38-$P38)</f>
        <v/>
      </c>
      <c r="V38" s="12" t="str">
        <f aca="false">IF(OR($U38="",N($D38)&lt;=0),"",$U38/$D38)</f>
        <v/>
      </c>
      <c r="W38" s="15"/>
    </row>
    <row r="39" customFormat="false" ht="15" hidden="false" customHeight="false" outlineLevel="0" collapsed="false">
      <c r="A39" s="5"/>
      <c r="B39" s="5"/>
      <c r="C39" s="6"/>
      <c r="D39" s="7"/>
      <c r="E39" s="8"/>
      <c r="F39" s="9"/>
      <c r="G39" s="10"/>
      <c r="H39" s="10"/>
      <c r="I39" s="10"/>
      <c r="J39" s="11"/>
      <c r="K39" s="12" t="str">
        <f aca="false">IF(COUNT($C39:$D39)&lt;2,"",$C39*Settings!$B$7)</f>
        <v/>
      </c>
      <c r="L39" s="12" t="str">
        <f aca="false">IF(COUNT($C39:$D39)&lt;2,"",$D39*Settings!$B$8)</f>
        <v/>
      </c>
      <c r="M39" s="12" t="str">
        <f aca="false">IF(COUNT($C39:$D39)&lt;2,"",($K39+$L39)*Settings!$B$9)</f>
        <v/>
      </c>
      <c r="N39" s="12" t="str">
        <f aca="false">IF(COUNT($C39:$D39)&lt;2,"",(IF($E39="",Settings!$B$11,$E39)/60+N($F39))*Settings!$B$10)</f>
        <v/>
      </c>
      <c r="O39" s="12" t="str">
        <f aca="false">IF(COUNT($C39:$D39)&lt;2,"",IF($G39="",IF($B39="Painted",Settings!$B$12,0),$G39)+N($H39)+IF($I39="",Settings!$B$13,$I39))</f>
        <v/>
      </c>
      <c r="P39" s="12" t="str">
        <f aca="false">IF(COUNT($C39:$D39)&lt;2,"",SUM($K39:$O39))</f>
        <v/>
      </c>
      <c r="Q39" s="13" t="str">
        <f aca="false">IF(COUNT($C39:$D39)&lt;2,"",IF($J39&lt;&gt;"",$J39,IF($B39="",Settings!$B$20,IFERROR(INDEX(Settings!$B$20:$B$22,MATCH($B39,Settings!$A$20:$A$22,0)),""))))</f>
        <v/>
      </c>
      <c r="R39" s="12" t="str">
        <f aca="false">IF(OR($P39="",$Q39=""),"",$P39*$Q39)</f>
        <v/>
      </c>
      <c r="S39" s="14" t="str">
        <f aca="false">IF($R39="","",IF(Settings!$B$16&gt;0,CEILING(($R39+Settings!$B$15)/(1-Settings!$B$14),Settings!$B$16),($R39+Settings!$B$15)/(1-Settings!$B$14)))</f>
        <v/>
      </c>
      <c r="T39" s="12" t="str">
        <f aca="false">IF($S39="","",$S39*Settings!$B$14+Settings!$B$15)</f>
        <v/>
      </c>
      <c r="U39" s="12" t="str">
        <f aca="false">IF($S39="","",$S39-$T39-$P39)</f>
        <v/>
      </c>
      <c r="V39" s="12" t="str">
        <f aca="false">IF(OR($U39="",N($D39)&lt;=0),"",$U39/$D39)</f>
        <v/>
      </c>
      <c r="W39" s="15"/>
    </row>
    <row r="40" customFormat="false" ht="15" hidden="false" customHeight="false" outlineLevel="0" collapsed="false">
      <c r="A40" s="5"/>
      <c r="B40" s="5"/>
      <c r="C40" s="6"/>
      <c r="D40" s="7"/>
      <c r="E40" s="8"/>
      <c r="F40" s="9"/>
      <c r="G40" s="10"/>
      <c r="H40" s="10"/>
      <c r="I40" s="10"/>
      <c r="J40" s="11"/>
      <c r="K40" s="12" t="str">
        <f aca="false">IF(COUNT($C40:$D40)&lt;2,"",$C40*Settings!$B$7)</f>
        <v/>
      </c>
      <c r="L40" s="12" t="str">
        <f aca="false">IF(COUNT($C40:$D40)&lt;2,"",$D40*Settings!$B$8)</f>
        <v/>
      </c>
      <c r="M40" s="12" t="str">
        <f aca="false">IF(COUNT($C40:$D40)&lt;2,"",($K40+$L40)*Settings!$B$9)</f>
        <v/>
      </c>
      <c r="N40" s="12" t="str">
        <f aca="false">IF(COUNT($C40:$D40)&lt;2,"",(IF($E40="",Settings!$B$11,$E40)/60+N($F40))*Settings!$B$10)</f>
        <v/>
      </c>
      <c r="O40" s="12" t="str">
        <f aca="false">IF(COUNT($C40:$D40)&lt;2,"",IF($G40="",IF($B40="Painted",Settings!$B$12,0),$G40)+N($H40)+IF($I40="",Settings!$B$13,$I40))</f>
        <v/>
      </c>
      <c r="P40" s="12" t="str">
        <f aca="false">IF(COUNT($C40:$D40)&lt;2,"",SUM($K40:$O40))</f>
        <v/>
      </c>
      <c r="Q40" s="13" t="str">
        <f aca="false">IF(COUNT($C40:$D40)&lt;2,"",IF($J40&lt;&gt;"",$J40,IF($B40="",Settings!$B$20,IFERROR(INDEX(Settings!$B$20:$B$22,MATCH($B40,Settings!$A$20:$A$22,0)),""))))</f>
        <v/>
      </c>
      <c r="R40" s="12" t="str">
        <f aca="false">IF(OR($P40="",$Q40=""),"",$P40*$Q40)</f>
        <v/>
      </c>
      <c r="S40" s="14" t="str">
        <f aca="false">IF($R40="","",IF(Settings!$B$16&gt;0,CEILING(($R40+Settings!$B$15)/(1-Settings!$B$14),Settings!$B$16),($R40+Settings!$B$15)/(1-Settings!$B$14)))</f>
        <v/>
      </c>
      <c r="T40" s="12" t="str">
        <f aca="false">IF($S40="","",$S40*Settings!$B$14+Settings!$B$15)</f>
        <v/>
      </c>
      <c r="U40" s="12" t="str">
        <f aca="false">IF($S40="","",$S40-$T40-$P40)</f>
        <v/>
      </c>
      <c r="V40" s="12" t="str">
        <f aca="false">IF(OR($U40="",N($D40)&lt;=0),"",$U40/$D40)</f>
        <v/>
      </c>
      <c r="W40" s="15"/>
    </row>
    <row r="41" customFormat="false" ht="15" hidden="false" customHeight="false" outlineLevel="0" collapsed="false">
      <c r="A41" s="5"/>
      <c r="B41" s="5"/>
      <c r="C41" s="6"/>
      <c r="D41" s="7"/>
      <c r="E41" s="8"/>
      <c r="F41" s="9"/>
      <c r="G41" s="10"/>
      <c r="H41" s="10"/>
      <c r="I41" s="10"/>
      <c r="J41" s="11"/>
      <c r="K41" s="12" t="str">
        <f aca="false">IF(COUNT($C41:$D41)&lt;2,"",$C41*Settings!$B$7)</f>
        <v/>
      </c>
      <c r="L41" s="12" t="str">
        <f aca="false">IF(COUNT($C41:$D41)&lt;2,"",$D41*Settings!$B$8)</f>
        <v/>
      </c>
      <c r="M41" s="12" t="str">
        <f aca="false">IF(COUNT($C41:$D41)&lt;2,"",($K41+$L41)*Settings!$B$9)</f>
        <v/>
      </c>
      <c r="N41" s="12" t="str">
        <f aca="false">IF(COUNT($C41:$D41)&lt;2,"",(IF($E41="",Settings!$B$11,$E41)/60+N($F41))*Settings!$B$10)</f>
        <v/>
      </c>
      <c r="O41" s="12" t="str">
        <f aca="false">IF(COUNT($C41:$D41)&lt;2,"",IF($G41="",IF($B41="Painted",Settings!$B$12,0),$G41)+N($H41)+IF($I41="",Settings!$B$13,$I41))</f>
        <v/>
      </c>
      <c r="P41" s="12" t="str">
        <f aca="false">IF(COUNT($C41:$D41)&lt;2,"",SUM($K41:$O41))</f>
        <v/>
      </c>
      <c r="Q41" s="13" t="str">
        <f aca="false">IF(COUNT($C41:$D41)&lt;2,"",IF($J41&lt;&gt;"",$J41,IF($B41="",Settings!$B$20,IFERROR(INDEX(Settings!$B$20:$B$22,MATCH($B41,Settings!$A$20:$A$22,0)),""))))</f>
        <v/>
      </c>
      <c r="R41" s="12" t="str">
        <f aca="false">IF(OR($P41="",$Q41=""),"",$P41*$Q41)</f>
        <v/>
      </c>
      <c r="S41" s="14" t="str">
        <f aca="false">IF($R41="","",IF(Settings!$B$16&gt;0,CEILING(($R41+Settings!$B$15)/(1-Settings!$B$14),Settings!$B$16),($R41+Settings!$B$15)/(1-Settings!$B$14)))</f>
        <v/>
      </c>
      <c r="T41" s="12" t="str">
        <f aca="false">IF($S41="","",$S41*Settings!$B$14+Settings!$B$15)</f>
        <v/>
      </c>
      <c r="U41" s="12" t="str">
        <f aca="false">IF($S41="","",$S41-$T41-$P41)</f>
        <v/>
      </c>
      <c r="V41" s="12" t="str">
        <f aca="false">IF(OR($U41="",N($D41)&lt;=0),"",$U41/$D41)</f>
        <v/>
      </c>
      <c r="W41" s="15"/>
    </row>
    <row r="42" customFormat="false" ht="15" hidden="false" customHeight="false" outlineLevel="0" collapsed="false">
      <c r="A42" s="5"/>
      <c r="B42" s="5"/>
      <c r="C42" s="6"/>
      <c r="D42" s="7"/>
      <c r="E42" s="8"/>
      <c r="F42" s="9"/>
      <c r="G42" s="10"/>
      <c r="H42" s="10"/>
      <c r="I42" s="10"/>
      <c r="J42" s="11"/>
      <c r="K42" s="12" t="str">
        <f aca="false">IF(COUNT($C42:$D42)&lt;2,"",$C42*Settings!$B$7)</f>
        <v/>
      </c>
      <c r="L42" s="12" t="str">
        <f aca="false">IF(COUNT($C42:$D42)&lt;2,"",$D42*Settings!$B$8)</f>
        <v/>
      </c>
      <c r="M42" s="12" t="str">
        <f aca="false">IF(COUNT($C42:$D42)&lt;2,"",($K42+$L42)*Settings!$B$9)</f>
        <v/>
      </c>
      <c r="N42" s="12" t="str">
        <f aca="false">IF(COUNT($C42:$D42)&lt;2,"",(IF($E42="",Settings!$B$11,$E42)/60+N($F42))*Settings!$B$10)</f>
        <v/>
      </c>
      <c r="O42" s="12" t="str">
        <f aca="false">IF(COUNT($C42:$D42)&lt;2,"",IF($G42="",IF($B42="Painted",Settings!$B$12,0),$G42)+N($H42)+IF($I42="",Settings!$B$13,$I42))</f>
        <v/>
      </c>
      <c r="P42" s="12" t="str">
        <f aca="false">IF(COUNT($C42:$D42)&lt;2,"",SUM($K42:$O42))</f>
        <v/>
      </c>
      <c r="Q42" s="13" t="str">
        <f aca="false">IF(COUNT($C42:$D42)&lt;2,"",IF($J42&lt;&gt;"",$J42,IF($B42="",Settings!$B$20,IFERROR(INDEX(Settings!$B$20:$B$22,MATCH($B42,Settings!$A$20:$A$22,0)),""))))</f>
        <v/>
      </c>
      <c r="R42" s="12" t="str">
        <f aca="false">IF(OR($P42="",$Q42=""),"",$P42*$Q42)</f>
        <v/>
      </c>
      <c r="S42" s="14" t="str">
        <f aca="false">IF($R42="","",IF(Settings!$B$16&gt;0,CEILING(($R42+Settings!$B$15)/(1-Settings!$B$14),Settings!$B$16),($R42+Settings!$B$15)/(1-Settings!$B$14)))</f>
        <v/>
      </c>
      <c r="T42" s="12" t="str">
        <f aca="false">IF($S42="","",$S42*Settings!$B$14+Settings!$B$15)</f>
        <v/>
      </c>
      <c r="U42" s="12" t="str">
        <f aca="false">IF($S42="","",$S42-$T42-$P42)</f>
        <v/>
      </c>
      <c r="V42" s="12" t="str">
        <f aca="false">IF(OR($U42="",N($D42)&lt;=0),"",$U42/$D42)</f>
        <v/>
      </c>
      <c r="W42" s="15"/>
    </row>
    <row r="43" customFormat="false" ht="15" hidden="false" customHeight="false" outlineLevel="0" collapsed="false">
      <c r="A43" s="5"/>
      <c r="B43" s="5"/>
      <c r="C43" s="6"/>
      <c r="D43" s="7"/>
      <c r="E43" s="8"/>
      <c r="F43" s="9"/>
      <c r="G43" s="10"/>
      <c r="H43" s="10"/>
      <c r="I43" s="10"/>
      <c r="J43" s="11"/>
      <c r="K43" s="12" t="str">
        <f aca="false">IF(COUNT($C43:$D43)&lt;2,"",$C43*Settings!$B$7)</f>
        <v/>
      </c>
      <c r="L43" s="12" t="str">
        <f aca="false">IF(COUNT($C43:$D43)&lt;2,"",$D43*Settings!$B$8)</f>
        <v/>
      </c>
      <c r="M43" s="12" t="str">
        <f aca="false">IF(COUNT($C43:$D43)&lt;2,"",($K43+$L43)*Settings!$B$9)</f>
        <v/>
      </c>
      <c r="N43" s="12" t="str">
        <f aca="false">IF(COUNT($C43:$D43)&lt;2,"",(IF($E43="",Settings!$B$11,$E43)/60+N($F43))*Settings!$B$10)</f>
        <v/>
      </c>
      <c r="O43" s="12" t="str">
        <f aca="false">IF(COUNT($C43:$D43)&lt;2,"",IF($G43="",IF($B43="Painted",Settings!$B$12,0),$G43)+N($H43)+IF($I43="",Settings!$B$13,$I43))</f>
        <v/>
      </c>
      <c r="P43" s="12" t="str">
        <f aca="false">IF(COUNT($C43:$D43)&lt;2,"",SUM($K43:$O43))</f>
        <v/>
      </c>
      <c r="Q43" s="13" t="str">
        <f aca="false">IF(COUNT($C43:$D43)&lt;2,"",IF($J43&lt;&gt;"",$J43,IF($B43="",Settings!$B$20,IFERROR(INDEX(Settings!$B$20:$B$22,MATCH($B43,Settings!$A$20:$A$22,0)),""))))</f>
        <v/>
      </c>
      <c r="R43" s="12" t="str">
        <f aca="false">IF(OR($P43="",$Q43=""),"",$P43*$Q43)</f>
        <v/>
      </c>
      <c r="S43" s="14" t="str">
        <f aca="false">IF($R43="","",IF(Settings!$B$16&gt;0,CEILING(($R43+Settings!$B$15)/(1-Settings!$B$14),Settings!$B$16),($R43+Settings!$B$15)/(1-Settings!$B$14)))</f>
        <v/>
      </c>
      <c r="T43" s="12" t="str">
        <f aca="false">IF($S43="","",$S43*Settings!$B$14+Settings!$B$15)</f>
        <v/>
      </c>
      <c r="U43" s="12" t="str">
        <f aca="false">IF($S43="","",$S43-$T43-$P43)</f>
        <v/>
      </c>
      <c r="V43" s="12" t="str">
        <f aca="false">IF(OR($U43="",N($D43)&lt;=0),"",$U43/$D43)</f>
        <v/>
      </c>
      <c r="W43" s="15"/>
    </row>
    <row r="44" customFormat="false" ht="15" hidden="false" customHeight="false" outlineLevel="0" collapsed="false">
      <c r="A44" s="5"/>
      <c r="B44" s="5"/>
      <c r="C44" s="6"/>
      <c r="D44" s="7"/>
      <c r="E44" s="8"/>
      <c r="F44" s="9"/>
      <c r="G44" s="10"/>
      <c r="H44" s="10"/>
      <c r="I44" s="10"/>
      <c r="J44" s="11"/>
      <c r="K44" s="12" t="str">
        <f aca="false">IF(COUNT($C44:$D44)&lt;2,"",$C44*Settings!$B$7)</f>
        <v/>
      </c>
      <c r="L44" s="12" t="str">
        <f aca="false">IF(COUNT($C44:$D44)&lt;2,"",$D44*Settings!$B$8)</f>
        <v/>
      </c>
      <c r="M44" s="12" t="str">
        <f aca="false">IF(COUNT($C44:$D44)&lt;2,"",($K44+$L44)*Settings!$B$9)</f>
        <v/>
      </c>
      <c r="N44" s="12" t="str">
        <f aca="false">IF(COUNT($C44:$D44)&lt;2,"",(IF($E44="",Settings!$B$11,$E44)/60+N($F44))*Settings!$B$10)</f>
        <v/>
      </c>
      <c r="O44" s="12" t="str">
        <f aca="false">IF(COUNT($C44:$D44)&lt;2,"",IF($G44="",IF($B44="Painted",Settings!$B$12,0),$G44)+N($H44)+IF($I44="",Settings!$B$13,$I44))</f>
        <v/>
      </c>
      <c r="P44" s="12" t="str">
        <f aca="false">IF(COUNT($C44:$D44)&lt;2,"",SUM($K44:$O44))</f>
        <v/>
      </c>
      <c r="Q44" s="13" t="str">
        <f aca="false">IF(COUNT($C44:$D44)&lt;2,"",IF($J44&lt;&gt;"",$J44,IF($B44="",Settings!$B$20,IFERROR(INDEX(Settings!$B$20:$B$22,MATCH($B44,Settings!$A$20:$A$22,0)),""))))</f>
        <v/>
      </c>
      <c r="R44" s="12" t="str">
        <f aca="false">IF(OR($P44="",$Q44=""),"",$P44*$Q44)</f>
        <v/>
      </c>
      <c r="S44" s="14" t="str">
        <f aca="false">IF($R44="","",IF(Settings!$B$16&gt;0,CEILING(($R44+Settings!$B$15)/(1-Settings!$B$14),Settings!$B$16),($R44+Settings!$B$15)/(1-Settings!$B$14)))</f>
        <v/>
      </c>
      <c r="T44" s="12" t="str">
        <f aca="false">IF($S44="","",$S44*Settings!$B$14+Settings!$B$15)</f>
        <v/>
      </c>
      <c r="U44" s="12" t="str">
        <f aca="false">IF($S44="","",$S44-$T44-$P44)</f>
        <v/>
      </c>
      <c r="V44" s="12" t="str">
        <f aca="false">IF(OR($U44="",N($D44)&lt;=0),"",$U44/$D44)</f>
        <v/>
      </c>
      <c r="W44" s="15"/>
    </row>
    <row r="45" customFormat="false" ht="15" hidden="false" customHeight="false" outlineLevel="0" collapsed="false">
      <c r="A45" s="5"/>
      <c r="B45" s="5"/>
      <c r="C45" s="6"/>
      <c r="D45" s="7"/>
      <c r="E45" s="8"/>
      <c r="F45" s="9"/>
      <c r="G45" s="10"/>
      <c r="H45" s="10"/>
      <c r="I45" s="10"/>
      <c r="J45" s="11"/>
      <c r="K45" s="12" t="str">
        <f aca="false">IF(COUNT($C45:$D45)&lt;2,"",$C45*Settings!$B$7)</f>
        <v/>
      </c>
      <c r="L45" s="12" t="str">
        <f aca="false">IF(COUNT($C45:$D45)&lt;2,"",$D45*Settings!$B$8)</f>
        <v/>
      </c>
      <c r="M45" s="12" t="str">
        <f aca="false">IF(COUNT($C45:$D45)&lt;2,"",($K45+$L45)*Settings!$B$9)</f>
        <v/>
      </c>
      <c r="N45" s="12" t="str">
        <f aca="false">IF(COUNT($C45:$D45)&lt;2,"",(IF($E45="",Settings!$B$11,$E45)/60+N($F45))*Settings!$B$10)</f>
        <v/>
      </c>
      <c r="O45" s="12" t="str">
        <f aca="false">IF(COUNT($C45:$D45)&lt;2,"",IF($G45="",IF($B45="Painted",Settings!$B$12,0),$G45)+N($H45)+IF($I45="",Settings!$B$13,$I45))</f>
        <v/>
      </c>
      <c r="P45" s="12" t="str">
        <f aca="false">IF(COUNT($C45:$D45)&lt;2,"",SUM($K45:$O45))</f>
        <v/>
      </c>
      <c r="Q45" s="13" t="str">
        <f aca="false">IF(COUNT($C45:$D45)&lt;2,"",IF($J45&lt;&gt;"",$J45,IF($B45="",Settings!$B$20,IFERROR(INDEX(Settings!$B$20:$B$22,MATCH($B45,Settings!$A$20:$A$22,0)),""))))</f>
        <v/>
      </c>
      <c r="R45" s="12" t="str">
        <f aca="false">IF(OR($P45="",$Q45=""),"",$P45*$Q45)</f>
        <v/>
      </c>
      <c r="S45" s="14" t="str">
        <f aca="false">IF($R45="","",IF(Settings!$B$16&gt;0,CEILING(($R45+Settings!$B$15)/(1-Settings!$B$14),Settings!$B$16),($R45+Settings!$B$15)/(1-Settings!$B$14)))</f>
        <v/>
      </c>
      <c r="T45" s="12" t="str">
        <f aca="false">IF($S45="","",$S45*Settings!$B$14+Settings!$B$15)</f>
        <v/>
      </c>
      <c r="U45" s="12" t="str">
        <f aca="false">IF($S45="","",$S45-$T45-$P45)</f>
        <v/>
      </c>
      <c r="V45" s="12" t="str">
        <f aca="false">IF(OR($U45="",N($D45)&lt;=0),"",$U45/$D45)</f>
        <v/>
      </c>
      <c r="W45" s="15"/>
    </row>
    <row r="46" customFormat="false" ht="15" hidden="false" customHeight="false" outlineLevel="0" collapsed="false">
      <c r="A46" s="5"/>
      <c r="B46" s="5"/>
      <c r="C46" s="6"/>
      <c r="D46" s="7"/>
      <c r="E46" s="8"/>
      <c r="F46" s="9"/>
      <c r="G46" s="10"/>
      <c r="H46" s="10"/>
      <c r="I46" s="10"/>
      <c r="J46" s="11"/>
      <c r="K46" s="12" t="str">
        <f aca="false">IF(COUNT($C46:$D46)&lt;2,"",$C46*Settings!$B$7)</f>
        <v/>
      </c>
      <c r="L46" s="12" t="str">
        <f aca="false">IF(COUNT($C46:$D46)&lt;2,"",$D46*Settings!$B$8)</f>
        <v/>
      </c>
      <c r="M46" s="12" t="str">
        <f aca="false">IF(COUNT($C46:$D46)&lt;2,"",($K46+$L46)*Settings!$B$9)</f>
        <v/>
      </c>
      <c r="N46" s="12" t="str">
        <f aca="false">IF(COUNT($C46:$D46)&lt;2,"",(IF($E46="",Settings!$B$11,$E46)/60+N($F46))*Settings!$B$10)</f>
        <v/>
      </c>
      <c r="O46" s="12" t="str">
        <f aca="false">IF(COUNT($C46:$D46)&lt;2,"",IF($G46="",IF($B46="Painted",Settings!$B$12,0),$G46)+N($H46)+IF($I46="",Settings!$B$13,$I46))</f>
        <v/>
      </c>
      <c r="P46" s="12" t="str">
        <f aca="false">IF(COUNT($C46:$D46)&lt;2,"",SUM($K46:$O46))</f>
        <v/>
      </c>
      <c r="Q46" s="13" t="str">
        <f aca="false">IF(COUNT($C46:$D46)&lt;2,"",IF($J46&lt;&gt;"",$J46,IF($B46="",Settings!$B$20,IFERROR(INDEX(Settings!$B$20:$B$22,MATCH($B46,Settings!$A$20:$A$22,0)),""))))</f>
        <v/>
      </c>
      <c r="R46" s="12" t="str">
        <f aca="false">IF(OR($P46="",$Q46=""),"",$P46*$Q46)</f>
        <v/>
      </c>
      <c r="S46" s="14" t="str">
        <f aca="false">IF($R46="","",IF(Settings!$B$16&gt;0,CEILING(($R46+Settings!$B$15)/(1-Settings!$B$14),Settings!$B$16),($R46+Settings!$B$15)/(1-Settings!$B$14)))</f>
        <v/>
      </c>
      <c r="T46" s="12" t="str">
        <f aca="false">IF($S46="","",$S46*Settings!$B$14+Settings!$B$15)</f>
        <v/>
      </c>
      <c r="U46" s="12" t="str">
        <f aca="false">IF($S46="","",$S46-$T46-$P46)</f>
        <v/>
      </c>
      <c r="V46" s="12" t="str">
        <f aca="false">IF(OR($U46="",N($D46)&lt;=0),"",$U46/$D46)</f>
        <v/>
      </c>
      <c r="W46" s="15"/>
    </row>
    <row r="47" customFormat="false" ht="15" hidden="false" customHeight="false" outlineLevel="0" collapsed="false">
      <c r="A47" s="5"/>
      <c r="B47" s="5"/>
      <c r="C47" s="6"/>
      <c r="D47" s="7"/>
      <c r="E47" s="8"/>
      <c r="F47" s="9"/>
      <c r="G47" s="10"/>
      <c r="H47" s="10"/>
      <c r="I47" s="10"/>
      <c r="J47" s="11"/>
      <c r="K47" s="12" t="str">
        <f aca="false">IF(COUNT($C47:$D47)&lt;2,"",$C47*Settings!$B$7)</f>
        <v/>
      </c>
      <c r="L47" s="12" t="str">
        <f aca="false">IF(COUNT($C47:$D47)&lt;2,"",$D47*Settings!$B$8)</f>
        <v/>
      </c>
      <c r="M47" s="12" t="str">
        <f aca="false">IF(COUNT($C47:$D47)&lt;2,"",($K47+$L47)*Settings!$B$9)</f>
        <v/>
      </c>
      <c r="N47" s="12" t="str">
        <f aca="false">IF(COUNT($C47:$D47)&lt;2,"",(IF($E47="",Settings!$B$11,$E47)/60+N($F47))*Settings!$B$10)</f>
        <v/>
      </c>
      <c r="O47" s="12" t="str">
        <f aca="false">IF(COUNT($C47:$D47)&lt;2,"",IF($G47="",IF($B47="Painted",Settings!$B$12,0),$G47)+N($H47)+IF($I47="",Settings!$B$13,$I47))</f>
        <v/>
      </c>
      <c r="P47" s="12" t="str">
        <f aca="false">IF(COUNT($C47:$D47)&lt;2,"",SUM($K47:$O47))</f>
        <v/>
      </c>
      <c r="Q47" s="13" t="str">
        <f aca="false">IF(COUNT($C47:$D47)&lt;2,"",IF($J47&lt;&gt;"",$J47,IF($B47="",Settings!$B$20,IFERROR(INDEX(Settings!$B$20:$B$22,MATCH($B47,Settings!$A$20:$A$22,0)),""))))</f>
        <v/>
      </c>
      <c r="R47" s="12" t="str">
        <f aca="false">IF(OR($P47="",$Q47=""),"",$P47*$Q47)</f>
        <v/>
      </c>
      <c r="S47" s="14" t="str">
        <f aca="false">IF($R47="","",IF(Settings!$B$16&gt;0,CEILING(($R47+Settings!$B$15)/(1-Settings!$B$14),Settings!$B$16),($R47+Settings!$B$15)/(1-Settings!$B$14)))</f>
        <v/>
      </c>
      <c r="T47" s="12" t="str">
        <f aca="false">IF($S47="","",$S47*Settings!$B$14+Settings!$B$15)</f>
        <v/>
      </c>
      <c r="U47" s="12" t="str">
        <f aca="false">IF($S47="","",$S47-$T47-$P47)</f>
        <v/>
      </c>
      <c r="V47" s="12" t="str">
        <f aca="false">IF(OR($U47="",N($D47)&lt;=0),"",$U47/$D47)</f>
        <v/>
      </c>
      <c r="W47" s="15"/>
    </row>
    <row r="48" customFormat="false" ht="15" hidden="false" customHeight="false" outlineLevel="0" collapsed="false">
      <c r="A48" s="5"/>
      <c r="B48" s="5"/>
      <c r="C48" s="6"/>
      <c r="D48" s="7"/>
      <c r="E48" s="8"/>
      <c r="F48" s="9"/>
      <c r="G48" s="10"/>
      <c r="H48" s="10"/>
      <c r="I48" s="10"/>
      <c r="J48" s="11"/>
      <c r="K48" s="12" t="str">
        <f aca="false">IF(COUNT($C48:$D48)&lt;2,"",$C48*Settings!$B$7)</f>
        <v/>
      </c>
      <c r="L48" s="12" t="str">
        <f aca="false">IF(COUNT($C48:$D48)&lt;2,"",$D48*Settings!$B$8)</f>
        <v/>
      </c>
      <c r="M48" s="12" t="str">
        <f aca="false">IF(COUNT($C48:$D48)&lt;2,"",($K48+$L48)*Settings!$B$9)</f>
        <v/>
      </c>
      <c r="N48" s="12" t="str">
        <f aca="false">IF(COUNT($C48:$D48)&lt;2,"",(IF($E48="",Settings!$B$11,$E48)/60+N($F48))*Settings!$B$10)</f>
        <v/>
      </c>
      <c r="O48" s="12" t="str">
        <f aca="false">IF(COUNT($C48:$D48)&lt;2,"",IF($G48="",IF($B48="Painted",Settings!$B$12,0),$G48)+N($H48)+IF($I48="",Settings!$B$13,$I48))</f>
        <v/>
      </c>
      <c r="P48" s="12" t="str">
        <f aca="false">IF(COUNT($C48:$D48)&lt;2,"",SUM($K48:$O48))</f>
        <v/>
      </c>
      <c r="Q48" s="13" t="str">
        <f aca="false">IF(COUNT($C48:$D48)&lt;2,"",IF($J48&lt;&gt;"",$J48,IF($B48="",Settings!$B$20,IFERROR(INDEX(Settings!$B$20:$B$22,MATCH($B48,Settings!$A$20:$A$22,0)),""))))</f>
        <v/>
      </c>
      <c r="R48" s="12" t="str">
        <f aca="false">IF(OR($P48="",$Q48=""),"",$P48*$Q48)</f>
        <v/>
      </c>
      <c r="S48" s="14" t="str">
        <f aca="false">IF($R48="","",IF(Settings!$B$16&gt;0,CEILING(($R48+Settings!$B$15)/(1-Settings!$B$14),Settings!$B$16),($R48+Settings!$B$15)/(1-Settings!$B$14)))</f>
        <v/>
      </c>
      <c r="T48" s="12" t="str">
        <f aca="false">IF($S48="","",$S48*Settings!$B$14+Settings!$B$15)</f>
        <v/>
      </c>
      <c r="U48" s="12" t="str">
        <f aca="false">IF($S48="","",$S48-$T48-$P48)</f>
        <v/>
      </c>
      <c r="V48" s="12" t="str">
        <f aca="false">IF(OR($U48="",N($D48)&lt;=0),"",$U48/$D48)</f>
        <v/>
      </c>
      <c r="W48" s="15"/>
    </row>
    <row r="49" customFormat="false" ht="15" hidden="false" customHeight="false" outlineLevel="0" collapsed="false">
      <c r="A49" s="5"/>
      <c r="B49" s="5"/>
      <c r="C49" s="6"/>
      <c r="D49" s="7"/>
      <c r="E49" s="8"/>
      <c r="F49" s="9"/>
      <c r="G49" s="10"/>
      <c r="H49" s="10"/>
      <c r="I49" s="10"/>
      <c r="J49" s="11"/>
      <c r="K49" s="12" t="str">
        <f aca="false">IF(COUNT($C49:$D49)&lt;2,"",$C49*Settings!$B$7)</f>
        <v/>
      </c>
      <c r="L49" s="12" t="str">
        <f aca="false">IF(COUNT($C49:$D49)&lt;2,"",$D49*Settings!$B$8)</f>
        <v/>
      </c>
      <c r="M49" s="12" t="str">
        <f aca="false">IF(COUNT($C49:$D49)&lt;2,"",($K49+$L49)*Settings!$B$9)</f>
        <v/>
      </c>
      <c r="N49" s="12" t="str">
        <f aca="false">IF(COUNT($C49:$D49)&lt;2,"",(IF($E49="",Settings!$B$11,$E49)/60+N($F49))*Settings!$B$10)</f>
        <v/>
      </c>
      <c r="O49" s="12" t="str">
        <f aca="false">IF(COUNT($C49:$D49)&lt;2,"",IF($G49="",IF($B49="Painted",Settings!$B$12,0),$G49)+N($H49)+IF($I49="",Settings!$B$13,$I49))</f>
        <v/>
      </c>
      <c r="P49" s="12" t="str">
        <f aca="false">IF(COUNT($C49:$D49)&lt;2,"",SUM($K49:$O49))</f>
        <v/>
      </c>
      <c r="Q49" s="13" t="str">
        <f aca="false">IF(COUNT($C49:$D49)&lt;2,"",IF($J49&lt;&gt;"",$J49,IF($B49="",Settings!$B$20,IFERROR(INDEX(Settings!$B$20:$B$22,MATCH($B49,Settings!$A$20:$A$22,0)),""))))</f>
        <v/>
      </c>
      <c r="R49" s="12" t="str">
        <f aca="false">IF(OR($P49="",$Q49=""),"",$P49*$Q49)</f>
        <v/>
      </c>
      <c r="S49" s="14" t="str">
        <f aca="false">IF($R49="","",IF(Settings!$B$16&gt;0,CEILING(($R49+Settings!$B$15)/(1-Settings!$B$14),Settings!$B$16),($R49+Settings!$B$15)/(1-Settings!$B$14)))</f>
        <v/>
      </c>
      <c r="T49" s="12" t="str">
        <f aca="false">IF($S49="","",$S49*Settings!$B$14+Settings!$B$15)</f>
        <v/>
      </c>
      <c r="U49" s="12" t="str">
        <f aca="false">IF($S49="","",$S49-$T49-$P49)</f>
        <v/>
      </c>
      <c r="V49" s="12" t="str">
        <f aca="false">IF(OR($U49="",N($D49)&lt;=0),"",$U49/$D49)</f>
        <v/>
      </c>
      <c r="W49" s="15"/>
    </row>
    <row r="50" customFormat="false" ht="15" hidden="false" customHeight="false" outlineLevel="0" collapsed="false">
      <c r="A50" s="5"/>
      <c r="B50" s="5"/>
      <c r="C50" s="6"/>
      <c r="D50" s="7"/>
      <c r="E50" s="8"/>
      <c r="F50" s="9"/>
      <c r="G50" s="10"/>
      <c r="H50" s="10"/>
      <c r="I50" s="10"/>
      <c r="J50" s="11"/>
      <c r="K50" s="12" t="str">
        <f aca="false">IF(COUNT($C50:$D50)&lt;2,"",$C50*Settings!$B$7)</f>
        <v/>
      </c>
      <c r="L50" s="12" t="str">
        <f aca="false">IF(COUNT($C50:$D50)&lt;2,"",$D50*Settings!$B$8)</f>
        <v/>
      </c>
      <c r="M50" s="12" t="str">
        <f aca="false">IF(COUNT($C50:$D50)&lt;2,"",($K50+$L50)*Settings!$B$9)</f>
        <v/>
      </c>
      <c r="N50" s="12" t="str">
        <f aca="false">IF(COUNT($C50:$D50)&lt;2,"",(IF($E50="",Settings!$B$11,$E50)/60+N($F50))*Settings!$B$10)</f>
        <v/>
      </c>
      <c r="O50" s="12" t="str">
        <f aca="false">IF(COUNT($C50:$D50)&lt;2,"",IF($G50="",IF($B50="Painted",Settings!$B$12,0),$G50)+N($H50)+IF($I50="",Settings!$B$13,$I50))</f>
        <v/>
      </c>
      <c r="P50" s="12" t="str">
        <f aca="false">IF(COUNT($C50:$D50)&lt;2,"",SUM($K50:$O50))</f>
        <v/>
      </c>
      <c r="Q50" s="13" t="str">
        <f aca="false">IF(COUNT($C50:$D50)&lt;2,"",IF($J50&lt;&gt;"",$J50,IF($B50="",Settings!$B$20,IFERROR(INDEX(Settings!$B$20:$B$22,MATCH($B50,Settings!$A$20:$A$22,0)),""))))</f>
        <v/>
      </c>
      <c r="R50" s="12" t="str">
        <f aca="false">IF(OR($P50="",$Q50=""),"",$P50*$Q50)</f>
        <v/>
      </c>
      <c r="S50" s="14" t="str">
        <f aca="false">IF($R50="","",IF(Settings!$B$16&gt;0,CEILING(($R50+Settings!$B$15)/(1-Settings!$B$14),Settings!$B$16),($R50+Settings!$B$15)/(1-Settings!$B$14)))</f>
        <v/>
      </c>
      <c r="T50" s="12" t="str">
        <f aca="false">IF($S50="","",$S50*Settings!$B$14+Settings!$B$15)</f>
        <v/>
      </c>
      <c r="U50" s="12" t="str">
        <f aca="false">IF($S50="","",$S50-$T50-$P50)</f>
        <v/>
      </c>
      <c r="V50" s="12" t="str">
        <f aca="false">IF(OR($U50="",N($D50)&lt;=0),"",$U50/$D50)</f>
        <v/>
      </c>
      <c r="W50" s="15"/>
    </row>
    <row r="51" customFormat="false" ht="15" hidden="false" customHeight="false" outlineLevel="0" collapsed="false">
      <c r="A51" s="5"/>
      <c r="B51" s="5"/>
      <c r="C51" s="6"/>
      <c r="D51" s="7"/>
      <c r="E51" s="8"/>
      <c r="F51" s="9"/>
      <c r="G51" s="10"/>
      <c r="H51" s="10"/>
      <c r="I51" s="10"/>
      <c r="J51" s="11"/>
      <c r="K51" s="12" t="str">
        <f aca="false">IF(COUNT($C51:$D51)&lt;2,"",$C51*Settings!$B$7)</f>
        <v/>
      </c>
      <c r="L51" s="12" t="str">
        <f aca="false">IF(COUNT($C51:$D51)&lt;2,"",$D51*Settings!$B$8)</f>
        <v/>
      </c>
      <c r="M51" s="12" t="str">
        <f aca="false">IF(COUNT($C51:$D51)&lt;2,"",($K51+$L51)*Settings!$B$9)</f>
        <v/>
      </c>
      <c r="N51" s="12" t="str">
        <f aca="false">IF(COUNT($C51:$D51)&lt;2,"",(IF($E51="",Settings!$B$11,$E51)/60+N($F51))*Settings!$B$10)</f>
        <v/>
      </c>
      <c r="O51" s="12" t="str">
        <f aca="false">IF(COUNT($C51:$D51)&lt;2,"",IF($G51="",IF($B51="Painted",Settings!$B$12,0),$G51)+N($H51)+IF($I51="",Settings!$B$13,$I51))</f>
        <v/>
      </c>
      <c r="P51" s="12" t="str">
        <f aca="false">IF(COUNT($C51:$D51)&lt;2,"",SUM($K51:$O51))</f>
        <v/>
      </c>
      <c r="Q51" s="13" t="str">
        <f aca="false">IF(COUNT($C51:$D51)&lt;2,"",IF($J51&lt;&gt;"",$J51,IF($B51="",Settings!$B$20,IFERROR(INDEX(Settings!$B$20:$B$22,MATCH($B51,Settings!$A$20:$A$22,0)),""))))</f>
        <v/>
      </c>
      <c r="R51" s="12" t="str">
        <f aca="false">IF(OR($P51="",$Q51=""),"",$P51*$Q51)</f>
        <v/>
      </c>
      <c r="S51" s="14" t="str">
        <f aca="false">IF($R51="","",IF(Settings!$B$16&gt;0,CEILING(($R51+Settings!$B$15)/(1-Settings!$B$14),Settings!$B$16),($R51+Settings!$B$15)/(1-Settings!$B$14)))</f>
        <v/>
      </c>
      <c r="T51" s="12" t="str">
        <f aca="false">IF($S51="","",$S51*Settings!$B$14+Settings!$B$15)</f>
        <v/>
      </c>
      <c r="U51" s="12" t="str">
        <f aca="false">IF($S51="","",$S51-$T51-$P51)</f>
        <v/>
      </c>
      <c r="V51" s="12" t="str">
        <f aca="false">IF(OR($U51="",N($D51)&lt;=0),"",$U51/$D51)</f>
        <v/>
      </c>
      <c r="W51" s="15"/>
    </row>
    <row r="52" customFormat="false" ht="15" hidden="false" customHeight="false" outlineLevel="0" collapsed="false">
      <c r="A52" s="5"/>
      <c r="B52" s="5"/>
      <c r="C52" s="6"/>
      <c r="D52" s="7"/>
      <c r="E52" s="8"/>
      <c r="F52" s="9"/>
      <c r="G52" s="10"/>
      <c r="H52" s="10"/>
      <c r="I52" s="10"/>
      <c r="J52" s="11"/>
      <c r="K52" s="12" t="str">
        <f aca="false">IF(COUNT($C52:$D52)&lt;2,"",$C52*Settings!$B$7)</f>
        <v/>
      </c>
      <c r="L52" s="12" t="str">
        <f aca="false">IF(COUNT($C52:$D52)&lt;2,"",$D52*Settings!$B$8)</f>
        <v/>
      </c>
      <c r="M52" s="12" t="str">
        <f aca="false">IF(COUNT($C52:$D52)&lt;2,"",($K52+$L52)*Settings!$B$9)</f>
        <v/>
      </c>
      <c r="N52" s="12" t="str">
        <f aca="false">IF(COUNT($C52:$D52)&lt;2,"",(IF($E52="",Settings!$B$11,$E52)/60+N($F52))*Settings!$B$10)</f>
        <v/>
      </c>
      <c r="O52" s="12" t="str">
        <f aca="false">IF(COUNT($C52:$D52)&lt;2,"",IF($G52="",IF($B52="Painted",Settings!$B$12,0),$G52)+N($H52)+IF($I52="",Settings!$B$13,$I52))</f>
        <v/>
      </c>
      <c r="P52" s="12" t="str">
        <f aca="false">IF(COUNT($C52:$D52)&lt;2,"",SUM($K52:$O52))</f>
        <v/>
      </c>
      <c r="Q52" s="13" t="str">
        <f aca="false">IF(COUNT($C52:$D52)&lt;2,"",IF($J52&lt;&gt;"",$J52,IF($B52="",Settings!$B$20,IFERROR(INDEX(Settings!$B$20:$B$22,MATCH($B52,Settings!$A$20:$A$22,0)),""))))</f>
        <v/>
      </c>
      <c r="R52" s="12" t="str">
        <f aca="false">IF(OR($P52="",$Q52=""),"",$P52*$Q52)</f>
        <v/>
      </c>
      <c r="S52" s="14" t="str">
        <f aca="false">IF($R52="","",IF(Settings!$B$16&gt;0,CEILING(($R52+Settings!$B$15)/(1-Settings!$B$14),Settings!$B$16),($R52+Settings!$B$15)/(1-Settings!$B$14)))</f>
        <v/>
      </c>
      <c r="T52" s="12" t="str">
        <f aca="false">IF($S52="","",$S52*Settings!$B$14+Settings!$B$15)</f>
        <v/>
      </c>
      <c r="U52" s="12" t="str">
        <f aca="false">IF($S52="","",$S52-$T52-$P52)</f>
        <v/>
      </c>
      <c r="V52" s="12" t="str">
        <f aca="false">IF(OR($U52="",N($D52)&lt;=0),"",$U52/$D52)</f>
        <v/>
      </c>
      <c r="W52" s="15"/>
    </row>
    <row r="53" customFormat="false" ht="15" hidden="false" customHeight="false" outlineLevel="0" collapsed="false">
      <c r="A53" s="5"/>
      <c r="B53" s="5"/>
      <c r="C53" s="6"/>
      <c r="D53" s="7"/>
      <c r="E53" s="8"/>
      <c r="F53" s="9"/>
      <c r="G53" s="10"/>
      <c r="H53" s="10"/>
      <c r="I53" s="10"/>
      <c r="J53" s="11"/>
      <c r="K53" s="12" t="str">
        <f aca="false">IF(COUNT($C53:$D53)&lt;2,"",$C53*Settings!$B$7)</f>
        <v/>
      </c>
      <c r="L53" s="12" t="str">
        <f aca="false">IF(COUNT($C53:$D53)&lt;2,"",$D53*Settings!$B$8)</f>
        <v/>
      </c>
      <c r="M53" s="12" t="str">
        <f aca="false">IF(COUNT($C53:$D53)&lt;2,"",($K53+$L53)*Settings!$B$9)</f>
        <v/>
      </c>
      <c r="N53" s="12" t="str">
        <f aca="false">IF(COUNT($C53:$D53)&lt;2,"",(IF($E53="",Settings!$B$11,$E53)/60+N($F53))*Settings!$B$10)</f>
        <v/>
      </c>
      <c r="O53" s="12" t="str">
        <f aca="false">IF(COUNT($C53:$D53)&lt;2,"",IF($G53="",IF($B53="Painted",Settings!$B$12,0),$G53)+N($H53)+IF($I53="",Settings!$B$13,$I53))</f>
        <v/>
      </c>
      <c r="P53" s="12" t="str">
        <f aca="false">IF(COUNT($C53:$D53)&lt;2,"",SUM($K53:$O53))</f>
        <v/>
      </c>
      <c r="Q53" s="13" t="str">
        <f aca="false">IF(COUNT($C53:$D53)&lt;2,"",IF($J53&lt;&gt;"",$J53,IF($B53="",Settings!$B$20,IFERROR(INDEX(Settings!$B$20:$B$22,MATCH($B53,Settings!$A$20:$A$22,0)),""))))</f>
        <v/>
      </c>
      <c r="R53" s="12" t="str">
        <f aca="false">IF(OR($P53="",$Q53=""),"",$P53*$Q53)</f>
        <v/>
      </c>
      <c r="S53" s="14" t="str">
        <f aca="false">IF($R53="","",IF(Settings!$B$16&gt;0,CEILING(($R53+Settings!$B$15)/(1-Settings!$B$14),Settings!$B$16),($R53+Settings!$B$15)/(1-Settings!$B$14)))</f>
        <v/>
      </c>
      <c r="T53" s="12" t="str">
        <f aca="false">IF($S53="","",$S53*Settings!$B$14+Settings!$B$15)</f>
        <v/>
      </c>
      <c r="U53" s="12" t="str">
        <f aca="false">IF($S53="","",$S53-$T53-$P53)</f>
        <v/>
      </c>
      <c r="V53" s="12" t="str">
        <f aca="false">IF(OR($U53="",N($D53)&lt;=0),"",$U53/$D53)</f>
        <v/>
      </c>
      <c r="W53" s="15"/>
    </row>
    <row r="54" customFormat="false" ht="15" hidden="false" customHeight="false" outlineLevel="0" collapsed="false">
      <c r="A54" s="5"/>
      <c r="B54" s="5"/>
      <c r="C54" s="6"/>
      <c r="D54" s="7"/>
      <c r="E54" s="8"/>
      <c r="F54" s="9"/>
      <c r="G54" s="10"/>
      <c r="H54" s="10"/>
      <c r="I54" s="10"/>
      <c r="J54" s="11"/>
      <c r="K54" s="12" t="str">
        <f aca="false">IF(COUNT($C54:$D54)&lt;2,"",$C54*Settings!$B$7)</f>
        <v/>
      </c>
      <c r="L54" s="12" t="str">
        <f aca="false">IF(COUNT($C54:$D54)&lt;2,"",$D54*Settings!$B$8)</f>
        <v/>
      </c>
      <c r="M54" s="12" t="str">
        <f aca="false">IF(COUNT($C54:$D54)&lt;2,"",($K54+$L54)*Settings!$B$9)</f>
        <v/>
      </c>
      <c r="N54" s="12" t="str">
        <f aca="false">IF(COUNT($C54:$D54)&lt;2,"",(IF($E54="",Settings!$B$11,$E54)/60+N($F54))*Settings!$B$10)</f>
        <v/>
      </c>
      <c r="O54" s="12" t="str">
        <f aca="false">IF(COUNT($C54:$D54)&lt;2,"",IF($G54="",IF($B54="Painted",Settings!$B$12,0),$G54)+N($H54)+IF($I54="",Settings!$B$13,$I54))</f>
        <v/>
      </c>
      <c r="P54" s="12" t="str">
        <f aca="false">IF(COUNT($C54:$D54)&lt;2,"",SUM($K54:$O54))</f>
        <v/>
      </c>
      <c r="Q54" s="13" t="str">
        <f aca="false">IF(COUNT($C54:$D54)&lt;2,"",IF($J54&lt;&gt;"",$J54,IF($B54="",Settings!$B$20,IFERROR(INDEX(Settings!$B$20:$B$22,MATCH($B54,Settings!$A$20:$A$22,0)),""))))</f>
        <v/>
      </c>
      <c r="R54" s="12" t="str">
        <f aca="false">IF(OR($P54="",$Q54=""),"",$P54*$Q54)</f>
        <v/>
      </c>
      <c r="S54" s="14" t="str">
        <f aca="false">IF($R54="","",IF(Settings!$B$16&gt;0,CEILING(($R54+Settings!$B$15)/(1-Settings!$B$14),Settings!$B$16),($R54+Settings!$B$15)/(1-Settings!$B$14)))</f>
        <v/>
      </c>
      <c r="T54" s="12" t="str">
        <f aca="false">IF($S54="","",$S54*Settings!$B$14+Settings!$B$15)</f>
        <v/>
      </c>
      <c r="U54" s="12" t="str">
        <f aca="false">IF($S54="","",$S54-$T54-$P54)</f>
        <v/>
      </c>
      <c r="V54" s="12" t="str">
        <f aca="false">IF(OR($U54="",N($D54)&lt;=0),"",$U54/$D54)</f>
        <v/>
      </c>
      <c r="W54" s="15"/>
    </row>
    <row r="55" customFormat="false" ht="15" hidden="false" customHeight="false" outlineLevel="0" collapsed="false">
      <c r="A55" s="5"/>
      <c r="B55" s="5"/>
      <c r="C55" s="6"/>
      <c r="D55" s="7"/>
      <c r="E55" s="8"/>
      <c r="F55" s="9"/>
      <c r="G55" s="10"/>
      <c r="H55" s="10"/>
      <c r="I55" s="10"/>
      <c r="J55" s="11"/>
      <c r="K55" s="12" t="str">
        <f aca="false">IF(COUNT($C55:$D55)&lt;2,"",$C55*Settings!$B$7)</f>
        <v/>
      </c>
      <c r="L55" s="12" t="str">
        <f aca="false">IF(COUNT($C55:$D55)&lt;2,"",$D55*Settings!$B$8)</f>
        <v/>
      </c>
      <c r="M55" s="12" t="str">
        <f aca="false">IF(COUNT($C55:$D55)&lt;2,"",($K55+$L55)*Settings!$B$9)</f>
        <v/>
      </c>
      <c r="N55" s="12" t="str">
        <f aca="false">IF(COUNT($C55:$D55)&lt;2,"",(IF($E55="",Settings!$B$11,$E55)/60+N($F55))*Settings!$B$10)</f>
        <v/>
      </c>
      <c r="O55" s="12" t="str">
        <f aca="false">IF(COUNT($C55:$D55)&lt;2,"",IF($G55="",IF($B55="Painted",Settings!$B$12,0),$G55)+N($H55)+IF($I55="",Settings!$B$13,$I55))</f>
        <v/>
      </c>
      <c r="P55" s="12" t="str">
        <f aca="false">IF(COUNT($C55:$D55)&lt;2,"",SUM($K55:$O55))</f>
        <v/>
      </c>
      <c r="Q55" s="13" t="str">
        <f aca="false">IF(COUNT($C55:$D55)&lt;2,"",IF($J55&lt;&gt;"",$J55,IF($B55="",Settings!$B$20,IFERROR(INDEX(Settings!$B$20:$B$22,MATCH($B55,Settings!$A$20:$A$22,0)),""))))</f>
        <v/>
      </c>
      <c r="R55" s="12" t="str">
        <f aca="false">IF(OR($P55="",$Q55=""),"",$P55*$Q55)</f>
        <v/>
      </c>
      <c r="S55" s="14" t="str">
        <f aca="false">IF($R55="","",IF(Settings!$B$16&gt;0,CEILING(($R55+Settings!$B$15)/(1-Settings!$B$14),Settings!$B$16),($R55+Settings!$B$15)/(1-Settings!$B$14)))</f>
        <v/>
      </c>
      <c r="T55" s="12" t="str">
        <f aca="false">IF($S55="","",$S55*Settings!$B$14+Settings!$B$15)</f>
        <v/>
      </c>
      <c r="U55" s="12" t="str">
        <f aca="false">IF($S55="","",$S55-$T55-$P55)</f>
        <v/>
      </c>
      <c r="V55" s="12" t="str">
        <f aca="false">IF(OR($U55="",N($D55)&lt;=0),"",$U55/$D55)</f>
        <v/>
      </c>
      <c r="W55" s="15"/>
    </row>
    <row r="56" customFormat="false" ht="15" hidden="false" customHeight="false" outlineLevel="0" collapsed="false">
      <c r="A56" s="5"/>
      <c r="B56" s="5"/>
      <c r="C56" s="6"/>
      <c r="D56" s="7"/>
      <c r="E56" s="8"/>
      <c r="F56" s="9"/>
      <c r="G56" s="10"/>
      <c r="H56" s="10"/>
      <c r="I56" s="10"/>
      <c r="J56" s="11"/>
      <c r="K56" s="12" t="str">
        <f aca="false">IF(COUNT($C56:$D56)&lt;2,"",$C56*Settings!$B$7)</f>
        <v/>
      </c>
      <c r="L56" s="12" t="str">
        <f aca="false">IF(COUNT($C56:$D56)&lt;2,"",$D56*Settings!$B$8)</f>
        <v/>
      </c>
      <c r="M56" s="12" t="str">
        <f aca="false">IF(COUNT($C56:$D56)&lt;2,"",($K56+$L56)*Settings!$B$9)</f>
        <v/>
      </c>
      <c r="N56" s="12" t="str">
        <f aca="false">IF(COUNT($C56:$D56)&lt;2,"",(IF($E56="",Settings!$B$11,$E56)/60+N($F56))*Settings!$B$10)</f>
        <v/>
      </c>
      <c r="O56" s="12" t="str">
        <f aca="false">IF(COUNT($C56:$D56)&lt;2,"",IF($G56="",IF($B56="Painted",Settings!$B$12,0),$G56)+N($H56)+IF($I56="",Settings!$B$13,$I56))</f>
        <v/>
      </c>
      <c r="P56" s="12" t="str">
        <f aca="false">IF(COUNT($C56:$D56)&lt;2,"",SUM($K56:$O56))</f>
        <v/>
      </c>
      <c r="Q56" s="13" t="str">
        <f aca="false">IF(COUNT($C56:$D56)&lt;2,"",IF($J56&lt;&gt;"",$J56,IF($B56="",Settings!$B$20,IFERROR(INDEX(Settings!$B$20:$B$22,MATCH($B56,Settings!$A$20:$A$22,0)),""))))</f>
        <v/>
      </c>
      <c r="R56" s="12" t="str">
        <f aca="false">IF(OR($P56="",$Q56=""),"",$P56*$Q56)</f>
        <v/>
      </c>
      <c r="S56" s="14" t="str">
        <f aca="false">IF($R56="","",IF(Settings!$B$16&gt;0,CEILING(($R56+Settings!$B$15)/(1-Settings!$B$14),Settings!$B$16),($R56+Settings!$B$15)/(1-Settings!$B$14)))</f>
        <v/>
      </c>
      <c r="T56" s="12" t="str">
        <f aca="false">IF($S56="","",$S56*Settings!$B$14+Settings!$B$15)</f>
        <v/>
      </c>
      <c r="U56" s="12" t="str">
        <f aca="false">IF($S56="","",$S56-$T56-$P56)</f>
        <v/>
      </c>
      <c r="V56" s="12" t="str">
        <f aca="false">IF(OR($U56="",N($D56)&lt;=0),"",$U56/$D56)</f>
        <v/>
      </c>
      <c r="W56" s="15"/>
    </row>
    <row r="57" customFormat="false" ht="15" hidden="false" customHeight="false" outlineLevel="0" collapsed="false">
      <c r="A57" s="5"/>
      <c r="B57" s="5"/>
      <c r="C57" s="6"/>
      <c r="D57" s="7"/>
      <c r="E57" s="8"/>
      <c r="F57" s="9"/>
      <c r="G57" s="10"/>
      <c r="H57" s="10"/>
      <c r="I57" s="10"/>
      <c r="J57" s="11"/>
      <c r="K57" s="12" t="str">
        <f aca="false">IF(COUNT($C57:$D57)&lt;2,"",$C57*Settings!$B$7)</f>
        <v/>
      </c>
      <c r="L57" s="12" t="str">
        <f aca="false">IF(COUNT($C57:$D57)&lt;2,"",$D57*Settings!$B$8)</f>
        <v/>
      </c>
      <c r="M57" s="12" t="str">
        <f aca="false">IF(COUNT($C57:$D57)&lt;2,"",($K57+$L57)*Settings!$B$9)</f>
        <v/>
      </c>
      <c r="N57" s="12" t="str">
        <f aca="false">IF(COUNT($C57:$D57)&lt;2,"",(IF($E57="",Settings!$B$11,$E57)/60+N($F57))*Settings!$B$10)</f>
        <v/>
      </c>
      <c r="O57" s="12" t="str">
        <f aca="false">IF(COUNT($C57:$D57)&lt;2,"",IF($G57="",IF($B57="Painted",Settings!$B$12,0),$G57)+N($H57)+IF($I57="",Settings!$B$13,$I57))</f>
        <v/>
      </c>
      <c r="P57" s="12" t="str">
        <f aca="false">IF(COUNT($C57:$D57)&lt;2,"",SUM($K57:$O57))</f>
        <v/>
      </c>
      <c r="Q57" s="13" t="str">
        <f aca="false">IF(COUNT($C57:$D57)&lt;2,"",IF($J57&lt;&gt;"",$J57,IF($B57="",Settings!$B$20,IFERROR(INDEX(Settings!$B$20:$B$22,MATCH($B57,Settings!$A$20:$A$22,0)),""))))</f>
        <v/>
      </c>
      <c r="R57" s="12" t="str">
        <f aca="false">IF(OR($P57="",$Q57=""),"",$P57*$Q57)</f>
        <v/>
      </c>
      <c r="S57" s="14" t="str">
        <f aca="false">IF($R57="","",IF(Settings!$B$16&gt;0,CEILING(($R57+Settings!$B$15)/(1-Settings!$B$14),Settings!$B$16),($R57+Settings!$B$15)/(1-Settings!$B$14)))</f>
        <v/>
      </c>
      <c r="T57" s="12" t="str">
        <f aca="false">IF($S57="","",$S57*Settings!$B$14+Settings!$B$15)</f>
        <v/>
      </c>
      <c r="U57" s="12" t="str">
        <f aca="false">IF($S57="","",$S57-$T57-$P57)</f>
        <v/>
      </c>
      <c r="V57" s="12" t="str">
        <f aca="false">IF(OR($U57="",N($D57)&lt;=0),"",$U57/$D57)</f>
        <v/>
      </c>
      <c r="W57" s="15"/>
    </row>
    <row r="58" customFormat="false" ht="15" hidden="false" customHeight="false" outlineLevel="0" collapsed="false">
      <c r="A58" s="5"/>
      <c r="B58" s="5"/>
      <c r="C58" s="6"/>
      <c r="D58" s="7"/>
      <c r="E58" s="8"/>
      <c r="F58" s="9"/>
      <c r="G58" s="10"/>
      <c r="H58" s="10"/>
      <c r="I58" s="10"/>
      <c r="J58" s="11"/>
      <c r="K58" s="12" t="str">
        <f aca="false">IF(COUNT($C58:$D58)&lt;2,"",$C58*Settings!$B$7)</f>
        <v/>
      </c>
      <c r="L58" s="12" t="str">
        <f aca="false">IF(COUNT($C58:$D58)&lt;2,"",$D58*Settings!$B$8)</f>
        <v/>
      </c>
      <c r="M58" s="12" t="str">
        <f aca="false">IF(COUNT($C58:$D58)&lt;2,"",($K58+$L58)*Settings!$B$9)</f>
        <v/>
      </c>
      <c r="N58" s="12" t="str">
        <f aca="false">IF(COUNT($C58:$D58)&lt;2,"",(IF($E58="",Settings!$B$11,$E58)/60+N($F58))*Settings!$B$10)</f>
        <v/>
      </c>
      <c r="O58" s="12" t="str">
        <f aca="false">IF(COUNT($C58:$D58)&lt;2,"",IF($G58="",IF($B58="Painted",Settings!$B$12,0),$G58)+N($H58)+IF($I58="",Settings!$B$13,$I58))</f>
        <v/>
      </c>
      <c r="P58" s="12" t="str">
        <f aca="false">IF(COUNT($C58:$D58)&lt;2,"",SUM($K58:$O58))</f>
        <v/>
      </c>
      <c r="Q58" s="13" t="str">
        <f aca="false">IF(COUNT($C58:$D58)&lt;2,"",IF($J58&lt;&gt;"",$J58,IF($B58="",Settings!$B$20,IFERROR(INDEX(Settings!$B$20:$B$22,MATCH($B58,Settings!$A$20:$A$22,0)),""))))</f>
        <v/>
      </c>
      <c r="R58" s="12" t="str">
        <f aca="false">IF(OR($P58="",$Q58=""),"",$P58*$Q58)</f>
        <v/>
      </c>
      <c r="S58" s="14" t="str">
        <f aca="false">IF($R58="","",IF(Settings!$B$16&gt;0,CEILING(($R58+Settings!$B$15)/(1-Settings!$B$14),Settings!$B$16),($R58+Settings!$B$15)/(1-Settings!$B$14)))</f>
        <v/>
      </c>
      <c r="T58" s="12" t="str">
        <f aca="false">IF($S58="","",$S58*Settings!$B$14+Settings!$B$15)</f>
        <v/>
      </c>
      <c r="U58" s="12" t="str">
        <f aca="false">IF($S58="","",$S58-$T58-$P58)</f>
        <v/>
      </c>
      <c r="V58" s="12" t="str">
        <f aca="false">IF(OR($U58="",N($D58)&lt;=0),"",$U58/$D58)</f>
        <v/>
      </c>
      <c r="W58" s="15"/>
    </row>
    <row r="59" customFormat="false" ht="15" hidden="false" customHeight="false" outlineLevel="0" collapsed="false">
      <c r="A59" s="5"/>
      <c r="B59" s="5"/>
      <c r="C59" s="6"/>
      <c r="D59" s="7"/>
      <c r="E59" s="8"/>
      <c r="F59" s="9"/>
      <c r="G59" s="10"/>
      <c r="H59" s="10"/>
      <c r="I59" s="10"/>
      <c r="J59" s="11"/>
      <c r="K59" s="12" t="str">
        <f aca="false">IF(COUNT($C59:$D59)&lt;2,"",$C59*Settings!$B$7)</f>
        <v/>
      </c>
      <c r="L59" s="12" t="str">
        <f aca="false">IF(COUNT($C59:$D59)&lt;2,"",$D59*Settings!$B$8)</f>
        <v/>
      </c>
      <c r="M59" s="12" t="str">
        <f aca="false">IF(COUNT($C59:$D59)&lt;2,"",($K59+$L59)*Settings!$B$9)</f>
        <v/>
      </c>
      <c r="N59" s="12" t="str">
        <f aca="false">IF(COUNT($C59:$D59)&lt;2,"",(IF($E59="",Settings!$B$11,$E59)/60+N($F59))*Settings!$B$10)</f>
        <v/>
      </c>
      <c r="O59" s="12" t="str">
        <f aca="false">IF(COUNT($C59:$D59)&lt;2,"",IF($G59="",IF($B59="Painted",Settings!$B$12,0),$G59)+N($H59)+IF($I59="",Settings!$B$13,$I59))</f>
        <v/>
      </c>
      <c r="P59" s="12" t="str">
        <f aca="false">IF(COUNT($C59:$D59)&lt;2,"",SUM($K59:$O59))</f>
        <v/>
      </c>
      <c r="Q59" s="13" t="str">
        <f aca="false">IF(COUNT($C59:$D59)&lt;2,"",IF($J59&lt;&gt;"",$J59,IF($B59="",Settings!$B$20,IFERROR(INDEX(Settings!$B$20:$B$22,MATCH($B59,Settings!$A$20:$A$22,0)),""))))</f>
        <v/>
      </c>
      <c r="R59" s="12" t="str">
        <f aca="false">IF(OR($P59="",$Q59=""),"",$P59*$Q59)</f>
        <v/>
      </c>
      <c r="S59" s="14" t="str">
        <f aca="false">IF($R59="","",IF(Settings!$B$16&gt;0,CEILING(($R59+Settings!$B$15)/(1-Settings!$B$14),Settings!$B$16),($R59+Settings!$B$15)/(1-Settings!$B$14)))</f>
        <v/>
      </c>
      <c r="T59" s="12" t="str">
        <f aca="false">IF($S59="","",$S59*Settings!$B$14+Settings!$B$15)</f>
        <v/>
      </c>
      <c r="U59" s="12" t="str">
        <f aca="false">IF($S59="","",$S59-$T59-$P59)</f>
        <v/>
      </c>
      <c r="V59" s="12" t="str">
        <f aca="false">IF(OR($U59="",N($D59)&lt;=0),"",$U59/$D59)</f>
        <v/>
      </c>
      <c r="W59" s="15"/>
    </row>
    <row r="60" customFormat="false" ht="15" hidden="false" customHeight="false" outlineLevel="0" collapsed="false">
      <c r="A60" s="5"/>
      <c r="B60" s="5"/>
      <c r="C60" s="6"/>
      <c r="D60" s="7"/>
      <c r="E60" s="8"/>
      <c r="F60" s="9"/>
      <c r="G60" s="10"/>
      <c r="H60" s="10"/>
      <c r="I60" s="10"/>
      <c r="J60" s="11"/>
      <c r="K60" s="12" t="str">
        <f aca="false">IF(COUNT($C60:$D60)&lt;2,"",$C60*Settings!$B$7)</f>
        <v/>
      </c>
      <c r="L60" s="12" t="str">
        <f aca="false">IF(COUNT($C60:$D60)&lt;2,"",$D60*Settings!$B$8)</f>
        <v/>
      </c>
      <c r="M60" s="12" t="str">
        <f aca="false">IF(COUNT($C60:$D60)&lt;2,"",($K60+$L60)*Settings!$B$9)</f>
        <v/>
      </c>
      <c r="N60" s="12" t="str">
        <f aca="false">IF(COUNT($C60:$D60)&lt;2,"",(IF($E60="",Settings!$B$11,$E60)/60+N($F60))*Settings!$B$10)</f>
        <v/>
      </c>
      <c r="O60" s="12" t="str">
        <f aca="false">IF(COUNT($C60:$D60)&lt;2,"",IF($G60="",IF($B60="Painted",Settings!$B$12,0),$G60)+N($H60)+IF($I60="",Settings!$B$13,$I60))</f>
        <v/>
      </c>
      <c r="P60" s="12" t="str">
        <f aca="false">IF(COUNT($C60:$D60)&lt;2,"",SUM($K60:$O60))</f>
        <v/>
      </c>
      <c r="Q60" s="13" t="str">
        <f aca="false">IF(COUNT($C60:$D60)&lt;2,"",IF($J60&lt;&gt;"",$J60,IF($B60="",Settings!$B$20,IFERROR(INDEX(Settings!$B$20:$B$22,MATCH($B60,Settings!$A$20:$A$22,0)),""))))</f>
        <v/>
      </c>
      <c r="R60" s="12" t="str">
        <f aca="false">IF(OR($P60="",$Q60=""),"",$P60*$Q60)</f>
        <v/>
      </c>
      <c r="S60" s="14" t="str">
        <f aca="false">IF($R60="","",IF(Settings!$B$16&gt;0,CEILING(($R60+Settings!$B$15)/(1-Settings!$B$14),Settings!$B$16),($R60+Settings!$B$15)/(1-Settings!$B$14)))</f>
        <v/>
      </c>
      <c r="T60" s="12" t="str">
        <f aca="false">IF($S60="","",$S60*Settings!$B$14+Settings!$B$15)</f>
        <v/>
      </c>
      <c r="U60" s="12" t="str">
        <f aca="false">IF($S60="","",$S60-$T60-$P60)</f>
        <v/>
      </c>
      <c r="V60" s="12" t="str">
        <f aca="false">IF(OR($U60="",N($D60)&lt;=0),"",$U60/$D60)</f>
        <v/>
      </c>
      <c r="W60" s="15"/>
    </row>
    <row r="61" customFormat="false" ht="15" hidden="false" customHeight="false" outlineLevel="0" collapsed="false">
      <c r="A61" s="5"/>
      <c r="B61" s="5"/>
      <c r="C61" s="6"/>
      <c r="D61" s="7"/>
      <c r="E61" s="8"/>
      <c r="F61" s="9"/>
      <c r="G61" s="10"/>
      <c r="H61" s="10"/>
      <c r="I61" s="10"/>
      <c r="J61" s="11"/>
      <c r="K61" s="12" t="str">
        <f aca="false">IF(COUNT($C61:$D61)&lt;2,"",$C61*Settings!$B$7)</f>
        <v/>
      </c>
      <c r="L61" s="12" t="str">
        <f aca="false">IF(COUNT($C61:$D61)&lt;2,"",$D61*Settings!$B$8)</f>
        <v/>
      </c>
      <c r="M61" s="12" t="str">
        <f aca="false">IF(COUNT($C61:$D61)&lt;2,"",($K61+$L61)*Settings!$B$9)</f>
        <v/>
      </c>
      <c r="N61" s="12" t="str">
        <f aca="false">IF(COUNT($C61:$D61)&lt;2,"",(IF($E61="",Settings!$B$11,$E61)/60+N($F61))*Settings!$B$10)</f>
        <v/>
      </c>
      <c r="O61" s="12" t="str">
        <f aca="false">IF(COUNT($C61:$D61)&lt;2,"",IF($G61="",IF($B61="Painted",Settings!$B$12,0),$G61)+N($H61)+IF($I61="",Settings!$B$13,$I61))</f>
        <v/>
      </c>
      <c r="P61" s="12" t="str">
        <f aca="false">IF(COUNT($C61:$D61)&lt;2,"",SUM($K61:$O61))</f>
        <v/>
      </c>
      <c r="Q61" s="13" t="str">
        <f aca="false">IF(COUNT($C61:$D61)&lt;2,"",IF($J61&lt;&gt;"",$J61,IF($B61="",Settings!$B$20,IFERROR(INDEX(Settings!$B$20:$B$22,MATCH($B61,Settings!$A$20:$A$22,0)),""))))</f>
        <v/>
      </c>
      <c r="R61" s="12" t="str">
        <f aca="false">IF(OR($P61="",$Q61=""),"",$P61*$Q61)</f>
        <v/>
      </c>
      <c r="S61" s="14" t="str">
        <f aca="false">IF($R61="","",IF(Settings!$B$16&gt;0,CEILING(($R61+Settings!$B$15)/(1-Settings!$B$14),Settings!$B$16),($R61+Settings!$B$15)/(1-Settings!$B$14)))</f>
        <v/>
      </c>
      <c r="T61" s="12" t="str">
        <f aca="false">IF($S61="","",$S61*Settings!$B$14+Settings!$B$15)</f>
        <v/>
      </c>
      <c r="U61" s="12" t="str">
        <f aca="false">IF($S61="","",$S61-$T61-$P61)</f>
        <v/>
      </c>
      <c r="V61" s="12" t="str">
        <f aca="false">IF(OR($U61="",N($D61)&lt;=0),"",$U61/$D61)</f>
        <v/>
      </c>
      <c r="W61" s="15"/>
    </row>
    <row r="62" customFormat="false" ht="15" hidden="false" customHeight="false" outlineLevel="0" collapsed="false">
      <c r="A62" s="5"/>
      <c r="B62" s="5"/>
      <c r="C62" s="6"/>
      <c r="D62" s="7"/>
      <c r="E62" s="8"/>
      <c r="F62" s="9"/>
      <c r="G62" s="10"/>
      <c r="H62" s="10"/>
      <c r="I62" s="10"/>
      <c r="J62" s="11"/>
      <c r="K62" s="12" t="str">
        <f aca="false">IF(COUNT($C62:$D62)&lt;2,"",$C62*Settings!$B$7)</f>
        <v/>
      </c>
      <c r="L62" s="12" t="str">
        <f aca="false">IF(COUNT($C62:$D62)&lt;2,"",$D62*Settings!$B$8)</f>
        <v/>
      </c>
      <c r="M62" s="12" t="str">
        <f aca="false">IF(COUNT($C62:$D62)&lt;2,"",($K62+$L62)*Settings!$B$9)</f>
        <v/>
      </c>
      <c r="N62" s="12" t="str">
        <f aca="false">IF(COUNT($C62:$D62)&lt;2,"",(IF($E62="",Settings!$B$11,$E62)/60+N($F62))*Settings!$B$10)</f>
        <v/>
      </c>
      <c r="O62" s="12" t="str">
        <f aca="false">IF(COUNT($C62:$D62)&lt;2,"",IF($G62="",IF($B62="Painted",Settings!$B$12,0),$G62)+N($H62)+IF($I62="",Settings!$B$13,$I62))</f>
        <v/>
      </c>
      <c r="P62" s="12" t="str">
        <f aca="false">IF(COUNT($C62:$D62)&lt;2,"",SUM($K62:$O62))</f>
        <v/>
      </c>
      <c r="Q62" s="13" t="str">
        <f aca="false">IF(COUNT($C62:$D62)&lt;2,"",IF($J62&lt;&gt;"",$J62,IF($B62="",Settings!$B$20,IFERROR(INDEX(Settings!$B$20:$B$22,MATCH($B62,Settings!$A$20:$A$22,0)),""))))</f>
        <v/>
      </c>
      <c r="R62" s="12" t="str">
        <f aca="false">IF(OR($P62="",$Q62=""),"",$P62*$Q62)</f>
        <v/>
      </c>
      <c r="S62" s="14" t="str">
        <f aca="false">IF($R62="","",IF(Settings!$B$16&gt;0,CEILING(($R62+Settings!$B$15)/(1-Settings!$B$14),Settings!$B$16),($R62+Settings!$B$15)/(1-Settings!$B$14)))</f>
        <v/>
      </c>
      <c r="T62" s="12" t="str">
        <f aca="false">IF($S62="","",$S62*Settings!$B$14+Settings!$B$15)</f>
        <v/>
      </c>
      <c r="U62" s="12" t="str">
        <f aca="false">IF($S62="","",$S62-$T62-$P62)</f>
        <v/>
      </c>
      <c r="V62" s="12" t="str">
        <f aca="false">IF(OR($U62="",N($D62)&lt;=0),"",$U62/$D62)</f>
        <v/>
      </c>
      <c r="W62" s="15"/>
    </row>
    <row r="63" customFormat="false" ht="15" hidden="false" customHeight="false" outlineLevel="0" collapsed="false">
      <c r="A63" s="5"/>
      <c r="B63" s="5"/>
      <c r="C63" s="6"/>
      <c r="D63" s="7"/>
      <c r="E63" s="8"/>
      <c r="F63" s="9"/>
      <c r="G63" s="10"/>
      <c r="H63" s="10"/>
      <c r="I63" s="10"/>
      <c r="J63" s="11"/>
      <c r="K63" s="12" t="str">
        <f aca="false">IF(COUNT($C63:$D63)&lt;2,"",$C63*Settings!$B$7)</f>
        <v/>
      </c>
      <c r="L63" s="12" t="str">
        <f aca="false">IF(COUNT($C63:$D63)&lt;2,"",$D63*Settings!$B$8)</f>
        <v/>
      </c>
      <c r="M63" s="12" t="str">
        <f aca="false">IF(COUNT($C63:$D63)&lt;2,"",($K63+$L63)*Settings!$B$9)</f>
        <v/>
      </c>
      <c r="N63" s="12" t="str">
        <f aca="false">IF(COUNT($C63:$D63)&lt;2,"",(IF($E63="",Settings!$B$11,$E63)/60+N($F63))*Settings!$B$10)</f>
        <v/>
      </c>
      <c r="O63" s="12" t="str">
        <f aca="false">IF(COUNT($C63:$D63)&lt;2,"",IF($G63="",IF($B63="Painted",Settings!$B$12,0),$G63)+N($H63)+IF($I63="",Settings!$B$13,$I63))</f>
        <v/>
      </c>
      <c r="P63" s="12" t="str">
        <f aca="false">IF(COUNT($C63:$D63)&lt;2,"",SUM($K63:$O63))</f>
        <v/>
      </c>
      <c r="Q63" s="13" t="str">
        <f aca="false">IF(COUNT($C63:$D63)&lt;2,"",IF($J63&lt;&gt;"",$J63,IF($B63="",Settings!$B$20,IFERROR(INDEX(Settings!$B$20:$B$22,MATCH($B63,Settings!$A$20:$A$22,0)),""))))</f>
        <v/>
      </c>
      <c r="R63" s="12" t="str">
        <f aca="false">IF(OR($P63="",$Q63=""),"",$P63*$Q63)</f>
        <v/>
      </c>
      <c r="S63" s="14" t="str">
        <f aca="false">IF($R63="","",IF(Settings!$B$16&gt;0,CEILING(($R63+Settings!$B$15)/(1-Settings!$B$14),Settings!$B$16),($R63+Settings!$B$15)/(1-Settings!$B$14)))</f>
        <v/>
      </c>
      <c r="T63" s="12" t="str">
        <f aca="false">IF($S63="","",$S63*Settings!$B$14+Settings!$B$15)</f>
        <v/>
      </c>
      <c r="U63" s="12" t="str">
        <f aca="false">IF($S63="","",$S63-$T63-$P63)</f>
        <v/>
      </c>
      <c r="V63" s="12" t="str">
        <f aca="false">IF(OR($U63="",N($D63)&lt;=0),"",$U63/$D63)</f>
        <v/>
      </c>
      <c r="W63" s="15"/>
    </row>
    <row r="64" customFormat="false" ht="15" hidden="false" customHeight="false" outlineLevel="0" collapsed="false">
      <c r="A64" s="5"/>
      <c r="B64" s="5"/>
      <c r="C64" s="6"/>
      <c r="D64" s="7"/>
      <c r="E64" s="8"/>
      <c r="F64" s="9"/>
      <c r="G64" s="10"/>
      <c r="H64" s="10"/>
      <c r="I64" s="10"/>
      <c r="J64" s="11"/>
      <c r="K64" s="12" t="str">
        <f aca="false">IF(COUNT($C64:$D64)&lt;2,"",$C64*Settings!$B$7)</f>
        <v/>
      </c>
      <c r="L64" s="12" t="str">
        <f aca="false">IF(COUNT($C64:$D64)&lt;2,"",$D64*Settings!$B$8)</f>
        <v/>
      </c>
      <c r="M64" s="12" t="str">
        <f aca="false">IF(COUNT($C64:$D64)&lt;2,"",($K64+$L64)*Settings!$B$9)</f>
        <v/>
      </c>
      <c r="N64" s="12" t="str">
        <f aca="false">IF(COUNT($C64:$D64)&lt;2,"",(IF($E64="",Settings!$B$11,$E64)/60+N($F64))*Settings!$B$10)</f>
        <v/>
      </c>
      <c r="O64" s="12" t="str">
        <f aca="false">IF(COUNT($C64:$D64)&lt;2,"",IF($G64="",IF($B64="Painted",Settings!$B$12,0),$G64)+N($H64)+IF($I64="",Settings!$B$13,$I64))</f>
        <v/>
      </c>
      <c r="P64" s="12" t="str">
        <f aca="false">IF(COUNT($C64:$D64)&lt;2,"",SUM($K64:$O64))</f>
        <v/>
      </c>
      <c r="Q64" s="13" t="str">
        <f aca="false">IF(COUNT($C64:$D64)&lt;2,"",IF($J64&lt;&gt;"",$J64,IF($B64="",Settings!$B$20,IFERROR(INDEX(Settings!$B$20:$B$22,MATCH($B64,Settings!$A$20:$A$22,0)),""))))</f>
        <v/>
      </c>
      <c r="R64" s="12" t="str">
        <f aca="false">IF(OR($P64="",$Q64=""),"",$P64*$Q64)</f>
        <v/>
      </c>
      <c r="S64" s="14" t="str">
        <f aca="false">IF($R64="","",IF(Settings!$B$16&gt;0,CEILING(($R64+Settings!$B$15)/(1-Settings!$B$14),Settings!$B$16),($R64+Settings!$B$15)/(1-Settings!$B$14)))</f>
        <v/>
      </c>
      <c r="T64" s="12" t="str">
        <f aca="false">IF($S64="","",$S64*Settings!$B$14+Settings!$B$15)</f>
        <v/>
      </c>
      <c r="U64" s="12" t="str">
        <f aca="false">IF($S64="","",$S64-$T64-$P64)</f>
        <v/>
      </c>
      <c r="V64" s="12" t="str">
        <f aca="false">IF(OR($U64="",N($D64)&lt;=0),"",$U64/$D64)</f>
        <v/>
      </c>
      <c r="W64" s="15"/>
    </row>
    <row r="65" customFormat="false" ht="15" hidden="false" customHeight="false" outlineLevel="0" collapsed="false">
      <c r="A65" s="5"/>
      <c r="B65" s="5"/>
      <c r="C65" s="6"/>
      <c r="D65" s="7"/>
      <c r="E65" s="8"/>
      <c r="F65" s="9"/>
      <c r="G65" s="10"/>
      <c r="H65" s="10"/>
      <c r="I65" s="10"/>
      <c r="J65" s="11"/>
      <c r="K65" s="12" t="str">
        <f aca="false">IF(COUNT($C65:$D65)&lt;2,"",$C65*Settings!$B$7)</f>
        <v/>
      </c>
      <c r="L65" s="12" t="str">
        <f aca="false">IF(COUNT($C65:$D65)&lt;2,"",$D65*Settings!$B$8)</f>
        <v/>
      </c>
      <c r="M65" s="12" t="str">
        <f aca="false">IF(COUNT($C65:$D65)&lt;2,"",($K65+$L65)*Settings!$B$9)</f>
        <v/>
      </c>
      <c r="N65" s="12" t="str">
        <f aca="false">IF(COUNT($C65:$D65)&lt;2,"",(IF($E65="",Settings!$B$11,$E65)/60+N($F65))*Settings!$B$10)</f>
        <v/>
      </c>
      <c r="O65" s="12" t="str">
        <f aca="false">IF(COUNT($C65:$D65)&lt;2,"",IF($G65="",IF($B65="Painted",Settings!$B$12,0),$G65)+N($H65)+IF($I65="",Settings!$B$13,$I65))</f>
        <v/>
      </c>
      <c r="P65" s="12" t="str">
        <f aca="false">IF(COUNT($C65:$D65)&lt;2,"",SUM($K65:$O65))</f>
        <v/>
      </c>
      <c r="Q65" s="13" t="str">
        <f aca="false">IF(COUNT($C65:$D65)&lt;2,"",IF($J65&lt;&gt;"",$J65,IF($B65="",Settings!$B$20,IFERROR(INDEX(Settings!$B$20:$B$22,MATCH($B65,Settings!$A$20:$A$22,0)),""))))</f>
        <v/>
      </c>
      <c r="R65" s="12" t="str">
        <f aca="false">IF(OR($P65="",$Q65=""),"",$P65*$Q65)</f>
        <v/>
      </c>
      <c r="S65" s="14" t="str">
        <f aca="false">IF($R65="","",IF(Settings!$B$16&gt;0,CEILING(($R65+Settings!$B$15)/(1-Settings!$B$14),Settings!$B$16),($R65+Settings!$B$15)/(1-Settings!$B$14)))</f>
        <v/>
      </c>
      <c r="T65" s="12" t="str">
        <f aca="false">IF($S65="","",$S65*Settings!$B$14+Settings!$B$15)</f>
        <v/>
      </c>
      <c r="U65" s="12" t="str">
        <f aca="false">IF($S65="","",$S65-$T65-$P65)</f>
        <v/>
      </c>
      <c r="V65" s="12" t="str">
        <f aca="false">IF(OR($U65="",N($D65)&lt;=0),"",$U65/$D65)</f>
        <v/>
      </c>
      <c r="W65" s="15"/>
    </row>
    <row r="66" customFormat="false" ht="15" hidden="false" customHeight="false" outlineLevel="0" collapsed="false">
      <c r="A66" s="5"/>
      <c r="B66" s="5"/>
      <c r="C66" s="6"/>
      <c r="D66" s="7"/>
      <c r="E66" s="8"/>
      <c r="F66" s="9"/>
      <c r="G66" s="10"/>
      <c r="H66" s="10"/>
      <c r="I66" s="10"/>
      <c r="J66" s="11"/>
      <c r="K66" s="12" t="str">
        <f aca="false">IF(COUNT($C66:$D66)&lt;2,"",$C66*Settings!$B$7)</f>
        <v/>
      </c>
      <c r="L66" s="12" t="str">
        <f aca="false">IF(COUNT($C66:$D66)&lt;2,"",$D66*Settings!$B$8)</f>
        <v/>
      </c>
      <c r="M66" s="12" t="str">
        <f aca="false">IF(COUNT($C66:$D66)&lt;2,"",($K66+$L66)*Settings!$B$9)</f>
        <v/>
      </c>
      <c r="N66" s="12" t="str">
        <f aca="false">IF(COUNT($C66:$D66)&lt;2,"",(IF($E66="",Settings!$B$11,$E66)/60+N($F66))*Settings!$B$10)</f>
        <v/>
      </c>
      <c r="O66" s="12" t="str">
        <f aca="false">IF(COUNT($C66:$D66)&lt;2,"",IF($G66="",IF($B66="Painted",Settings!$B$12,0),$G66)+N($H66)+IF($I66="",Settings!$B$13,$I66))</f>
        <v/>
      </c>
      <c r="P66" s="12" t="str">
        <f aca="false">IF(COUNT($C66:$D66)&lt;2,"",SUM($K66:$O66))</f>
        <v/>
      </c>
      <c r="Q66" s="13" t="str">
        <f aca="false">IF(COUNT($C66:$D66)&lt;2,"",IF($J66&lt;&gt;"",$J66,IF($B66="",Settings!$B$20,IFERROR(INDEX(Settings!$B$20:$B$22,MATCH($B66,Settings!$A$20:$A$22,0)),""))))</f>
        <v/>
      </c>
      <c r="R66" s="12" t="str">
        <f aca="false">IF(OR($P66="",$Q66=""),"",$P66*$Q66)</f>
        <v/>
      </c>
      <c r="S66" s="14" t="str">
        <f aca="false">IF($R66="","",IF(Settings!$B$16&gt;0,CEILING(($R66+Settings!$B$15)/(1-Settings!$B$14),Settings!$B$16),($R66+Settings!$B$15)/(1-Settings!$B$14)))</f>
        <v/>
      </c>
      <c r="T66" s="12" t="str">
        <f aca="false">IF($S66="","",$S66*Settings!$B$14+Settings!$B$15)</f>
        <v/>
      </c>
      <c r="U66" s="12" t="str">
        <f aca="false">IF($S66="","",$S66-$T66-$P66)</f>
        <v/>
      </c>
      <c r="V66" s="12" t="str">
        <f aca="false">IF(OR($U66="",N($D66)&lt;=0),"",$U66/$D66)</f>
        <v/>
      </c>
      <c r="W66" s="15"/>
    </row>
    <row r="67" customFormat="false" ht="15" hidden="false" customHeight="false" outlineLevel="0" collapsed="false">
      <c r="A67" s="5"/>
      <c r="B67" s="5"/>
      <c r="C67" s="6"/>
      <c r="D67" s="7"/>
      <c r="E67" s="8"/>
      <c r="F67" s="9"/>
      <c r="G67" s="10"/>
      <c r="H67" s="10"/>
      <c r="I67" s="10"/>
      <c r="J67" s="11"/>
      <c r="K67" s="12" t="str">
        <f aca="false">IF(COUNT($C67:$D67)&lt;2,"",$C67*Settings!$B$7)</f>
        <v/>
      </c>
      <c r="L67" s="12" t="str">
        <f aca="false">IF(COUNT($C67:$D67)&lt;2,"",$D67*Settings!$B$8)</f>
        <v/>
      </c>
      <c r="M67" s="12" t="str">
        <f aca="false">IF(COUNT($C67:$D67)&lt;2,"",($K67+$L67)*Settings!$B$9)</f>
        <v/>
      </c>
      <c r="N67" s="12" t="str">
        <f aca="false">IF(COUNT($C67:$D67)&lt;2,"",(IF($E67="",Settings!$B$11,$E67)/60+N($F67))*Settings!$B$10)</f>
        <v/>
      </c>
      <c r="O67" s="12" t="str">
        <f aca="false">IF(COUNT($C67:$D67)&lt;2,"",IF($G67="",IF($B67="Painted",Settings!$B$12,0),$G67)+N($H67)+IF($I67="",Settings!$B$13,$I67))</f>
        <v/>
      </c>
      <c r="P67" s="12" t="str">
        <f aca="false">IF(COUNT($C67:$D67)&lt;2,"",SUM($K67:$O67))</f>
        <v/>
      </c>
      <c r="Q67" s="13" t="str">
        <f aca="false">IF(COUNT($C67:$D67)&lt;2,"",IF($J67&lt;&gt;"",$J67,IF($B67="",Settings!$B$20,IFERROR(INDEX(Settings!$B$20:$B$22,MATCH($B67,Settings!$A$20:$A$22,0)),""))))</f>
        <v/>
      </c>
      <c r="R67" s="12" t="str">
        <f aca="false">IF(OR($P67="",$Q67=""),"",$P67*$Q67)</f>
        <v/>
      </c>
      <c r="S67" s="14" t="str">
        <f aca="false">IF($R67="","",IF(Settings!$B$16&gt;0,CEILING(($R67+Settings!$B$15)/(1-Settings!$B$14),Settings!$B$16),($R67+Settings!$B$15)/(1-Settings!$B$14)))</f>
        <v/>
      </c>
      <c r="T67" s="12" t="str">
        <f aca="false">IF($S67="","",$S67*Settings!$B$14+Settings!$B$15)</f>
        <v/>
      </c>
      <c r="U67" s="12" t="str">
        <f aca="false">IF($S67="","",$S67-$T67-$P67)</f>
        <v/>
      </c>
      <c r="V67" s="12" t="str">
        <f aca="false">IF(OR($U67="",N($D67)&lt;=0),"",$U67/$D67)</f>
        <v/>
      </c>
      <c r="W67" s="15"/>
    </row>
    <row r="68" customFormat="false" ht="15" hidden="false" customHeight="false" outlineLevel="0" collapsed="false">
      <c r="A68" s="5"/>
      <c r="B68" s="5"/>
      <c r="C68" s="6"/>
      <c r="D68" s="7"/>
      <c r="E68" s="8"/>
      <c r="F68" s="9"/>
      <c r="G68" s="10"/>
      <c r="H68" s="10"/>
      <c r="I68" s="10"/>
      <c r="J68" s="11"/>
      <c r="K68" s="12" t="str">
        <f aca="false">IF(COUNT($C68:$D68)&lt;2,"",$C68*Settings!$B$7)</f>
        <v/>
      </c>
      <c r="L68" s="12" t="str">
        <f aca="false">IF(COUNT($C68:$D68)&lt;2,"",$D68*Settings!$B$8)</f>
        <v/>
      </c>
      <c r="M68" s="12" t="str">
        <f aca="false">IF(COUNT($C68:$D68)&lt;2,"",($K68+$L68)*Settings!$B$9)</f>
        <v/>
      </c>
      <c r="N68" s="12" t="str">
        <f aca="false">IF(COUNT($C68:$D68)&lt;2,"",(IF($E68="",Settings!$B$11,$E68)/60+N($F68))*Settings!$B$10)</f>
        <v/>
      </c>
      <c r="O68" s="12" t="str">
        <f aca="false">IF(COUNT($C68:$D68)&lt;2,"",IF($G68="",IF($B68="Painted",Settings!$B$12,0),$G68)+N($H68)+IF($I68="",Settings!$B$13,$I68))</f>
        <v/>
      </c>
      <c r="P68" s="12" t="str">
        <f aca="false">IF(COUNT($C68:$D68)&lt;2,"",SUM($K68:$O68))</f>
        <v/>
      </c>
      <c r="Q68" s="13" t="str">
        <f aca="false">IF(COUNT($C68:$D68)&lt;2,"",IF($J68&lt;&gt;"",$J68,IF($B68="",Settings!$B$20,IFERROR(INDEX(Settings!$B$20:$B$22,MATCH($B68,Settings!$A$20:$A$22,0)),""))))</f>
        <v/>
      </c>
      <c r="R68" s="12" t="str">
        <f aca="false">IF(OR($P68="",$Q68=""),"",$P68*$Q68)</f>
        <v/>
      </c>
      <c r="S68" s="14" t="str">
        <f aca="false">IF($R68="","",IF(Settings!$B$16&gt;0,CEILING(($R68+Settings!$B$15)/(1-Settings!$B$14),Settings!$B$16),($R68+Settings!$B$15)/(1-Settings!$B$14)))</f>
        <v/>
      </c>
      <c r="T68" s="12" t="str">
        <f aca="false">IF($S68="","",$S68*Settings!$B$14+Settings!$B$15)</f>
        <v/>
      </c>
      <c r="U68" s="12" t="str">
        <f aca="false">IF($S68="","",$S68-$T68-$P68)</f>
        <v/>
      </c>
      <c r="V68" s="12" t="str">
        <f aca="false">IF(OR($U68="",N($D68)&lt;=0),"",$U68/$D68)</f>
        <v/>
      </c>
      <c r="W68" s="15"/>
    </row>
    <row r="69" customFormat="false" ht="15" hidden="false" customHeight="false" outlineLevel="0" collapsed="false">
      <c r="A69" s="5"/>
      <c r="B69" s="5"/>
      <c r="C69" s="6"/>
      <c r="D69" s="7"/>
      <c r="E69" s="8"/>
      <c r="F69" s="9"/>
      <c r="G69" s="10"/>
      <c r="H69" s="10"/>
      <c r="I69" s="10"/>
      <c r="J69" s="11"/>
      <c r="K69" s="12" t="str">
        <f aca="false">IF(COUNT($C69:$D69)&lt;2,"",$C69*Settings!$B$7)</f>
        <v/>
      </c>
      <c r="L69" s="12" t="str">
        <f aca="false">IF(COUNT($C69:$D69)&lt;2,"",$D69*Settings!$B$8)</f>
        <v/>
      </c>
      <c r="M69" s="12" t="str">
        <f aca="false">IF(COUNT($C69:$D69)&lt;2,"",($K69+$L69)*Settings!$B$9)</f>
        <v/>
      </c>
      <c r="N69" s="12" t="str">
        <f aca="false">IF(COUNT($C69:$D69)&lt;2,"",(IF($E69="",Settings!$B$11,$E69)/60+N($F69))*Settings!$B$10)</f>
        <v/>
      </c>
      <c r="O69" s="12" t="str">
        <f aca="false">IF(COUNT($C69:$D69)&lt;2,"",IF($G69="",IF($B69="Painted",Settings!$B$12,0),$G69)+N($H69)+IF($I69="",Settings!$B$13,$I69))</f>
        <v/>
      </c>
      <c r="P69" s="12" t="str">
        <f aca="false">IF(COUNT($C69:$D69)&lt;2,"",SUM($K69:$O69))</f>
        <v/>
      </c>
      <c r="Q69" s="13" t="str">
        <f aca="false">IF(COUNT($C69:$D69)&lt;2,"",IF($J69&lt;&gt;"",$J69,IF($B69="",Settings!$B$20,IFERROR(INDEX(Settings!$B$20:$B$22,MATCH($B69,Settings!$A$20:$A$22,0)),""))))</f>
        <v/>
      </c>
      <c r="R69" s="12" t="str">
        <f aca="false">IF(OR($P69="",$Q69=""),"",$P69*$Q69)</f>
        <v/>
      </c>
      <c r="S69" s="14" t="str">
        <f aca="false">IF($R69="","",IF(Settings!$B$16&gt;0,CEILING(($R69+Settings!$B$15)/(1-Settings!$B$14),Settings!$B$16),($R69+Settings!$B$15)/(1-Settings!$B$14)))</f>
        <v/>
      </c>
      <c r="T69" s="12" t="str">
        <f aca="false">IF($S69="","",$S69*Settings!$B$14+Settings!$B$15)</f>
        <v/>
      </c>
      <c r="U69" s="12" t="str">
        <f aca="false">IF($S69="","",$S69-$T69-$P69)</f>
        <v/>
      </c>
      <c r="V69" s="12" t="str">
        <f aca="false">IF(OR($U69="",N($D69)&lt;=0),"",$U69/$D69)</f>
        <v/>
      </c>
      <c r="W69" s="15"/>
    </row>
    <row r="70" customFormat="false" ht="15" hidden="false" customHeight="false" outlineLevel="0" collapsed="false">
      <c r="A70" s="5"/>
      <c r="B70" s="5"/>
      <c r="C70" s="6"/>
      <c r="D70" s="7"/>
      <c r="E70" s="8"/>
      <c r="F70" s="9"/>
      <c r="G70" s="10"/>
      <c r="H70" s="10"/>
      <c r="I70" s="10"/>
      <c r="J70" s="11"/>
      <c r="K70" s="12" t="str">
        <f aca="false">IF(COUNT($C70:$D70)&lt;2,"",$C70*Settings!$B$7)</f>
        <v/>
      </c>
      <c r="L70" s="12" t="str">
        <f aca="false">IF(COUNT($C70:$D70)&lt;2,"",$D70*Settings!$B$8)</f>
        <v/>
      </c>
      <c r="M70" s="12" t="str">
        <f aca="false">IF(COUNT($C70:$D70)&lt;2,"",($K70+$L70)*Settings!$B$9)</f>
        <v/>
      </c>
      <c r="N70" s="12" t="str">
        <f aca="false">IF(COUNT($C70:$D70)&lt;2,"",(IF($E70="",Settings!$B$11,$E70)/60+N($F70))*Settings!$B$10)</f>
        <v/>
      </c>
      <c r="O70" s="12" t="str">
        <f aca="false">IF(COUNT($C70:$D70)&lt;2,"",IF($G70="",IF($B70="Painted",Settings!$B$12,0),$G70)+N($H70)+IF($I70="",Settings!$B$13,$I70))</f>
        <v/>
      </c>
      <c r="P70" s="12" t="str">
        <f aca="false">IF(COUNT($C70:$D70)&lt;2,"",SUM($K70:$O70))</f>
        <v/>
      </c>
      <c r="Q70" s="13" t="str">
        <f aca="false">IF(COUNT($C70:$D70)&lt;2,"",IF($J70&lt;&gt;"",$J70,IF($B70="",Settings!$B$20,IFERROR(INDEX(Settings!$B$20:$B$22,MATCH($B70,Settings!$A$20:$A$22,0)),""))))</f>
        <v/>
      </c>
      <c r="R70" s="12" t="str">
        <f aca="false">IF(OR($P70="",$Q70=""),"",$P70*$Q70)</f>
        <v/>
      </c>
      <c r="S70" s="14" t="str">
        <f aca="false">IF($R70="","",IF(Settings!$B$16&gt;0,CEILING(($R70+Settings!$B$15)/(1-Settings!$B$14),Settings!$B$16),($R70+Settings!$B$15)/(1-Settings!$B$14)))</f>
        <v/>
      </c>
      <c r="T70" s="12" t="str">
        <f aca="false">IF($S70="","",$S70*Settings!$B$14+Settings!$B$15)</f>
        <v/>
      </c>
      <c r="U70" s="12" t="str">
        <f aca="false">IF($S70="","",$S70-$T70-$P70)</f>
        <v/>
      </c>
      <c r="V70" s="12" t="str">
        <f aca="false">IF(OR($U70="",N($D70)&lt;=0),"",$U70/$D70)</f>
        <v/>
      </c>
      <c r="W70" s="15"/>
    </row>
    <row r="71" customFormat="false" ht="15" hidden="false" customHeight="false" outlineLevel="0" collapsed="false">
      <c r="A71" s="5"/>
      <c r="B71" s="5"/>
      <c r="C71" s="6"/>
      <c r="D71" s="7"/>
      <c r="E71" s="8"/>
      <c r="F71" s="9"/>
      <c r="G71" s="10"/>
      <c r="H71" s="10"/>
      <c r="I71" s="10"/>
      <c r="J71" s="11"/>
      <c r="K71" s="12" t="str">
        <f aca="false">IF(COUNT($C71:$D71)&lt;2,"",$C71*Settings!$B$7)</f>
        <v/>
      </c>
      <c r="L71" s="12" t="str">
        <f aca="false">IF(COUNT($C71:$D71)&lt;2,"",$D71*Settings!$B$8)</f>
        <v/>
      </c>
      <c r="M71" s="12" t="str">
        <f aca="false">IF(COUNT($C71:$D71)&lt;2,"",($K71+$L71)*Settings!$B$9)</f>
        <v/>
      </c>
      <c r="N71" s="12" t="str">
        <f aca="false">IF(COUNT($C71:$D71)&lt;2,"",(IF($E71="",Settings!$B$11,$E71)/60+N($F71))*Settings!$B$10)</f>
        <v/>
      </c>
      <c r="O71" s="12" t="str">
        <f aca="false">IF(COUNT($C71:$D71)&lt;2,"",IF($G71="",IF($B71="Painted",Settings!$B$12,0),$G71)+N($H71)+IF($I71="",Settings!$B$13,$I71))</f>
        <v/>
      </c>
      <c r="P71" s="12" t="str">
        <f aca="false">IF(COUNT($C71:$D71)&lt;2,"",SUM($K71:$O71))</f>
        <v/>
      </c>
      <c r="Q71" s="13" t="str">
        <f aca="false">IF(COUNT($C71:$D71)&lt;2,"",IF($J71&lt;&gt;"",$J71,IF($B71="",Settings!$B$20,IFERROR(INDEX(Settings!$B$20:$B$22,MATCH($B71,Settings!$A$20:$A$22,0)),""))))</f>
        <v/>
      </c>
      <c r="R71" s="12" t="str">
        <f aca="false">IF(OR($P71="",$Q71=""),"",$P71*$Q71)</f>
        <v/>
      </c>
      <c r="S71" s="14" t="str">
        <f aca="false">IF($R71="","",IF(Settings!$B$16&gt;0,CEILING(($R71+Settings!$B$15)/(1-Settings!$B$14),Settings!$B$16),($R71+Settings!$B$15)/(1-Settings!$B$14)))</f>
        <v/>
      </c>
      <c r="T71" s="12" t="str">
        <f aca="false">IF($S71="","",$S71*Settings!$B$14+Settings!$B$15)</f>
        <v/>
      </c>
      <c r="U71" s="12" t="str">
        <f aca="false">IF($S71="","",$S71-$T71-$P71)</f>
        <v/>
      </c>
      <c r="V71" s="12" t="str">
        <f aca="false">IF(OR($U71="",N($D71)&lt;=0),"",$U71/$D71)</f>
        <v/>
      </c>
      <c r="W71" s="15"/>
    </row>
    <row r="72" customFormat="false" ht="15" hidden="false" customHeight="false" outlineLevel="0" collapsed="false">
      <c r="A72" s="5"/>
      <c r="B72" s="5"/>
      <c r="C72" s="6"/>
      <c r="D72" s="7"/>
      <c r="E72" s="8"/>
      <c r="F72" s="9"/>
      <c r="G72" s="10"/>
      <c r="H72" s="10"/>
      <c r="I72" s="10"/>
      <c r="J72" s="11"/>
      <c r="K72" s="12" t="str">
        <f aca="false">IF(COUNT($C72:$D72)&lt;2,"",$C72*Settings!$B$7)</f>
        <v/>
      </c>
      <c r="L72" s="12" t="str">
        <f aca="false">IF(COUNT($C72:$D72)&lt;2,"",$D72*Settings!$B$8)</f>
        <v/>
      </c>
      <c r="M72" s="12" t="str">
        <f aca="false">IF(COUNT($C72:$D72)&lt;2,"",($K72+$L72)*Settings!$B$9)</f>
        <v/>
      </c>
      <c r="N72" s="12" t="str">
        <f aca="false">IF(COUNT($C72:$D72)&lt;2,"",(IF($E72="",Settings!$B$11,$E72)/60+N($F72))*Settings!$B$10)</f>
        <v/>
      </c>
      <c r="O72" s="12" t="str">
        <f aca="false">IF(COUNT($C72:$D72)&lt;2,"",IF($G72="",IF($B72="Painted",Settings!$B$12,0),$G72)+N($H72)+IF($I72="",Settings!$B$13,$I72))</f>
        <v/>
      </c>
      <c r="P72" s="12" t="str">
        <f aca="false">IF(COUNT($C72:$D72)&lt;2,"",SUM($K72:$O72))</f>
        <v/>
      </c>
      <c r="Q72" s="13" t="str">
        <f aca="false">IF(COUNT($C72:$D72)&lt;2,"",IF($J72&lt;&gt;"",$J72,IF($B72="",Settings!$B$20,IFERROR(INDEX(Settings!$B$20:$B$22,MATCH($B72,Settings!$A$20:$A$22,0)),""))))</f>
        <v/>
      </c>
      <c r="R72" s="12" t="str">
        <f aca="false">IF(OR($P72="",$Q72=""),"",$P72*$Q72)</f>
        <v/>
      </c>
      <c r="S72" s="14" t="str">
        <f aca="false">IF($R72="","",IF(Settings!$B$16&gt;0,CEILING(($R72+Settings!$B$15)/(1-Settings!$B$14),Settings!$B$16),($R72+Settings!$B$15)/(1-Settings!$B$14)))</f>
        <v/>
      </c>
      <c r="T72" s="12" t="str">
        <f aca="false">IF($S72="","",$S72*Settings!$B$14+Settings!$B$15)</f>
        <v/>
      </c>
      <c r="U72" s="12" t="str">
        <f aca="false">IF($S72="","",$S72-$T72-$P72)</f>
        <v/>
      </c>
      <c r="V72" s="12" t="str">
        <f aca="false">IF(OR($U72="",N($D72)&lt;=0),"",$U72/$D72)</f>
        <v/>
      </c>
      <c r="W72" s="15"/>
    </row>
    <row r="73" customFormat="false" ht="15" hidden="false" customHeight="false" outlineLevel="0" collapsed="false">
      <c r="A73" s="5"/>
      <c r="B73" s="5"/>
      <c r="C73" s="6"/>
      <c r="D73" s="7"/>
      <c r="E73" s="8"/>
      <c r="F73" s="9"/>
      <c r="G73" s="10"/>
      <c r="H73" s="10"/>
      <c r="I73" s="10"/>
      <c r="J73" s="11"/>
      <c r="K73" s="12" t="str">
        <f aca="false">IF(COUNT($C73:$D73)&lt;2,"",$C73*Settings!$B$7)</f>
        <v/>
      </c>
      <c r="L73" s="12" t="str">
        <f aca="false">IF(COUNT($C73:$D73)&lt;2,"",$D73*Settings!$B$8)</f>
        <v/>
      </c>
      <c r="M73" s="12" t="str">
        <f aca="false">IF(COUNT($C73:$D73)&lt;2,"",($K73+$L73)*Settings!$B$9)</f>
        <v/>
      </c>
      <c r="N73" s="12" t="str">
        <f aca="false">IF(COUNT($C73:$D73)&lt;2,"",(IF($E73="",Settings!$B$11,$E73)/60+N($F73))*Settings!$B$10)</f>
        <v/>
      </c>
      <c r="O73" s="12" t="str">
        <f aca="false">IF(COUNT($C73:$D73)&lt;2,"",IF($G73="",IF($B73="Painted",Settings!$B$12,0),$G73)+N($H73)+IF($I73="",Settings!$B$13,$I73))</f>
        <v/>
      </c>
      <c r="P73" s="12" t="str">
        <f aca="false">IF(COUNT($C73:$D73)&lt;2,"",SUM($K73:$O73))</f>
        <v/>
      </c>
      <c r="Q73" s="13" t="str">
        <f aca="false">IF(COUNT($C73:$D73)&lt;2,"",IF($J73&lt;&gt;"",$J73,IF($B73="",Settings!$B$20,IFERROR(INDEX(Settings!$B$20:$B$22,MATCH($B73,Settings!$A$20:$A$22,0)),""))))</f>
        <v/>
      </c>
      <c r="R73" s="12" t="str">
        <f aca="false">IF(OR($P73="",$Q73=""),"",$P73*$Q73)</f>
        <v/>
      </c>
      <c r="S73" s="14" t="str">
        <f aca="false">IF($R73="","",IF(Settings!$B$16&gt;0,CEILING(($R73+Settings!$B$15)/(1-Settings!$B$14),Settings!$B$16),($R73+Settings!$B$15)/(1-Settings!$B$14)))</f>
        <v/>
      </c>
      <c r="T73" s="12" t="str">
        <f aca="false">IF($S73="","",$S73*Settings!$B$14+Settings!$B$15)</f>
        <v/>
      </c>
      <c r="U73" s="12" t="str">
        <f aca="false">IF($S73="","",$S73-$T73-$P73)</f>
        <v/>
      </c>
      <c r="V73" s="12" t="str">
        <f aca="false">IF(OR($U73="",N($D73)&lt;=0),"",$U73/$D73)</f>
        <v/>
      </c>
      <c r="W73" s="15"/>
    </row>
    <row r="74" customFormat="false" ht="15" hidden="false" customHeight="false" outlineLevel="0" collapsed="false">
      <c r="A74" s="5"/>
      <c r="B74" s="5"/>
      <c r="C74" s="6"/>
      <c r="D74" s="7"/>
      <c r="E74" s="8"/>
      <c r="F74" s="9"/>
      <c r="G74" s="10"/>
      <c r="H74" s="10"/>
      <c r="I74" s="10"/>
      <c r="J74" s="11"/>
      <c r="K74" s="12" t="str">
        <f aca="false">IF(COUNT($C74:$D74)&lt;2,"",$C74*Settings!$B$7)</f>
        <v/>
      </c>
      <c r="L74" s="12" t="str">
        <f aca="false">IF(COUNT($C74:$D74)&lt;2,"",$D74*Settings!$B$8)</f>
        <v/>
      </c>
      <c r="M74" s="12" t="str">
        <f aca="false">IF(COUNT($C74:$D74)&lt;2,"",($K74+$L74)*Settings!$B$9)</f>
        <v/>
      </c>
      <c r="N74" s="12" t="str">
        <f aca="false">IF(COUNT($C74:$D74)&lt;2,"",(IF($E74="",Settings!$B$11,$E74)/60+N($F74))*Settings!$B$10)</f>
        <v/>
      </c>
      <c r="O74" s="12" t="str">
        <f aca="false">IF(COUNT($C74:$D74)&lt;2,"",IF($G74="",IF($B74="Painted",Settings!$B$12,0),$G74)+N($H74)+IF($I74="",Settings!$B$13,$I74))</f>
        <v/>
      </c>
      <c r="P74" s="12" t="str">
        <f aca="false">IF(COUNT($C74:$D74)&lt;2,"",SUM($K74:$O74))</f>
        <v/>
      </c>
      <c r="Q74" s="13" t="str">
        <f aca="false">IF(COUNT($C74:$D74)&lt;2,"",IF($J74&lt;&gt;"",$J74,IF($B74="",Settings!$B$20,IFERROR(INDEX(Settings!$B$20:$B$22,MATCH($B74,Settings!$A$20:$A$22,0)),""))))</f>
        <v/>
      </c>
      <c r="R74" s="12" t="str">
        <f aca="false">IF(OR($P74="",$Q74=""),"",$P74*$Q74)</f>
        <v/>
      </c>
      <c r="S74" s="14" t="str">
        <f aca="false">IF($R74="","",IF(Settings!$B$16&gt;0,CEILING(($R74+Settings!$B$15)/(1-Settings!$B$14),Settings!$B$16),($R74+Settings!$B$15)/(1-Settings!$B$14)))</f>
        <v/>
      </c>
      <c r="T74" s="12" t="str">
        <f aca="false">IF($S74="","",$S74*Settings!$B$14+Settings!$B$15)</f>
        <v/>
      </c>
      <c r="U74" s="12" t="str">
        <f aca="false">IF($S74="","",$S74-$T74-$P74)</f>
        <v/>
      </c>
      <c r="V74" s="12" t="str">
        <f aca="false">IF(OR($U74="",N($D74)&lt;=0),"",$U74/$D74)</f>
        <v/>
      </c>
      <c r="W74" s="15"/>
    </row>
    <row r="75" customFormat="false" ht="15" hidden="false" customHeight="false" outlineLevel="0" collapsed="false">
      <c r="A75" s="5"/>
      <c r="B75" s="5"/>
      <c r="C75" s="6"/>
      <c r="D75" s="7"/>
      <c r="E75" s="8"/>
      <c r="F75" s="9"/>
      <c r="G75" s="10"/>
      <c r="H75" s="10"/>
      <c r="I75" s="10"/>
      <c r="J75" s="11"/>
      <c r="K75" s="12" t="str">
        <f aca="false">IF(COUNT($C75:$D75)&lt;2,"",$C75*Settings!$B$7)</f>
        <v/>
      </c>
      <c r="L75" s="12" t="str">
        <f aca="false">IF(COUNT($C75:$D75)&lt;2,"",$D75*Settings!$B$8)</f>
        <v/>
      </c>
      <c r="M75" s="12" t="str">
        <f aca="false">IF(COUNT($C75:$D75)&lt;2,"",($K75+$L75)*Settings!$B$9)</f>
        <v/>
      </c>
      <c r="N75" s="12" t="str">
        <f aca="false">IF(COUNT($C75:$D75)&lt;2,"",(IF($E75="",Settings!$B$11,$E75)/60+N($F75))*Settings!$B$10)</f>
        <v/>
      </c>
      <c r="O75" s="12" t="str">
        <f aca="false">IF(COUNT($C75:$D75)&lt;2,"",IF($G75="",IF($B75="Painted",Settings!$B$12,0),$G75)+N($H75)+IF($I75="",Settings!$B$13,$I75))</f>
        <v/>
      </c>
      <c r="P75" s="12" t="str">
        <f aca="false">IF(COUNT($C75:$D75)&lt;2,"",SUM($K75:$O75))</f>
        <v/>
      </c>
      <c r="Q75" s="13" t="str">
        <f aca="false">IF(COUNT($C75:$D75)&lt;2,"",IF($J75&lt;&gt;"",$J75,IF($B75="",Settings!$B$20,IFERROR(INDEX(Settings!$B$20:$B$22,MATCH($B75,Settings!$A$20:$A$22,0)),""))))</f>
        <v/>
      </c>
      <c r="R75" s="12" t="str">
        <f aca="false">IF(OR($P75="",$Q75=""),"",$P75*$Q75)</f>
        <v/>
      </c>
      <c r="S75" s="14" t="str">
        <f aca="false">IF($R75="","",IF(Settings!$B$16&gt;0,CEILING(($R75+Settings!$B$15)/(1-Settings!$B$14),Settings!$B$16),($R75+Settings!$B$15)/(1-Settings!$B$14)))</f>
        <v/>
      </c>
      <c r="T75" s="12" t="str">
        <f aca="false">IF($S75="","",$S75*Settings!$B$14+Settings!$B$15)</f>
        <v/>
      </c>
      <c r="U75" s="12" t="str">
        <f aca="false">IF($S75="","",$S75-$T75-$P75)</f>
        <v/>
      </c>
      <c r="V75" s="12" t="str">
        <f aca="false">IF(OR($U75="",N($D75)&lt;=0),"",$U75/$D75)</f>
        <v/>
      </c>
      <c r="W75" s="15"/>
    </row>
    <row r="76" customFormat="false" ht="15" hidden="false" customHeight="false" outlineLevel="0" collapsed="false">
      <c r="A76" s="5"/>
      <c r="B76" s="5"/>
      <c r="C76" s="6"/>
      <c r="D76" s="7"/>
      <c r="E76" s="8"/>
      <c r="F76" s="9"/>
      <c r="G76" s="10"/>
      <c r="H76" s="10"/>
      <c r="I76" s="10"/>
      <c r="J76" s="11"/>
      <c r="K76" s="12" t="str">
        <f aca="false">IF(COUNT($C76:$D76)&lt;2,"",$C76*Settings!$B$7)</f>
        <v/>
      </c>
      <c r="L76" s="12" t="str">
        <f aca="false">IF(COUNT($C76:$D76)&lt;2,"",$D76*Settings!$B$8)</f>
        <v/>
      </c>
      <c r="M76" s="12" t="str">
        <f aca="false">IF(COUNT($C76:$D76)&lt;2,"",($K76+$L76)*Settings!$B$9)</f>
        <v/>
      </c>
      <c r="N76" s="12" t="str">
        <f aca="false">IF(COUNT($C76:$D76)&lt;2,"",(IF($E76="",Settings!$B$11,$E76)/60+N($F76))*Settings!$B$10)</f>
        <v/>
      </c>
      <c r="O76" s="12" t="str">
        <f aca="false">IF(COUNT($C76:$D76)&lt;2,"",IF($G76="",IF($B76="Painted",Settings!$B$12,0),$G76)+N($H76)+IF($I76="",Settings!$B$13,$I76))</f>
        <v/>
      </c>
      <c r="P76" s="12" t="str">
        <f aca="false">IF(COUNT($C76:$D76)&lt;2,"",SUM($K76:$O76))</f>
        <v/>
      </c>
      <c r="Q76" s="13" t="str">
        <f aca="false">IF(COUNT($C76:$D76)&lt;2,"",IF($J76&lt;&gt;"",$J76,IF($B76="",Settings!$B$20,IFERROR(INDEX(Settings!$B$20:$B$22,MATCH($B76,Settings!$A$20:$A$22,0)),""))))</f>
        <v/>
      </c>
      <c r="R76" s="12" t="str">
        <f aca="false">IF(OR($P76="",$Q76=""),"",$P76*$Q76)</f>
        <v/>
      </c>
      <c r="S76" s="14" t="str">
        <f aca="false">IF($R76="","",IF(Settings!$B$16&gt;0,CEILING(($R76+Settings!$B$15)/(1-Settings!$B$14),Settings!$B$16),($R76+Settings!$B$15)/(1-Settings!$B$14)))</f>
        <v/>
      </c>
      <c r="T76" s="12" t="str">
        <f aca="false">IF($S76="","",$S76*Settings!$B$14+Settings!$B$15)</f>
        <v/>
      </c>
      <c r="U76" s="12" t="str">
        <f aca="false">IF($S76="","",$S76-$T76-$P76)</f>
        <v/>
      </c>
      <c r="V76" s="12" t="str">
        <f aca="false">IF(OR($U76="",N($D76)&lt;=0),"",$U76/$D76)</f>
        <v/>
      </c>
      <c r="W76" s="15"/>
    </row>
    <row r="77" customFormat="false" ht="15" hidden="false" customHeight="false" outlineLevel="0" collapsed="false">
      <c r="A77" s="5"/>
      <c r="B77" s="5"/>
      <c r="C77" s="6"/>
      <c r="D77" s="7"/>
      <c r="E77" s="8"/>
      <c r="F77" s="9"/>
      <c r="G77" s="10"/>
      <c r="H77" s="10"/>
      <c r="I77" s="10"/>
      <c r="J77" s="11"/>
      <c r="K77" s="12" t="str">
        <f aca="false">IF(COUNT($C77:$D77)&lt;2,"",$C77*Settings!$B$7)</f>
        <v/>
      </c>
      <c r="L77" s="12" t="str">
        <f aca="false">IF(COUNT($C77:$D77)&lt;2,"",$D77*Settings!$B$8)</f>
        <v/>
      </c>
      <c r="M77" s="12" t="str">
        <f aca="false">IF(COUNT($C77:$D77)&lt;2,"",($K77+$L77)*Settings!$B$9)</f>
        <v/>
      </c>
      <c r="N77" s="12" t="str">
        <f aca="false">IF(COUNT($C77:$D77)&lt;2,"",(IF($E77="",Settings!$B$11,$E77)/60+N($F77))*Settings!$B$10)</f>
        <v/>
      </c>
      <c r="O77" s="12" t="str">
        <f aca="false">IF(COUNT($C77:$D77)&lt;2,"",IF($G77="",IF($B77="Painted",Settings!$B$12,0),$G77)+N($H77)+IF($I77="",Settings!$B$13,$I77))</f>
        <v/>
      </c>
      <c r="P77" s="12" t="str">
        <f aca="false">IF(COUNT($C77:$D77)&lt;2,"",SUM($K77:$O77))</f>
        <v/>
      </c>
      <c r="Q77" s="13" t="str">
        <f aca="false">IF(COUNT($C77:$D77)&lt;2,"",IF($J77&lt;&gt;"",$J77,IF($B77="",Settings!$B$20,IFERROR(INDEX(Settings!$B$20:$B$22,MATCH($B77,Settings!$A$20:$A$22,0)),""))))</f>
        <v/>
      </c>
      <c r="R77" s="12" t="str">
        <f aca="false">IF(OR($P77="",$Q77=""),"",$P77*$Q77)</f>
        <v/>
      </c>
      <c r="S77" s="14" t="str">
        <f aca="false">IF($R77="","",IF(Settings!$B$16&gt;0,CEILING(($R77+Settings!$B$15)/(1-Settings!$B$14),Settings!$B$16),($R77+Settings!$B$15)/(1-Settings!$B$14)))</f>
        <v/>
      </c>
      <c r="T77" s="12" t="str">
        <f aca="false">IF($S77="","",$S77*Settings!$B$14+Settings!$B$15)</f>
        <v/>
      </c>
      <c r="U77" s="12" t="str">
        <f aca="false">IF($S77="","",$S77-$T77-$P77)</f>
        <v/>
      </c>
      <c r="V77" s="12" t="str">
        <f aca="false">IF(OR($U77="",N($D77)&lt;=0),"",$U77/$D77)</f>
        <v/>
      </c>
      <c r="W77" s="15"/>
    </row>
    <row r="78" customFormat="false" ht="15" hidden="false" customHeight="false" outlineLevel="0" collapsed="false">
      <c r="A78" s="5"/>
      <c r="B78" s="5"/>
      <c r="C78" s="6"/>
      <c r="D78" s="7"/>
      <c r="E78" s="8"/>
      <c r="F78" s="9"/>
      <c r="G78" s="10"/>
      <c r="H78" s="10"/>
      <c r="I78" s="10"/>
      <c r="J78" s="11"/>
      <c r="K78" s="12" t="str">
        <f aca="false">IF(COUNT($C78:$D78)&lt;2,"",$C78*Settings!$B$7)</f>
        <v/>
      </c>
      <c r="L78" s="12" t="str">
        <f aca="false">IF(COUNT($C78:$D78)&lt;2,"",$D78*Settings!$B$8)</f>
        <v/>
      </c>
      <c r="M78" s="12" t="str">
        <f aca="false">IF(COUNT($C78:$D78)&lt;2,"",($K78+$L78)*Settings!$B$9)</f>
        <v/>
      </c>
      <c r="N78" s="12" t="str">
        <f aca="false">IF(COUNT($C78:$D78)&lt;2,"",(IF($E78="",Settings!$B$11,$E78)/60+N($F78))*Settings!$B$10)</f>
        <v/>
      </c>
      <c r="O78" s="12" t="str">
        <f aca="false">IF(COUNT($C78:$D78)&lt;2,"",IF($G78="",IF($B78="Painted",Settings!$B$12,0),$G78)+N($H78)+IF($I78="",Settings!$B$13,$I78))</f>
        <v/>
      </c>
      <c r="P78" s="12" t="str">
        <f aca="false">IF(COUNT($C78:$D78)&lt;2,"",SUM($K78:$O78))</f>
        <v/>
      </c>
      <c r="Q78" s="13" t="str">
        <f aca="false">IF(COUNT($C78:$D78)&lt;2,"",IF($J78&lt;&gt;"",$J78,IF($B78="",Settings!$B$20,IFERROR(INDEX(Settings!$B$20:$B$22,MATCH($B78,Settings!$A$20:$A$22,0)),""))))</f>
        <v/>
      </c>
      <c r="R78" s="12" t="str">
        <f aca="false">IF(OR($P78="",$Q78=""),"",$P78*$Q78)</f>
        <v/>
      </c>
      <c r="S78" s="14" t="str">
        <f aca="false">IF($R78="","",IF(Settings!$B$16&gt;0,CEILING(($R78+Settings!$B$15)/(1-Settings!$B$14),Settings!$B$16),($R78+Settings!$B$15)/(1-Settings!$B$14)))</f>
        <v/>
      </c>
      <c r="T78" s="12" t="str">
        <f aca="false">IF($S78="","",$S78*Settings!$B$14+Settings!$B$15)</f>
        <v/>
      </c>
      <c r="U78" s="12" t="str">
        <f aca="false">IF($S78="","",$S78-$T78-$P78)</f>
        <v/>
      </c>
      <c r="V78" s="12" t="str">
        <f aca="false">IF(OR($U78="",N($D78)&lt;=0),"",$U78/$D78)</f>
        <v/>
      </c>
      <c r="W78" s="15"/>
    </row>
    <row r="79" customFormat="false" ht="15" hidden="false" customHeight="false" outlineLevel="0" collapsed="false">
      <c r="A79" s="5"/>
      <c r="B79" s="5"/>
      <c r="C79" s="6"/>
      <c r="D79" s="7"/>
      <c r="E79" s="8"/>
      <c r="F79" s="9"/>
      <c r="G79" s="10"/>
      <c r="H79" s="10"/>
      <c r="I79" s="10"/>
      <c r="J79" s="11"/>
      <c r="K79" s="12" t="str">
        <f aca="false">IF(COUNT($C79:$D79)&lt;2,"",$C79*Settings!$B$7)</f>
        <v/>
      </c>
      <c r="L79" s="12" t="str">
        <f aca="false">IF(COUNT($C79:$D79)&lt;2,"",$D79*Settings!$B$8)</f>
        <v/>
      </c>
      <c r="M79" s="12" t="str">
        <f aca="false">IF(COUNT($C79:$D79)&lt;2,"",($K79+$L79)*Settings!$B$9)</f>
        <v/>
      </c>
      <c r="N79" s="12" t="str">
        <f aca="false">IF(COUNT($C79:$D79)&lt;2,"",(IF($E79="",Settings!$B$11,$E79)/60+N($F79))*Settings!$B$10)</f>
        <v/>
      </c>
      <c r="O79" s="12" t="str">
        <f aca="false">IF(COUNT($C79:$D79)&lt;2,"",IF($G79="",IF($B79="Painted",Settings!$B$12,0),$G79)+N($H79)+IF($I79="",Settings!$B$13,$I79))</f>
        <v/>
      </c>
      <c r="P79" s="12" t="str">
        <f aca="false">IF(COUNT($C79:$D79)&lt;2,"",SUM($K79:$O79))</f>
        <v/>
      </c>
      <c r="Q79" s="13" t="str">
        <f aca="false">IF(COUNT($C79:$D79)&lt;2,"",IF($J79&lt;&gt;"",$J79,IF($B79="",Settings!$B$20,IFERROR(INDEX(Settings!$B$20:$B$22,MATCH($B79,Settings!$A$20:$A$22,0)),""))))</f>
        <v/>
      </c>
      <c r="R79" s="12" t="str">
        <f aca="false">IF(OR($P79="",$Q79=""),"",$P79*$Q79)</f>
        <v/>
      </c>
      <c r="S79" s="14" t="str">
        <f aca="false">IF($R79="","",IF(Settings!$B$16&gt;0,CEILING(($R79+Settings!$B$15)/(1-Settings!$B$14),Settings!$B$16),($R79+Settings!$B$15)/(1-Settings!$B$14)))</f>
        <v/>
      </c>
      <c r="T79" s="12" t="str">
        <f aca="false">IF($S79="","",$S79*Settings!$B$14+Settings!$B$15)</f>
        <v/>
      </c>
      <c r="U79" s="12" t="str">
        <f aca="false">IF($S79="","",$S79-$T79-$P79)</f>
        <v/>
      </c>
      <c r="V79" s="12" t="str">
        <f aca="false">IF(OR($U79="",N($D79)&lt;=0),"",$U79/$D79)</f>
        <v/>
      </c>
      <c r="W79" s="15"/>
    </row>
    <row r="80" customFormat="false" ht="15" hidden="false" customHeight="false" outlineLevel="0" collapsed="false">
      <c r="A80" s="5"/>
      <c r="B80" s="5"/>
      <c r="C80" s="6"/>
      <c r="D80" s="7"/>
      <c r="E80" s="8"/>
      <c r="F80" s="9"/>
      <c r="G80" s="10"/>
      <c r="H80" s="10"/>
      <c r="I80" s="10"/>
      <c r="J80" s="11"/>
      <c r="K80" s="12" t="str">
        <f aca="false">IF(COUNT($C80:$D80)&lt;2,"",$C80*Settings!$B$7)</f>
        <v/>
      </c>
      <c r="L80" s="12" t="str">
        <f aca="false">IF(COUNT($C80:$D80)&lt;2,"",$D80*Settings!$B$8)</f>
        <v/>
      </c>
      <c r="M80" s="12" t="str">
        <f aca="false">IF(COUNT($C80:$D80)&lt;2,"",($K80+$L80)*Settings!$B$9)</f>
        <v/>
      </c>
      <c r="N80" s="12" t="str">
        <f aca="false">IF(COUNT($C80:$D80)&lt;2,"",(IF($E80="",Settings!$B$11,$E80)/60+N($F80))*Settings!$B$10)</f>
        <v/>
      </c>
      <c r="O80" s="12" t="str">
        <f aca="false">IF(COUNT($C80:$D80)&lt;2,"",IF($G80="",IF($B80="Painted",Settings!$B$12,0),$G80)+N($H80)+IF($I80="",Settings!$B$13,$I80))</f>
        <v/>
      </c>
      <c r="P80" s="12" t="str">
        <f aca="false">IF(COUNT($C80:$D80)&lt;2,"",SUM($K80:$O80))</f>
        <v/>
      </c>
      <c r="Q80" s="13" t="str">
        <f aca="false">IF(COUNT($C80:$D80)&lt;2,"",IF($J80&lt;&gt;"",$J80,IF($B80="",Settings!$B$20,IFERROR(INDEX(Settings!$B$20:$B$22,MATCH($B80,Settings!$A$20:$A$22,0)),""))))</f>
        <v/>
      </c>
      <c r="R80" s="12" t="str">
        <f aca="false">IF(OR($P80="",$Q80=""),"",$P80*$Q80)</f>
        <v/>
      </c>
      <c r="S80" s="14" t="str">
        <f aca="false">IF($R80="","",IF(Settings!$B$16&gt;0,CEILING(($R80+Settings!$B$15)/(1-Settings!$B$14),Settings!$B$16),($R80+Settings!$B$15)/(1-Settings!$B$14)))</f>
        <v/>
      </c>
      <c r="T80" s="12" t="str">
        <f aca="false">IF($S80="","",$S80*Settings!$B$14+Settings!$B$15)</f>
        <v/>
      </c>
      <c r="U80" s="12" t="str">
        <f aca="false">IF($S80="","",$S80-$T80-$P80)</f>
        <v/>
      </c>
      <c r="V80" s="12" t="str">
        <f aca="false">IF(OR($U80="",N($D80)&lt;=0),"",$U80/$D80)</f>
        <v/>
      </c>
      <c r="W80" s="15"/>
    </row>
    <row r="81" customFormat="false" ht="15" hidden="false" customHeight="false" outlineLevel="0" collapsed="false">
      <c r="A81" s="5"/>
      <c r="B81" s="5"/>
      <c r="C81" s="6"/>
      <c r="D81" s="7"/>
      <c r="E81" s="8"/>
      <c r="F81" s="9"/>
      <c r="G81" s="10"/>
      <c r="H81" s="10"/>
      <c r="I81" s="10"/>
      <c r="J81" s="11"/>
      <c r="K81" s="12" t="str">
        <f aca="false">IF(COUNT($C81:$D81)&lt;2,"",$C81*Settings!$B$7)</f>
        <v/>
      </c>
      <c r="L81" s="12" t="str">
        <f aca="false">IF(COUNT($C81:$D81)&lt;2,"",$D81*Settings!$B$8)</f>
        <v/>
      </c>
      <c r="M81" s="12" t="str">
        <f aca="false">IF(COUNT($C81:$D81)&lt;2,"",($K81+$L81)*Settings!$B$9)</f>
        <v/>
      </c>
      <c r="N81" s="12" t="str">
        <f aca="false">IF(COUNT($C81:$D81)&lt;2,"",(IF($E81="",Settings!$B$11,$E81)/60+N($F81))*Settings!$B$10)</f>
        <v/>
      </c>
      <c r="O81" s="12" t="str">
        <f aca="false">IF(COUNT($C81:$D81)&lt;2,"",IF($G81="",IF($B81="Painted",Settings!$B$12,0),$G81)+N($H81)+IF($I81="",Settings!$B$13,$I81))</f>
        <v/>
      </c>
      <c r="P81" s="12" t="str">
        <f aca="false">IF(COUNT($C81:$D81)&lt;2,"",SUM($K81:$O81))</f>
        <v/>
      </c>
      <c r="Q81" s="13" t="str">
        <f aca="false">IF(COUNT($C81:$D81)&lt;2,"",IF($J81&lt;&gt;"",$J81,IF($B81="",Settings!$B$20,IFERROR(INDEX(Settings!$B$20:$B$22,MATCH($B81,Settings!$A$20:$A$22,0)),""))))</f>
        <v/>
      </c>
      <c r="R81" s="12" t="str">
        <f aca="false">IF(OR($P81="",$Q81=""),"",$P81*$Q81)</f>
        <v/>
      </c>
      <c r="S81" s="14" t="str">
        <f aca="false">IF($R81="","",IF(Settings!$B$16&gt;0,CEILING(($R81+Settings!$B$15)/(1-Settings!$B$14),Settings!$B$16),($R81+Settings!$B$15)/(1-Settings!$B$14)))</f>
        <v/>
      </c>
      <c r="T81" s="12" t="str">
        <f aca="false">IF($S81="","",$S81*Settings!$B$14+Settings!$B$15)</f>
        <v/>
      </c>
      <c r="U81" s="12" t="str">
        <f aca="false">IF($S81="","",$S81-$T81-$P81)</f>
        <v/>
      </c>
      <c r="V81" s="12" t="str">
        <f aca="false">IF(OR($U81="",N($D81)&lt;=0),"",$U81/$D81)</f>
        <v/>
      </c>
      <c r="W81" s="15"/>
    </row>
    <row r="82" customFormat="false" ht="15" hidden="false" customHeight="false" outlineLevel="0" collapsed="false">
      <c r="A82" s="5"/>
      <c r="B82" s="5"/>
      <c r="C82" s="6"/>
      <c r="D82" s="7"/>
      <c r="E82" s="8"/>
      <c r="F82" s="9"/>
      <c r="G82" s="10"/>
      <c r="H82" s="10"/>
      <c r="I82" s="10"/>
      <c r="J82" s="11"/>
      <c r="K82" s="12" t="str">
        <f aca="false">IF(COUNT($C82:$D82)&lt;2,"",$C82*Settings!$B$7)</f>
        <v/>
      </c>
      <c r="L82" s="12" t="str">
        <f aca="false">IF(COUNT($C82:$D82)&lt;2,"",$D82*Settings!$B$8)</f>
        <v/>
      </c>
      <c r="M82" s="12" t="str">
        <f aca="false">IF(COUNT($C82:$D82)&lt;2,"",($K82+$L82)*Settings!$B$9)</f>
        <v/>
      </c>
      <c r="N82" s="12" t="str">
        <f aca="false">IF(COUNT($C82:$D82)&lt;2,"",(IF($E82="",Settings!$B$11,$E82)/60+N($F82))*Settings!$B$10)</f>
        <v/>
      </c>
      <c r="O82" s="12" t="str">
        <f aca="false">IF(COUNT($C82:$D82)&lt;2,"",IF($G82="",IF($B82="Painted",Settings!$B$12,0),$G82)+N($H82)+IF($I82="",Settings!$B$13,$I82))</f>
        <v/>
      </c>
      <c r="P82" s="12" t="str">
        <f aca="false">IF(COUNT($C82:$D82)&lt;2,"",SUM($K82:$O82))</f>
        <v/>
      </c>
      <c r="Q82" s="13" t="str">
        <f aca="false">IF(COUNT($C82:$D82)&lt;2,"",IF($J82&lt;&gt;"",$J82,IF($B82="",Settings!$B$20,IFERROR(INDEX(Settings!$B$20:$B$22,MATCH($B82,Settings!$A$20:$A$22,0)),""))))</f>
        <v/>
      </c>
      <c r="R82" s="12" t="str">
        <f aca="false">IF(OR($P82="",$Q82=""),"",$P82*$Q82)</f>
        <v/>
      </c>
      <c r="S82" s="14" t="str">
        <f aca="false">IF($R82="","",IF(Settings!$B$16&gt;0,CEILING(($R82+Settings!$B$15)/(1-Settings!$B$14),Settings!$B$16),($R82+Settings!$B$15)/(1-Settings!$B$14)))</f>
        <v/>
      </c>
      <c r="T82" s="12" t="str">
        <f aca="false">IF($S82="","",$S82*Settings!$B$14+Settings!$B$15)</f>
        <v/>
      </c>
      <c r="U82" s="12" t="str">
        <f aca="false">IF($S82="","",$S82-$T82-$P82)</f>
        <v/>
      </c>
      <c r="V82" s="12" t="str">
        <f aca="false">IF(OR($U82="",N($D82)&lt;=0),"",$U82/$D82)</f>
        <v/>
      </c>
      <c r="W82" s="15"/>
    </row>
    <row r="83" customFormat="false" ht="15" hidden="false" customHeight="false" outlineLevel="0" collapsed="false">
      <c r="A83" s="5"/>
      <c r="B83" s="5"/>
      <c r="C83" s="6"/>
      <c r="D83" s="7"/>
      <c r="E83" s="8"/>
      <c r="F83" s="9"/>
      <c r="G83" s="10"/>
      <c r="H83" s="10"/>
      <c r="I83" s="10"/>
      <c r="J83" s="11"/>
      <c r="K83" s="12" t="str">
        <f aca="false">IF(COUNT($C83:$D83)&lt;2,"",$C83*Settings!$B$7)</f>
        <v/>
      </c>
      <c r="L83" s="12" t="str">
        <f aca="false">IF(COUNT($C83:$D83)&lt;2,"",$D83*Settings!$B$8)</f>
        <v/>
      </c>
      <c r="M83" s="12" t="str">
        <f aca="false">IF(COUNT($C83:$D83)&lt;2,"",($K83+$L83)*Settings!$B$9)</f>
        <v/>
      </c>
      <c r="N83" s="12" t="str">
        <f aca="false">IF(COUNT($C83:$D83)&lt;2,"",(IF($E83="",Settings!$B$11,$E83)/60+N($F83))*Settings!$B$10)</f>
        <v/>
      </c>
      <c r="O83" s="12" t="str">
        <f aca="false">IF(COUNT($C83:$D83)&lt;2,"",IF($G83="",IF($B83="Painted",Settings!$B$12,0),$G83)+N($H83)+IF($I83="",Settings!$B$13,$I83))</f>
        <v/>
      </c>
      <c r="P83" s="12" t="str">
        <f aca="false">IF(COUNT($C83:$D83)&lt;2,"",SUM($K83:$O83))</f>
        <v/>
      </c>
      <c r="Q83" s="13" t="str">
        <f aca="false">IF(COUNT($C83:$D83)&lt;2,"",IF($J83&lt;&gt;"",$J83,IF($B83="",Settings!$B$20,IFERROR(INDEX(Settings!$B$20:$B$22,MATCH($B83,Settings!$A$20:$A$22,0)),""))))</f>
        <v/>
      </c>
      <c r="R83" s="12" t="str">
        <f aca="false">IF(OR($P83="",$Q83=""),"",$P83*$Q83)</f>
        <v/>
      </c>
      <c r="S83" s="14" t="str">
        <f aca="false">IF($R83="","",IF(Settings!$B$16&gt;0,CEILING(($R83+Settings!$B$15)/(1-Settings!$B$14),Settings!$B$16),($R83+Settings!$B$15)/(1-Settings!$B$14)))</f>
        <v/>
      </c>
      <c r="T83" s="12" t="str">
        <f aca="false">IF($S83="","",$S83*Settings!$B$14+Settings!$B$15)</f>
        <v/>
      </c>
      <c r="U83" s="12" t="str">
        <f aca="false">IF($S83="","",$S83-$T83-$P83)</f>
        <v/>
      </c>
      <c r="V83" s="12" t="str">
        <f aca="false">IF(OR($U83="",N($D83)&lt;=0),"",$U83/$D83)</f>
        <v/>
      </c>
      <c r="W83" s="15"/>
    </row>
    <row r="84" customFormat="false" ht="15" hidden="false" customHeight="false" outlineLevel="0" collapsed="false">
      <c r="A84" s="5"/>
      <c r="B84" s="5"/>
      <c r="C84" s="6"/>
      <c r="D84" s="7"/>
      <c r="E84" s="8"/>
      <c r="F84" s="9"/>
      <c r="G84" s="10"/>
      <c r="H84" s="10"/>
      <c r="I84" s="10"/>
      <c r="J84" s="11"/>
      <c r="K84" s="12" t="str">
        <f aca="false">IF(COUNT($C84:$D84)&lt;2,"",$C84*Settings!$B$7)</f>
        <v/>
      </c>
      <c r="L84" s="12" t="str">
        <f aca="false">IF(COUNT($C84:$D84)&lt;2,"",$D84*Settings!$B$8)</f>
        <v/>
      </c>
      <c r="M84" s="12" t="str">
        <f aca="false">IF(COUNT($C84:$D84)&lt;2,"",($K84+$L84)*Settings!$B$9)</f>
        <v/>
      </c>
      <c r="N84" s="12" t="str">
        <f aca="false">IF(COUNT($C84:$D84)&lt;2,"",(IF($E84="",Settings!$B$11,$E84)/60+N($F84))*Settings!$B$10)</f>
        <v/>
      </c>
      <c r="O84" s="12" t="str">
        <f aca="false">IF(COUNT($C84:$D84)&lt;2,"",IF($G84="",IF($B84="Painted",Settings!$B$12,0),$G84)+N($H84)+IF($I84="",Settings!$B$13,$I84))</f>
        <v/>
      </c>
      <c r="P84" s="12" t="str">
        <f aca="false">IF(COUNT($C84:$D84)&lt;2,"",SUM($K84:$O84))</f>
        <v/>
      </c>
      <c r="Q84" s="13" t="str">
        <f aca="false">IF(COUNT($C84:$D84)&lt;2,"",IF($J84&lt;&gt;"",$J84,IF($B84="",Settings!$B$20,IFERROR(INDEX(Settings!$B$20:$B$22,MATCH($B84,Settings!$A$20:$A$22,0)),""))))</f>
        <v/>
      </c>
      <c r="R84" s="12" t="str">
        <f aca="false">IF(OR($P84="",$Q84=""),"",$P84*$Q84)</f>
        <v/>
      </c>
      <c r="S84" s="14" t="str">
        <f aca="false">IF($R84="","",IF(Settings!$B$16&gt;0,CEILING(($R84+Settings!$B$15)/(1-Settings!$B$14),Settings!$B$16),($R84+Settings!$B$15)/(1-Settings!$B$14)))</f>
        <v/>
      </c>
      <c r="T84" s="12" t="str">
        <f aca="false">IF($S84="","",$S84*Settings!$B$14+Settings!$B$15)</f>
        <v/>
      </c>
      <c r="U84" s="12" t="str">
        <f aca="false">IF($S84="","",$S84-$T84-$P84)</f>
        <v/>
      </c>
      <c r="V84" s="12" t="str">
        <f aca="false">IF(OR($U84="",N($D84)&lt;=0),"",$U84/$D84)</f>
        <v/>
      </c>
      <c r="W84" s="15"/>
    </row>
    <row r="85" customFormat="false" ht="15" hidden="false" customHeight="false" outlineLevel="0" collapsed="false">
      <c r="A85" s="5"/>
      <c r="B85" s="5"/>
      <c r="C85" s="6"/>
      <c r="D85" s="7"/>
      <c r="E85" s="8"/>
      <c r="F85" s="9"/>
      <c r="G85" s="10"/>
      <c r="H85" s="10"/>
      <c r="I85" s="10"/>
      <c r="J85" s="11"/>
      <c r="K85" s="12" t="str">
        <f aca="false">IF(COUNT($C85:$D85)&lt;2,"",$C85*Settings!$B$7)</f>
        <v/>
      </c>
      <c r="L85" s="12" t="str">
        <f aca="false">IF(COUNT($C85:$D85)&lt;2,"",$D85*Settings!$B$8)</f>
        <v/>
      </c>
      <c r="M85" s="12" t="str">
        <f aca="false">IF(COUNT($C85:$D85)&lt;2,"",($K85+$L85)*Settings!$B$9)</f>
        <v/>
      </c>
      <c r="N85" s="12" t="str">
        <f aca="false">IF(COUNT($C85:$D85)&lt;2,"",(IF($E85="",Settings!$B$11,$E85)/60+N($F85))*Settings!$B$10)</f>
        <v/>
      </c>
      <c r="O85" s="12" t="str">
        <f aca="false">IF(COUNT($C85:$D85)&lt;2,"",IF($G85="",IF($B85="Painted",Settings!$B$12,0),$G85)+N($H85)+IF($I85="",Settings!$B$13,$I85))</f>
        <v/>
      </c>
      <c r="P85" s="12" t="str">
        <f aca="false">IF(COUNT($C85:$D85)&lt;2,"",SUM($K85:$O85))</f>
        <v/>
      </c>
      <c r="Q85" s="13" t="str">
        <f aca="false">IF(COUNT($C85:$D85)&lt;2,"",IF($J85&lt;&gt;"",$J85,IF($B85="",Settings!$B$20,IFERROR(INDEX(Settings!$B$20:$B$22,MATCH($B85,Settings!$A$20:$A$22,0)),""))))</f>
        <v/>
      </c>
      <c r="R85" s="12" t="str">
        <f aca="false">IF(OR($P85="",$Q85=""),"",$P85*$Q85)</f>
        <v/>
      </c>
      <c r="S85" s="14" t="str">
        <f aca="false">IF($R85="","",IF(Settings!$B$16&gt;0,CEILING(($R85+Settings!$B$15)/(1-Settings!$B$14),Settings!$B$16),($R85+Settings!$B$15)/(1-Settings!$B$14)))</f>
        <v/>
      </c>
      <c r="T85" s="12" t="str">
        <f aca="false">IF($S85="","",$S85*Settings!$B$14+Settings!$B$15)</f>
        <v/>
      </c>
      <c r="U85" s="12" t="str">
        <f aca="false">IF($S85="","",$S85-$T85-$P85)</f>
        <v/>
      </c>
      <c r="V85" s="12" t="str">
        <f aca="false">IF(OR($U85="",N($D85)&lt;=0),"",$U85/$D85)</f>
        <v/>
      </c>
      <c r="W85" s="15"/>
    </row>
    <row r="86" customFormat="false" ht="15" hidden="false" customHeight="false" outlineLevel="0" collapsed="false">
      <c r="A86" s="5"/>
      <c r="B86" s="5"/>
      <c r="C86" s="6"/>
      <c r="D86" s="7"/>
      <c r="E86" s="8"/>
      <c r="F86" s="9"/>
      <c r="G86" s="10"/>
      <c r="H86" s="10"/>
      <c r="I86" s="10"/>
      <c r="J86" s="11"/>
      <c r="K86" s="12" t="str">
        <f aca="false">IF(COUNT($C86:$D86)&lt;2,"",$C86*Settings!$B$7)</f>
        <v/>
      </c>
      <c r="L86" s="12" t="str">
        <f aca="false">IF(COUNT($C86:$D86)&lt;2,"",$D86*Settings!$B$8)</f>
        <v/>
      </c>
      <c r="M86" s="12" t="str">
        <f aca="false">IF(COUNT($C86:$D86)&lt;2,"",($K86+$L86)*Settings!$B$9)</f>
        <v/>
      </c>
      <c r="N86" s="12" t="str">
        <f aca="false">IF(COUNT($C86:$D86)&lt;2,"",(IF($E86="",Settings!$B$11,$E86)/60+N($F86))*Settings!$B$10)</f>
        <v/>
      </c>
      <c r="O86" s="12" t="str">
        <f aca="false">IF(COUNT($C86:$D86)&lt;2,"",IF($G86="",IF($B86="Painted",Settings!$B$12,0),$G86)+N($H86)+IF($I86="",Settings!$B$13,$I86))</f>
        <v/>
      </c>
      <c r="P86" s="12" t="str">
        <f aca="false">IF(COUNT($C86:$D86)&lt;2,"",SUM($K86:$O86))</f>
        <v/>
      </c>
      <c r="Q86" s="13" t="str">
        <f aca="false">IF(COUNT($C86:$D86)&lt;2,"",IF($J86&lt;&gt;"",$J86,IF($B86="",Settings!$B$20,IFERROR(INDEX(Settings!$B$20:$B$22,MATCH($B86,Settings!$A$20:$A$22,0)),""))))</f>
        <v/>
      </c>
      <c r="R86" s="12" t="str">
        <f aca="false">IF(OR($P86="",$Q86=""),"",$P86*$Q86)</f>
        <v/>
      </c>
      <c r="S86" s="14" t="str">
        <f aca="false">IF($R86="","",IF(Settings!$B$16&gt;0,CEILING(($R86+Settings!$B$15)/(1-Settings!$B$14),Settings!$B$16),($R86+Settings!$B$15)/(1-Settings!$B$14)))</f>
        <v/>
      </c>
      <c r="T86" s="12" t="str">
        <f aca="false">IF($S86="","",$S86*Settings!$B$14+Settings!$B$15)</f>
        <v/>
      </c>
      <c r="U86" s="12" t="str">
        <f aca="false">IF($S86="","",$S86-$T86-$P86)</f>
        <v/>
      </c>
      <c r="V86" s="12" t="str">
        <f aca="false">IF(OR($U86="",N($D86)&lt;=0),"",$U86/$D86)</f>
        <v/>
      </c>
      <c r="W86" s="15"/>
    </row>
    <row r="87" customFormat="false" ht="15" hidden="false" customHeight="false" outlineLevel="0" collapsed="false">
      <c r="A87" s="5"/>
      <c r="B87" s="5"/>
      <c r="C87" s="6"/>
      <c r="D87" s="7"/>
      <c r="E87" s="8"/>
      <c r="F87" s="9"/>
      <c r="G87" s="10"/>
      <c r="H87" s="10"/>
      <c r="I87" s="10"/>
      <c r="J87" s="11"/>
      <c r="K87" s="12" t="str">
        <f aca="false">IF(COUNT($C87:$D87)&lt;2,"",$C87*Settings!$B$7)</f>
        <v/>
      </c>
      <c r="L87" s="12" t="str">
        <f aca="false">IF(COUNT($C87:$D87)&lt;2,"",$D87*Settings!$B$8)</f>
        <v/>
      </c>
      <c r="M87" s="12" t="str">
        <f aca="false">IF(COUNT($C87:$D87)&lt;2,"",($K87+$L87)*Settings!$B$9)</f>
        <v/>
      </c>
      <c r="N87" s="12" t="str">
        <f aca="false">IF(COUNT($C87:$D87)&lt;2,"",(IF($E87="",Settings!$B$11,$E87)/60+N($F87))*Settings!$B$10)</f>
        <v/>
      </c>
      <c r="O87" s="12" t="str">
        <f aca="false">IF(COUNT($C87:$D87)&lt;2,"",IF($G87="",IF($B87="Painted",Settings!$B$12,0),$G87)+N($H87)+IF($I87="",Settings!$B$13,$I87))</f>
        <v/>
      </c>
      <c r="P87" s="12" t="str">
        <f aca="false">IF(COUNT($C87:$D87)&lt;2,"",SUM($K87:$O87))</f>
        <v/>
      </c>
      <c r="Q87" s="13" t="str">
        <f aca="false">IF(COUNT($C87:$D87)&lt;2,"",IF($J87&lt;&gt;"",$J87,IF($B87="",Settings!$B$20,IFERROR(INDEX(Settings!$B$20:$B$22,MATCH($B87,Settings!$A$20:$A$22,0)),""))))</f>
        <v/>
      </c>
      <c r="R87" s="12" t="str">
        <f aca="false">IF(OR($P87="",$Q87=""),"",$P87*$Q87)</f>
        <v/>
      </c>
      <c r="S87" s="14" t="str">
        <f aca="false">IF($R87="","",IF(Settings!$B$16&gt;0,CEILING(($R87+Settings!$B$15)/(1-Settings!$B$14),Settings!$B$16),($R87+Settings!$B$15)/(1-Settings!$B$14)))</f>
        <v/>
      </c>
      <c r="T87" s="12" t="str">
        <f aca="false">IF($S87="","",$S87*Settings!$B$14+Settings!$B$15)</f>
        <v/>
      </c>
      <c r="U87" s="12" t="str">
        <f aca="false">IF($S87="","",$S87-$T87-$P87)</f>
        <v/>
      </c>
      <c r="V87" s="12" t="str">
        <f aca="false">IF(OR($U87="",N($D87)&lt;=0),"",$U87/$D87)</f>
        <v/>
      </c>
      <c r="W87" s="15"/>
    </row>
    <row r="88" customFormat="false" ht="15" hidden="false" customHeight="false" outlineLevel="0" collapsed="false">
      <c r="A88" s="5"/>
      <c r="B88" s="5"/>
      <c r="C88" s="6"/>
      <c r="D88" s="7"/>
      <c r="E88" s="8"/>
      <c r="F88" s="9"/>
      <c r="G88" s="10"/>
      <c r="H88" s="10"/>
      <c r="I88" s="10"/>
      <c r="J88" s="11"/>
      <c r="K88" s="12" t="str">
        <f aca="false">IF(COUNT($C88:$D88)&lt;2,"",$C88*Settings!$B$7)</f>
        <v/>
      </c>
      <c r="L88" s="12" t="str">
        <f aca="false">IF(COUNT($C88:$D88)&lt;2,"",$D88*Settings!$B$8)</f>
        <v/>
      </c>
      <c r="M88" s="12" t="str">
        <f aca="false">IF(COUNT($C88:$D88)&lt;2,"",($K88+$L88)*Settings!$B$9)</f>
        <v/>
      </c>
      <c r="N88" s="12" t="str">
        <f aca="false">IF(COUNT($C88:$D88)&lt;2,"",(IF($E88="",Settings!$B$11,$E88)/60+N($F88))*Settings!$B$10)</f>
        <v/>
      </c>
      <c r="O88" s="12" t="str">
        <f aca="false">IF(COUNT($C88:$D88)&lt;2,"",IF($G88="",IF($B88="Painted",Settings!$B$12,0),$G88)+N($H88)+IF($I88="",Settings!$B$13,$I88))</f>
        <v/>
      </c>
      <c r="P88" s="12" t="str">
        <f aca="false">IF(COUNT($C88:$D88)&lt;2,"",SUM($K88:$O88))</f>
        <v/>
      </c>
      <c r="Q88" s="13" t="str">
        <f aca="false">IF(COUNT($C88:$D88)&lt;2,"",IF($J88&lt;&gt;"",$J88,IF($B88="",Settings!$B$20,IFERROR(INDEX(Settings!$B$20:$B$22,MATCH($B88,Settings!$A$20:$A$22,0)),""))))</f>
        <v/>
      </c>
      <c r="R88" s="12" t="str">
        <f aca="false">IF(OR($P88="",$Q88=""),"",$P88*$Q88)</f>
        <v/>
      </c>
      <c r="S88" s="14" t="str">
        <f aca="false">IF($R88="","",IF(Settings!$B$16&gt;0,CEILING(($R88+Settings!$B$15)/(1-Settings!$B$14),Settings!$B$16),($R88+Settings!$B$15)/(1-Settings!$B$14)))</f>
        <v/>
      </c>
      <c r="T88" s="12" t="str">
        <f aca="false">IF($S88="","",$S88*Settings!$B$14+Settings!$B$15)</f>
        <v/>
      </c>
      <c r="U88" s="12" t="str">
        <f aca="false">IF($S88="","",$S88-$T88-$P88)</f>
        <v/>
      </c>
      <c r="V88" s="12" t="str">
        <f aca="false">IF(OR($U88="",N($D88)&lt;=0),"",$U88/$D88)</f>
        <v/>
      </c>
      <c r="W88" s="15"/>
    </row>
    <row r="89" customFormat="false" ht="15" hidden="false" customHeight="false" outlineLevel="0" collapsed="false">
      <c r="A89" s="5"/>
      <c r="B89" s="5"/>
      <c r="C89" s="6"/>
      <c r="D89" s="7"/>
      <c r="E89" s="8"/>
      <c r="F89" s="9"/>
      <c r="G89" s="10"/>
      <c r="H89" s="10"/>
      <c r="I89" s="10"/>
      <c r="J89" s="11"/>
      <c r="K89" s="12" t="str">
        <f aca="false">IF(COUNT($C89:$D89)&lt;2,"",$C89*Settings!$B$7)</f>
        <v/>
      </c>
      <c r="L89" s="12" t="str">
        <f aca="false">IF(COUNT($C89:$D89)&lt;2,"",$D89*Settings!$B$8)</f>
        <v/>
      </c>
      <c r="M89" s="12" t="str">
        <f aca="false">IF(COUNT($C89:$D89)&lt;2,"",($K89+$L89)*Settings!$B$9)</f>
        <v/>
      </c>
      <c r="N89" s="12" t="str">
        <f aca="false">IF(COUNT($C89:$D89)&lt;2,"",(IF($E89="",Settings!$B$11,$E89)/60+N($F89))*Settings!$B$10)</f>
        <v/>
      </c>
      <c r="O89" s="12" t="str">
        <f aca="false">IF(COUNT($C89:$D89)&lt;2,"",IF($G89="",IF($B89="Painted",Settings!$B$12,0),$G89)+N($H89)+IF($I89="",Settings!$B$13,$I89))</f>
        <v/>
      </c>
      <c r="P89" s="12" t="str">
        <f aca="false">IF(COUNT($C89:$D89)&lt;2,"",SUM($K89:$O89))</f>
        <v/>
      </c>
      <c r="Q89" s="13" t="str">
        <f aca="false">IF(COUNT($C89:$D89)&lt;2,"",IF($J89&lt;&gt;"",$J89,IF($B89="",Settings!$B$20,IFERROR(INDEX(Settings!$B$20:$B$22,MATCH($B89,Settings!$A$20:$A$22,0)),""))))</f>
        <v/>
      </c>
      <c r="R89" s="12" t="str">
        <f aca="false">IF(OR($P89="",$Q89=""),"",$P89*$Q89)</f>
        <v/>
      </c>
      <c r="S89" s="14" t="str">
        <f aca="false">IF($R89="","",IF(Settings!$B$16&gt;0,CEILING(($R89+Settings!$B$15)/(1-Settings!$B$14),Settings!$B$16),($R89+Settings!$B$15)/(1-Settings!$B$14)))</f>
        <v/>
      </c>
      <c r="T89" s="12" t="str">
        <f aca="false">IF($S89="","",$S89*Settings!$B$14+Settings!$B$15)</f>
        <v/>
      </c>
      <c r="U89" s="12" t="str">
        <f aca="false">IF($S89="","",$S89-$T89-$P89)</f>
        <v/>
      </c>
      <c r="V89" s="12" t="str">
        <f aca="false">IF(OR($U89="",N($D89)&lt;=0),"",$U89/$D89)</f>
        <v/>
      </c>
      <c r="W89" s="15"/>
    </row>
    <row r="90" customFormat="false" ht="15" hidden="false" customHeight="false" outlineLevel="0" collapsed="false">
      <c r="A90" s="5"/>
      <c r="B90" s="5"/>
      <c r="C90" s="6"/>
      <c r="D90" s="7"/>
      <c r="E90" s="8"/>
      <c r="F90" s="9"/>
      <c r="G90" s="10"/>
      <c r="H90" s="10"/>
      <c r="I90" s="10"/>
      <c r="J90" s="11"/>
      <c r="K90" s="12" t="str">
        <f aca="false">IF(COUNT($C90:$D90)&lt;2,"",$C90*Settings!$B$7)</f>
        <v/>
      </c>
      <c r="L90" s="12" t="str">
        <f aca="false">IF(COUNT($C90:$D90)&lt;2,"",$D90*Settings!$B$8)</f>
        <v/>
      </c>
      <c r="M90" s="12" t="str">
        <f aca="false">IF(COUNT($C90:$D90)&lt;2,"",($K90+$L90)*Settings!$B$9)</f>
        <v/>
      </c>
      <c r="N90" s="12" t="str">
        <f aca="false">IF(COUNT($C90:$D90)&lt;2,"",(IF($E90="",Settings!$B$11,$E90)/60+N($F90))*Settings!$B$10)</f>
        <v/>
      </c>
      <c r="O90" s="12" t="str">
        <f aca="false">IF(COUNT($C90:$D90)&lt;2,"",IF($G90="",IF($B90="Painted",Settings!$B$12,0),$G90)+N($H90)+IF($I90="",Settings!$B$13,$I90))</f>
        <v/>
      </c>
      <c r="P90" s="12" t="str">
        <f aca="false">IF(COUNT($C90:$D90)&lt;2,"",SUM($K90:$O90))</f>
        <v/>
      </c>
      <c r="Q90" s="13" t="str">
        <f aca="false">IF(COUNT($C90:$D90)&lt;2,"",IF($J90&lt;&gt;"",$J90,IF($B90="",Settings!$B$20,IFERROR(INDEX(Settings!$B$20:$B$22,MATCH($B90,Settings!$A$20:$A$22,0)),""))))</f>
        <v/>
      </c>
      <c r="R90" s="12" t="str">
        <f aca="false">IF(OR($P90="",$Q90=""),"",$P90*$Q90)</f>
        <v/>
      </c>
      <c r="S90" s="14" t="str">
        <f aca="false">IF($R90="","",IF(Settings!$B$16&gt;0,CEILING(($R90+Settings!$B$15)/(1-Settings!$B$14),Settings!$B$16),($R90+Settings!$B$15)/(1-Settings!$B$14)))</f>
        <v/>
      </c>
      <c r="T90" s="12" t="str">
        <f aca="false">IF($S90="","",$S90*Settings!$B$14+Settings!$B$15)</f>
        <v/>
      </c>
      <c r="U90" s="12" t="str">
        <f aca="false">IF($S90="","",$S90-$T90-$P90)</f>
        <v/>
      </c>
      <c r="V90" s="12" t="str">
        <f aca="false">IF(OR($U90="",N($D90)&lt;=0),"",$U90/$D90)</f>
        <v/>
      </c>
      <c r="W90" s="15"/>
    </row>
    <row r="91" customFormat="false" ht="15" hidden="false" customHeight="false" outlineLevel="0" collapsed="false">
      <c r="A91" s="5"/>
      <c r="B91" s="5"/>
      <c r="C91" s="6"/>
      <c r="D91" s="7"/>
      <c r="E91" s="8"/>
      <c r="F91" s="9"/>
      <c r="G91" s="10"/>
      <c r="H91" s="10"/>
      <c r="I91" s="10"/>
      <c r="J91" s="11"/>
      <c r="K91" s="12" t="str">
        <f aca="false">IF(COUNT($C91:$D91)&lt;2,"",$C91*Settings!$B$7)</f>
        <v/>
      </c>
      <c r="L91" s="12" t="str">
        <f aca="false">IF(COUNT($C91:$D91)&lt;2,"",$D91*Settings!$B$8)</f>
        <v/>
      </c>
      <c r="M91" s="12" t="str">
        <f aca="false">IF(COUNT($C91:$D91)&lt;2,"",($K91+$L91)*Settings!$B$9)</f>
        <v/>
      </c>
      <c r="N91" s="12" t="str">
        <f aca="false">IF(COUNT($C91:$D91)&lt;2,"",(IF($E91="",Settings!$B$11,$E91)/60+N($F91))*Settings!$B$10)</f>
        <v/>
      </c>
      <c r="O91" s="12" t="str">
        <f aca="false">IF(COUNT($C91:$D91)&lt;2,"",IF($G91="",IF($B91="Painted",Settings!$B$12,0),$G91)+N($H91)+IF($I91="",Settings!$B$13,$I91))</f>
        <v/>
      </c>
      <c r="P91" s="12" t="str">
        <f aca="false">IF(COUNT($C91:$D91)&lt;2,"",SUM($K91:$O91))</f>
        <v/>
      </c>
      <c r="Q91" s="13" t="str">
        <f aca="false">IF(COUNT($C91:$D91)&lt;2,"",IF($J91&lt;&gt;"",$J91,IF($B91="",Settings!$B$20,IFERROR(INDEX(Settings!$B$20:$B$22,MATCH($B91,Settings!$A$20:$A$22,0)),""))))</f>
        <v/>
      </c>
      <c r="R91" s="12" t="str">
        <f aca="false">IF(OR($P91="",$Q91=""),"",$P91*$Q91)</f>
        <v/>
      </c>
      <c r="S91" s="14" t="str">
        <f aca="false">IF($R91="","",IF(Settings!$B$16&gt;0,CEILING(($R91+Settings!$B$15)/(1-Settings!$B$14),Settings!$B$16),($R91+Settings!$B$15)/(1-Settings!$B$14)))</f>
        <v/>
      </c>
      <c r="T91" s="12" t="str">
        <f aca="false">IF($S91="","",$S91*Settings!$B$14+Settings!$B$15)</f>
        <v/>
      </c>
      <c r="U91" s="12" t="str">
        <f aca="false">IF($S91="","",$S91-$T91-$P91)</f>
        <v/>
      </c>
      <c r="V91" s="12" t="str">
        <f aca="false">IF(OR($U91="",N($D91)&lt;=0),"",$U91/$D91)</f>
        <v/>
      </c>
      <c r="W91" s="15"/>
    </row>
    <row r="92" customFormat="false" ht="15" hidden="false" customHeight="false" outlineLevel="0" collapsed="false">
      <c r="A92" s="5"/>
      <c r="B92" s="5"/>
      <c r="C92" s="6"/>
      <c r="D92" s="7"/>
      <c r="E92" s="8"/>
      <c r="F92" s="9"/>
      <c r="G92" s="10"/>
      <c r="H92" s="10"/>
      <c r="I92" s="10"/>
      <c r="J92" s="11"/>
      <c r="K92" s="12" t="str">
        <f aca="false">IF(COUNT($C92:$D92)&lt;2,"",$C92*Settings!$B$7)</f>
        <v/>
      </c>
      <c r="L92" s="12" t="str">
        <f aca="false">IF(COUNT($C92:$D92)&lt;2,"",$D92*Settings!$B$8)</f>
        <v/>
      </c>
      <c r="M92" s="12" t="str">
        <f aca="false">IF(COUNT($C92:$D92)&lt;2,"",($K92+$L92)*Settings!$B$9)</f>
        <v/>
      </c>
      <c r="N92" s="12" t="str">
        <f aca="false">IF(COUNT($C92:$D92)&lt;2,"",(IF($E92="",Settings!$B$11,$E92)/60+N($F92))*Settings!$B$10)</f>
        <v/>
      </c>
      <c r="O92" s="12" t="str">
        <f aca="false">IF(COUNT($C92:$D92)&lt;2,"",IF($G92="",IF($B92="Painted",Settings!$B$12,0),$G92)+N($H92)+IF($I92="",Settings!$B$13,$I92))</f>
        <v/>
      </c>
      <c r="P92" s="12" t="str">
        <f aca="false">IF(COUNT($C92:$D92)&lt;2,"",SUM($K92:$O92))</f>
        <v/>
      </c>
      <c r="Q92" s="13" t="str">
        <f aca="false">IF(COUNT($C92:$D92)&lt;2,"",IF($J92&lt;&gt;"",$J92,IF($B92="",Settings!$B$20,IFERROR(INDEX(Settings!$B$20:$B$22,MATCH($B92,Settings!$A$20:$A$22,0)),""))))</f>
        <v/>
      </c>
      <c r="R92" s="12" t="str">
        <f aca="false">IF(OR($P92="",$Q92=""),"",$P92*$Q92)</f>
        <v/>
      </c>
      <c r="S92" s="14" t="str">
        <f aca="false">IF($R92="","",IF(Settings!$B$16&gt;0,CEILING(($R92+Settings!$B$15)/(1-Settings!$B$14),Settings!$B$16),($R92+Settings!$B$15)/(1-Settings!$B$14)))</f>
        <v/>
      </c>
      <c r="T92" s="12" t="str">
        <f aca="false">IF($S92="","",$S92*Settings!$B$14+Settings!$B$15)</f>
        <v/>
      </c>
      <c r="U92" s="12" t="str">
        <f aca="false">IF($S92="","",$S92-$T92-$P92)</f>
        <v/>
      </c>
      <c r="V92" s="12" t="str">
        <f aca="false">IF(OR($U92="",N($D92)&lt;=0),"",$U92/$D92)</f>
        <v/>
      </c>
      <c r="W92" s="15"/>
    </row>
    <row r="93" customFormat="false" ht="15" hidden="false" customHeight="false" outlineLevel="0" collapsed="false">
      <c r="A93" s="5"/>
      <c r="B93" s="5"/>
      <c r="C93" s="6"/>
      <c r="D93" s="7"/>
      <c r="E93" s="8"/>
      <c r="F93" s="9"/>
      <c r="G93" s="10"/>
      <c r="H93" s="10"/>
      <c r="I93" s="10"/>
      <c r="J93" s="11"/>
      <c r="K93" s="12" t="str">
        <f aca="false">IF(COUNT($C93:$D93)&lt;2,"",$C93*Settings!$B$7)</f>
        <v/>
      </c>
      <c r="L93" s="12" t="str">
        <f aca="false">IF(COUNT($C93:$D93)&lt;2,"",$D93*Settings!$B$8)</f>
        <v/>
      </c>
      <c r="M93" s="12" t="str">
        <f aca="false">IF(COUNT($C93:$D93)&lt;2,"",($K93+$L93)*Settings!$B$9)</f>
        <v/>
      </c>
      <c r="N93" s="12" t="str">
        <f aca="false">IF(COUNT($C93:$D93)&lt;2,"",(IF($E93="",Settings!$B$11,$E93)/60+N($F93))*Settings!$B$10)</f>
        <v/>
      </c>
      <c r="O93" s="12" t="str">
        <f aca="false">IF(COUNT($C93:$D93)&lt;2,"",IF($G93="",IF($B93="Painted",Settings!$B$12,0),$G93)+N($H93)+IF($I93="",Settings!$B$13,$I93))</f>
        <v/>
      </c>
      <c r="P93" s="12" t="str">
        <f aca="false">IF(COUNT($C93:$D93)&lt;2,"",SUM($K93:$O93))</f>
        <v/>
      </c>
      <c r="Q93" s="13" t="str">
        <f aca="false">IF(COUNT($C93:$D93)&lt;2,"",IF($J93&lt;&gt;"",$J93,IF($B93="",Settings!$B$20,IFERROR(INDEX(Settings!$B$20:$B$22,MATCH($B93,Settings!$A$20:$A$22,0)),""))))</f>
        <v/>
      </c>
      <c r="R93" s="12" t="str">
        <f aca="false">IF(OR($P93="",$Q93=""),"",$P93*$Q93)</f>
        <v/>
      </c>
      <c r="S93" s="14" t="str">
        <f aca="false">IF($R93="","",IF(Settings!$B$16&gt;0,CEILING(($R93+Settings!$B$15)/(1-Settings!$B$14),Settings!$B$16),($R93+Settings!$B$15)/(1-Settings!$B$14)))</f>
        <v/>
      </c>
      <c r="T93" s="12" t="str">
        <f aca="false">IF($S93="","",$S93*Settings!$B$14+Settings!$B$15)</f>
        <v/>
      </c>
      <c r="U93" s="12" t="str">
        <f aca="false">IF($S93="","",$S93-$T93-$P93)</f>
        <v/>
      </c>
      <c r="V93" s="12" t="str">
        <f aca="false">IF(OR($U93="",N($D93)&lt;=0),"",$U93/$D93)</f>
        <v/>
      </c>
      <c r="W93" s="15"/>
    </row>
    <row r="94" customFormat="false" ht="15" hidden="false" customHeight="false" outlineLevel="0" collapsed="false">
      <c r="A94" s="5"/>
      <c r="B94" s="5"/>
      <c r="C94" s="6"/>
      <c r="D94" s="7"/>
      <c r="E94" s="8"/>
      <c r="F94" s="9"/>
      <c r="G94" s="10"/>
      <c r="H94" s="10"/>
      <c r="I94" s="10"/>
      <c r="J94" s="11"/>
      <c r="K94" s="12" t="str">
        <f aca="false">IF(COUNT($C94:$D94)&lt;2,"",$C94*Settings!$B$7)</f>
        <v/>
      </c>
      <c r="L94" s="12" t="str">
        <f aca="false">IF(COUNT($C94:$D94)&lt;2,"",$D94*Settings!$B$8)</f>
        <v/>
      </c>
      <c r="M94" s="12" t="str">
        <f aca="false">IF(COUNT($C94:$D94)&lt;2,"",($K94+$L94)*Settings!$B$9)</f>
        <v/>
      </c>
      <c r="N94" s="12" t="str">
        <f aca="false">IF(COUNT($C94:$D94)&lt;2,"",(IF($E94="",Settings!$B$11,$E94)/60+N($F94))*Settings!$B$10)</f>
        <v/>
      </c>
      <c r="O94" s="12" t="str">
        <f aca="false">IF(COUNT($C94:$D94)&lt;2,"",IF($G94="",IF($B94="Painted",Settings!$B$12,0),$G94)+N($H94)+IF($I94="",Settings!$B$13,$I94))</f>
        <v/>
      </c>
      <c r="P94" s="12" t="str">
        <f aca="false">IF(COUNT($C94:$D94)&lt;2,"",SUM($K94:$O94))</f>
        <v/>
      </c>
      <c r="Q94" s="13" t="str">
        <f aca="false">IF(COUNT($C94:$D94)&lt;2,"",IF($J94&lt;&gt;"",$J94,IF($B94="",Settings!$B$20,IFERROR(INDEX(Settings!$B$20:$B$22,MATCH($B94,Settings!$A$20:$A$22,0)),""))))</f>
        <v/>
      </c>
      <c r="R94" s="12" t="str">
        <f aca="false">IF(OR($P94="",$Q94=""),"",$P94*$Q94)</f>
        <v/>
      </c>
      <c r="S94" s="14" t="str">
        <f aca="false">IF($R94="","",IF(Settings!$B$16&gt;0,CEILING(($R94+Settings!$B$15)/(1-Settings!$B$14),Settings!$B$16),($R94+Settings!$B$15)/(1-Settings!$B$14)))</f>
        <v/>
      </c>
      <c r="T94" s="12" t="str">
        <f aca="false">IF($S94="","",$S94*Settings!$B$14+Settings!$B$15)</f>
        <v/>
      </c>
      <c r="U94" s="12" t="str">
        <f aca="false">IF($S94="","",$S94-$T94-$P94)</f>
        <v/>
      </c>
      <c r="V94" s="12" t="str">
        <f aca="false">IF(OR($U94="",N($D94)&lt;=0),"",$U94/$D94)</f>
        <v/>
      </c>
      <c r="W94" s="15"/>
    </row>
    <row r="95" customFormat="false" ht="15" hidden="false" customHeight="false" outlineLevel="0" collapsed="false">
      <c r="A95" s="5"/>
      <c r="B95" s="5"/>
      <c r="C95" s="6"/>
      <c r="D95" s="7"/>
      <c r="E95" s="8"/>
      <c r="F95" s="9"/>
      <c r="G95" s="10"/>
      <c r="H95" s="10"/>
      <c r="I95" s="10"/>
      <c r="J95" s="11"/>
      <c r="K95" s="12" t="str">
        <f aca="false">IF(COUNT($C95:$D95)&lt;2,"",$C95*Settings!$B$7)</f>
        <v/>
      </c>
      <c r="L95" s="12" t="str">
        <f aca="false">IF(COUNT($C95:$D95)&lt;2,"",$D95*Settings!$B$8)</f>
        <v/>
      </c>
      <c r="M95" s="12" t="str">
        <f aca="false">IF(COUNT($C95:$D95)&lt;2,"",($K95+$L95)*Settings!$B$9)</f>
        <v/>
      </c>
      <c r="N95" s="12" t="str">
        <f aca="false">IF(COUNT($C95:$D95)&lt;2,"",(IF($E95="",Settings!$B$11,$E95)/60+N($F95))*Settings!$B$10)</f>
        <v/>
      </c>
      <c r="O95" s="12" t="str">
        <f aca="false">IF(COUNT($C95:$D95)&lt;2,"",IF($G95="",IF($B95="Painted",Settings!$B$12,0),$G95)+N($H95)+IF($I95="",Settings!$B$13,$I95))</f>
        <v/>
      </c>
      <c r="P95" s="12" t="str">
        <f aca="false">IF(COUNT($C95:$D95)&lt;2,"",SUM($K95:$O95))</f>
        <v/>
      </c>
      <c r="Q95" s="13" t="str">
        <f aca="false">IF(COUNT($C95:$D95)&lt;2,"",IF($J95&lt;&gt;"",$J95,IF($B95="",Settings!$B$20,IFERROR(INDEX(Settings!$B$20:$B$22,MATCH($B95,Settings!$A$20:$A$22,0)),""))))</f>
        <v/>
      </c>
      <c r="R95" s="12" t="str">
        <f aca="false">IF(OR($P95="",$Q95=""),"",$P95*$Q95)</f>
        <v/>
      </c>
      <c r="S95" s="14" t="str">
        <f aca="false">IF($R95="","",IF(Settings!$B$16&gt;0,CEILING(($R95+Settings!$B$15)/(1-Settings!$B$14),Settings!$B$16),($R95+Settings!$B$15)/(1-Settings!$B$14)))</f>
        <v/>
      </c>
      <c r="T95" s="12" t="str">
        <f aca="false">IF($S95="","",$S95*Settings!$B$14+Settings!$B$15)</f>
        <v/>
      </c>
      <c r="U95" s="12" t="str">
        <f aca="false">IF($S95="","",$S95-$T95-$P95)</f>
        <v/>
      </c>
      <c r="V95" s="12" t="str">
        <f aca="false">IF(OR($U95="",N($D95)&lt;=0),"",$U95/$D95)</f>
        <v/>
      </c>
      <c r="W95" s="15"/>
    </row>
    <row r="96" customFormat="false" ht="15" hidden="false" customHeight="false" outlineLevel="0" collapsed="false">
      <c r="A96" s="5"/>
      <c r="B96" s="5"/>
      <c r="C96" s="6"/>
      <c r="D96" s="7"/>
      <c r="E96" s="8"/>
      <c r="F96" s="9"/>
      <c r="G96" s="10"/>
      <c r="H96" s="10"/>
      <c r="I96" s="10"/>
      <c r="J96" s="11"/>
      <c r="K96" s="12" t="str">
        <f aca="false">IF(COUNT($C96:$D96)&lt;2,"",$C96*Settings!$B$7)</f>
        <v/>
      </c>
      <c r="L96" s="12" t="str">
        <f aca="false">IF(COUNT($C96:$D96)&lt;2,"",$D96*Settings!$B$8)</f>
        <v/>
      </c>
      <c r="M96" s="12" t="str">
        <f aca="false">IF(COUNT($C96:$D96)&lt;2,"",($K96+$L96)*Settings!$B$9)</f>
        <v/>
      </c>
      <c r="N96" s="12" t="str">
        <f aca="false">IF(COUNT($C96:$D96)&lt;2,"",(IF($E96="",Settings!$B$11,$E96)/60+N($F96))*Settings!$B$10)</f>
        <v/>
      </c>
      <c r="O96" s="12" t="str">
        <f aca="false">IF(COUNT($C96:$D96)&lt;2,"",IF($G96="",IF($B96="Painted",Settings!$B$12,0),$G96)+N($H96)+IF($I96="",Settings!$B$13,$I96))</f>
        <v/>
      </c>
      <c r="P96" s="12" t="str">
        <f aca="false">IF(COUNT($C96:$D96)&lt;2,"",SUM($K96:$O96))</f>
        <v/>
      </c>
      <c r="Q96" s="13" t="str">
        <f aca="false">IF(COUNT($C96:$D96)&lt;2,"",IF($J96&lt;&gt;"",$J96,IF($B96="",Settings!$B$20,IFERROR(INDEX(Settings!$B$20:$B$22,MATCH($B96,Settings!$A$20:$A$22,0)),""))))</f>
        <v/>
      </c>
      <c r="R96" s="12" t="str">
        <f aca="false">IF(OR($P96="",$Q96=""),"",$P96*$Q96)</f>
        <v/>
      </c>
      <c r="S96" s="14" t="str">
        <f aca="false">IF($R96="","",IF(Settings!$B$16&gt;0,CEILING(($R96+Settings!$B$15)/(1-Settings!$B$14),Settings!$B$16),($R96+Settings!$B$15)/(1-Settings!$B$14)))</f>
        <v/>
      </c>
      <c r="T96" s="12" t="str">
        <f aca="false">IF($S96="","",$S96*Settings!$B$14+Settings!$B$15)</f>
        <v/>
      </c>
      <c r="U96" s="12" t="str">
        <f aca="false">IF($S96="","",$S96-$T96-$P96)</f>
        <v/>
      </c>
      <c r="V96" s="12" t="str">
        <f aca="false">IF(OR($U96="",N($D96)&lt;=0),"",$U96/$D96)</f>
        <v/>
      </c>
      <c r="W96" s="15"/>
    </row>
    <row r="97" customFormat="false" ht="15" hidden="false" customHeight="false" outlineLevel="0" collapsed="false">
      <c r="A97" s="5"/>
      <c r="B97" s="5"/>
      <c r="C97" s="6"/>
      <c r="D97" s="7"/>
      <c r="E97" s="8"/>
      <c r="F97" s="9"/>
      <c r="G97" s="10"/>
      <c r="H97" s="10"/>
      <c r="I97" s="10"/>
      <c r="J97" s="11"/>
      <c r="K97" s="12" t="str">
        <f aca="false">IF(COUNT($C97:$D97)&lt;2,"",$C97*Settings!$B$7)</f>
        <v/>
      </c>
      <c r="L97" s="12" t="str">
        <f aca="false">IF(COUNT($C97:$D97)&lt;2,"",$D97*Settings!$B$8)</f>
        <v/>
      </c>
      <c r="M97" s="12" t="str">
        <f aca="false">IF(COUNT($C97:$D97)&lt;2,"",($K97+$L97)*Settings!$B$9)</f>
        <v/>
      </c>
      <c r="N97" s="12" t="str">
        <f aca="false">IF(COUNT($C97:$D97)&lt;2,"",(IF($E97="",Settings!$B$11,$E97)/60+N($F97))*Settings!$B$10)</f>
        <v/>
      </c>
      <c r="O97" s="12" t="str">
        <f aca="false">IF(COUNT($C97:$D97)&lt;2,"",IF($G97="",IF($B97="Painted",Settings!$B$12,0),$G97)+N($H97)+IF($I97="",Settings!$B$13,$I97))</f>
        <v/>
      </c>
      <c r="P97" s="12" t="str">
        <f aca="false">IF(COUNT($C97:$D97)&lt;2,"",SUM($K97:$O97))</f>
        <v/>
      </c>
      <c r="Q97" s="13" t="str">
        <f aca="false">IF(COUNT($C97:$D97)&lt;2,"",IF($J97&lt;&gt;"",$J97,IF($B97="",Settings!$B$20,IFERROR(INDEX(Settings!$B$20:$B$22,MATCH($B97,Settings!$A$20:$A$22,0)),""))))</f>
        <v/>
      </c>
      <c r="R97" s="12" t="str">
        <f aca="false">IF(OR($P97="",$Q97=""),"",$P97*$Q97)</f>
        <v/>
      </c>
      <c r="S97" s="14" t="str">
        <f aca="false">IF($R97="","",IF(Settings!$B$16&gt;0,CEILING(($R97+Settings!$B$15)/(1-Settings!$B$14),Settings!$B$16),($R97+Settings!$B$15)/(1-Settings!$B$14)))</f>
        <v/>
      </c>
      <c r="T97" s="12" t="str">
        <f aca="false">IF($S97="","",$S97*Settings!$B$14+Settings!$B$15)</f>
        <v/>
      </c>
      <c r="U97" s="12" t="str">
        <f aca="false">IF($S97="","",$S97-$T97-$P97)</f>
        <v/>
      </c>
      <c r="V97" s="12" t="str">
        <f aca="false">IF(OR($U97="",N($D97)&lt;=0),"",$U97/$D97)</f>
        <v/>
      </c>
      <c r="W97" s="15"/>
    </row>
    <row r="98" customFormat="false" ht="15" hidden="false" customHeight="false" outlineLevel="0" collapsed="false">
      <c r="A98" s="5"/>
      <c r="B98" s="5"/>
      <c r="C98" s="6"/>
      <c r="D98" s="7"/>
      <c r="E98" s="8"/>
      <c r="F98" s="9"/>
      <c r="G98" s="10"/>
      <c r="H98" s="10"/>
      <c r="I98" s="10"/>
      <c r="J98" s="11"/>
      <c r="K98" s="12" t="str">
        <f aca="false">IF(COUNT($C98:$D98)&lt;2,"",$C98*Settings!$B$7)</f>
        <v/>
      </c>
      <c r="L98" s="12" t="str">
        <f aca="false">IF(COUNT($C98:$D98)&lt;2,"",$D98*Settings!$B$8)</f>
        <v/>
      </c>
      <c r="M98" s="12" t="str">
        <f aca="false">IF(COUNT($C98:$D98)&lt;2,"",($K98+$L98)*Settings!$B$9)</f>
        <v/>
      </c>
      <c r="N98" s="12" t="str">
        <f aca="false">IF(COUNT($C98:$D98)&lt;2,"",(IF($E98="",Settings!$B$11,$E98)/60+N($F98))*Settings!$B$10)</f>
        <v/>
      </c>
      <c r="O98" s="12" t="str">
        <f aca="false">IF(COUNT($C98:$D98)&lt;2,"",IF($G98="",IF($B98="Painted",Settings!$B$12,0),$G98)+N($H98)+IF($I98="",Settings!$B$13,$I98))</f>
        <v/>
      </c>
      <c r="P98" s="12" t="str">
        <f aca="false">IF(COUNT($C98:$D98)&lt;2,"",SUM($K98:$O98))</f>
        <v/>
      </c>
      <c r="Q98" s="13" t="str">
        <f aca="false">IF(COUNT($C98:$D98)&lt;2,"",IF($J98&lt;&gt;"",$J98,IF($B98="",Settings!$B$20,IFERROR(INDEX(Settings!$B$20:$B$22,MATCH($B98,Settings!$A$20:$A$22,0)),""))))</f>
        <v/>
      </c>
      <c r="R98" s="12" t="str">
        <f aca="false">IF(OR($P98="",$Q98=""),"",$P98*$Q98)</f>
        <v/>
      </c>
      <c r="S98" s="14" t="str">
        <f aca="false">IF($R98="","",IF(Settings!$B$16&gt;0,CEILING(($R98+Settings!$B$15)/(1-Settings!$B$14),Settings!$B$16),($R98+Settings!$B$15)/(1-Settings!$B$14)))</f>
        <v/>
      </c>
      <c r="T98" s="12" t="str">
        <f aca="false">IF($S98="","",$S98*Settings!$B$14+Settings!$B$15)</f>
        <v/>
      </c>
      <c r="U98" s="12" t="str">
        <f aca="false">IF($S98="","",$S98-$T98-$P98)</f>
        <v/>
      </c>
      <c r="V98" s="12" t="str">
        <f aca="false">IF(OR($U98="",N($D98)&lt;=0),"",$U98/$D98)</f>
        <v/>
      </c>
      <c r="W98" s="15"/>
    </row>
    <row r="99" customFormat="false" ht="15" hidden="false" customHeight="false" outlineLevel="0" collapsed="false">
      <c r="A99" s="5"/>
      <c r="B99" s="5"/>
      <c r="C99" s="6"/>
      <c r="D99" s="7"/>
      <c r="E99" s="8"/>
      <c r="F99" s="9"/>
      <c r="G99" s="10"/>
      <c r="H99" s="10"/>
      <c r="I99" s="10"/>
      <c r="J99" s="11"/>
      <c r="K99" s="12" t="str">
        <f aca="false">IF(COUNT($C99:$D99)&lt;2,"",$C99*Settings!$B$7)</f>
        <v/>
      </c>
      <c r="L99" s="12" t="str">
        <f aca="false">IF(COUNT($C99:$D99)&lt;2,"",$D99*Settings!$B$8)</f>
        <v/>
      </c>
      <c r="M99" s="12" t="str">
        <f aca="false">IF(COUNT($C99:$D99)&lt;2,"",($K99+$L99)*Settings!$B$9)</f>
        <v/>
      </c>
      <c r="N99" s="12" t="str">
        <f aca="false">IF(COUNT($C99:$D99)&lt;2,"",(IF($E99="",Settings!$B$11,$E99)/60+N($F99))*Settings!$B$10)</f>
        <v/>
      </c>
      <c r="O99" s="12" t="str">
        <f aca="false">IF(COUNT($C99:$D99)&lt;2,"",IF($G99="",IF($B99="Painted",Settings!$B$12,0),$G99)+N($H99)+IF($I99="",Settings!$B$13,$I99))</f>
        <v/>
      </c>
      <c r="P99" s="12" t="str">
        <f aca="false">IF(COUNT($C99:$D99)&lt;2,"",SUM($K99:$O99))</f>
        <v/>
      </c>
      <c r="Q99" s="13" t="str">
        <f aca="false">IF(COUNT($C99:$D99)&lt;2,"",IF($J99&lt;&gt;"",$J99,IF($B99="",Settings!$B$20,IFERROR(INDEX(Settings!$B$20:$B$22,MATCH($B99,Settings!$A$20:$A$22,0)),""))))</f>
        <v/>
      </c>
      <c r="R99" s="12" t="str">
        <f aca="false">IF(OR($P99="",$Q99=""),"",$P99*$Q99)</f>
        <v/>
      </c>
      <c r="S99" s="14" t="str">
        <f aca="false">IF($R99="","",IF(Settings!$B$16&gt;0,CEILING(($R99+Settings!$B$15)/(1-Settings!$B$14),Settings!$B$16),($R99+Settings!$B$15)/(1-Settings!$B$14)))</f>
        <v/>
      </c>
      <c r="T99" s="12" t="str">
        <f aca="false">IF($S99="","",$S99*Settings!$B$14+Settings!$B$15)</f>
        <v/>
      </c>
      <c r="U99" s="12" t="str">
        <f aca="false">IF($S99="","",$S99-$T99-$P99)</f>
        <v/>
      </c>
      <c r="V99" s="12" t="str">
        <f aca="false">IF(OR($U99="",N($D99)&lt;=0),"",$U99/$D99)</f>
        <v/>
      </c>
      <c r="W99" s="15"/>
    </row>
    <row r="100" customFormat="false" ht="15" hidden="false" customHeight="false" outlineLevel="0" collapsed="false">
      <c r="A100" s="5"/>
      <c r="B100" s="5"/>
      <c r="C100" s="6"/>
      <c r="D100" s="7"/>
      <c r="E100" s="8"/>
      <c r="F100" s="9"/>
      <c r="G100" s="10"/>
      <c r="H100" s="10"/>
      <c r="I100" s="10"/>
      <c r="J100" s="11"/>
      <c r="K100" s="12" t="str">
        <f aca="false">IF(COUNT($C100:$D100)&lt;2,"",$C100*Settings!$B$7)</f>
        <v/>
      </c>
      <c r="L100" s="12" t="str">
        <f aca="false">IF(COUNT($C100:$D100)&lt;2,"",$D100*Settings!$B$8)</f>
        <v/>
      </c>
      <c r="M100" s="12" t="str">
        <f aca="false">IF(COUNT($C100:$D100)&lt;2,"",($K100+$L100)*Settings!$B$9)</f>
        <v/>
      </c>
      <c r="N100" s="12" t="str">
        <f aca="false">IF(COUNT($C100:$D100)&lt;2,"",(IF($E100="",Settings!$B$11,$E100)/60+N($F100))*Settings!$B$10)</f>
        <v/>
      </c>
      <c r="O100" s="12" t="str">
        <f aca="false">IF(COUNT($C100:$D100)&lt;2,"",IF($G100="",IF($B100="Painted",Settings!$B$12,0),$G100)+N($H100)+IF($I100="",Settings!$B$13,$I100))</f>
        <v/>
      </c>
      <c r="P100" s="12" t="str">
        <f aca="false">IF(COUNT($C100:$D100)&lt;2,"",SUM($K100:$O100))</f>
        <v/>
      </c>
      <c r="Q100" s="13" t="str">
        <f aca="false">IF(COUNT($C100:$D100)&lt;2,"",IF($J100&lt;&gt;"",$J100,IF($B100="",Settings!$B$20,IFERROR(INDEX(Settings!$B$20:$B$22,MATCH($B100,Settings!$A$20:$A$22,0)),""))))</f>
        <v/>
      </c>
      <c r="R100" s="12" t="str">
        <f aca="false">IF(OR($P100="",$Q100=""),"",$P100*$Q100)</f>
        <v/>
      </c>
      <c r="S100" s="14" t="str">
        <f aca="false">IF($R100="","",IF(Settings!$B$16&gt;0,CEILING(($R100+Settings!$B$15)/(1-Settings!$B$14),Settings!$B$16),($R100+Settings!$B$15)/(1-Settings!$B$14)))</f>
        <v/>
      </c>
      <c r="T100" s="12" t="str">
        <f aca="false">IF($S100="","",$S100*Settings!$B$14+Settings!$B$15)</f>
        <v/>
      </c>
      <c r="U100" s="12" t="str">
        <f aca="false">IF($S100="","",$S100-$T100-$P100)</f>
        <v/>
      </c>
      <c r="V100" s="12" t="str">
        <f aca="false">IF(OR($U100="",N($D100)&lt;=0),"",$U100/$D100)</f>
        <v/>
      </c>
      <c r="W100" s="15"/>
    </row>
    <row r="101" customFormat="false" ht="15" hidden="false" customHeight="false" outlineLevel="0" collapsed="false">
      <c r="A101" s="5"/>
      <c r="B101" s="5"/>
      <c r="C101" s="6"/>
      <c r="D101" s="7"/>
      <c r="E101" s="8"/>
      <c r="F101" s="9"/>
      <c r="G101" s="10"/>
      <c r="H101" s="10"/>
      <c r="I101" s="10"/>
      <c r="J101" s="11"/>
      <c r="K101" s="12" t="str">
        <f aca="false">IF(COUNT($C101:$D101)&lt;2,"",$C101*Settings!$B$7)</f>
        <v/>
      </c>
      <c r="L101" s="12" t="str">
        <f aca="false">IF(COUNT($C101:$D101)&lt;2,"",$D101*Settings!$B$8)</f>
        <v/>
      </c>
      <c r="M101" s="12" t="str">
        <f aca="false">IF(COUNT($C101:$D101)&lt;2,"",($K101+$L101)*Settings!$B$9)</f>
        <v/>
      </c>
      <c r="N101" s="12" t="str">
        <f aca="false">IF(COUNT($C101:$D101)&lt;2,"",(IF($E101="",Settings!$B$11,$E101)/60+N($F101))*Settings!$B$10)</f>
        <v/>
      </c>
      <c r="O101" s="12" t="str">
        <f aca="false">IF(COUNT($C101:$D101)&lt;2,"",IF($G101="",IF($B101="Painted",Settings!$B$12,0),$G101)+N($H101)+IF($I101="",Settings!$B$13,$I101))</f>
        <v/>
      </c>
      <c r="P101" s="12" t="str">
        <f aca="false">IF(COUNT($C101:$D101)&lt;2,"",SUM($K101:$O101))</f>
        <v/>
      </c>
      <c r="Q101" s="13" t="str">
        <f aca="false">IF(COUNT($C101:$D101)&lt;2,"",IF($J101&lt;&gt;"",$J101,IF($B101="",Settings!$B$20,IFERROR(INDEX(Settings!$B$20:$B$22,MATCH($B101,Settings!$A$20:$A$22,0)),""))))</f>
        <v/>
      </c>
      <c r="R101" s="12" t="str">
        <f aca="false">IF(OR($P101="",$Q101=""),"",$P101*$Q101)</f>
        <v/>
      </c>
      <c r="S101" s="14" t="str">
        <f aca="false">IF($R101="","",IF(Settings!$B$16&gt;0,CEILING(($R101+Settings!$B$15)/(1-Settings!$B$14),Settings!$B$16),($R101+Settings!$B$15)/(1-Settings!$B$14)))</f>
        <v/>
      </c>
      <c r="T101" s="12" t="str">
        <f aca="false">IF($S101="","",$S101*Settings!$B$14+Settings!$B$15)</f>
        <v/>
      </c>
      <c r="U101" s="12" t="str">
        <f aca="false">IF($S101="","",$S101-$T101-$P101)</f>
        <v/>
      </c>
      <c r="V101" s="12" t="str">
        <f aca="false">IF(OR($U101="",N($D101)&lt;=0),"",$U101/$D101)</f>
        <v/>
      </c>
      <c r="W101" s="15"/>
    </row>
    <row r="102" customFormat="false" ht="15" hidden="false" customHeight="false" outlineLevel="0" collapsed="false">
      <c r="A102" s="5"/>
      <c r="B102" s="5"/>
      <c r="C102" s="6"/>
      <c r="D102" s="7"/>
      <c r="E102" s="8"/>
      <c r="F102" s="9"/>
      <c r="G102" s="10"/>
      <c r="H102" s="10"/>
      <c r="I102" s="10"/>
      <c r="J102" s="11"/>
      <c r="K102" s="12" t="str">
        <f aca="false">IF(COUNT($C102:$D102)&lt;2,"",$C102*Settings!$B$7)</f>
        <v/>
      </c>
      <c r="L102" s="12" t="str">
        <f aca="false">IF(COUNT($C102:$D102)&lt;2,"",$D102*Settings!$B$8)</f>
        <v/>
      </c>
      <c r="M102" s="12" t="str">
        <f aca="false">IF(COUNT($C102:$D102)&lt;2,"",($K102+$L102)*Settings!$B$9)</f>
        <v/>
      </c>
      <c r="N102" s="12" t="str">
        <f aca="false">IF(COUNT($C102:$D102)&lt;2,"",(IF($E102="",Settings!$B$11,$E102)/60+N($F102))*Settings!$B$10)</f>
        <v/>
      </c>
      <c r="O102" s="12" t="str">
        <f aca="false">IF(COUNT($C102:$D102)&lt;2,"",IF($G102="",IF($B102="Painted",Settings!$B$12,0),$G102)+N($H102)+IF($I102="",Settings!$B$13,$I102))</f>
        <v/>
      </c>
      <c r="P102" s="12" t="str">
        <f aca="false">IF(COUNT($C102:$D102)&lt;2,"",SUM($K102:$O102))</f>
        <v/>
      </c>
      <c r="Q102" s="13" t="str">
        <f aca="false">IF(COUNT($C102:$D102)&lt;2,"",IF($J102&lt;&gt;"",$J102,IF($B102="",Settings!$B$20,IFERROR(INDEX(Settings!$B$20:$B$22,MATCH($B102,Settings!$A$20:$A$22,0)),""))))</f>
        <v/>
      </c>
      <c r="R102" s="12" t="str">
        <f aca="false">IF(OR($P102="",$Q102=""),"",$P102*$Q102)</f>
        <v/>
      </c>
      <c r="S102" s="14" t="str">
        <f aca="false">IF($R102="","",IF(Settings!$B$16&gt;0,CEILING(($R102+Settings!$B$15)/(1-Settings!$B$14),Settings!$B$16),($R102+Settings!$B$15)/(1-Settings!$B$14)))</f>
        <v/>
      </c>
      <c r="T102" s="12" t="str">
        <f aca="false">IF($S102="","",$S102*Settings!$B$14+Settings!$B$15)</f>
        <v/>
      </c>
      <c r="U102" s="12" t="str">
        <f aca="false">IF($S102="","",$S102-$T102-$P102)</f>
        <v/>
      </c>
      <c r="V102" s="12" t="str">
        <f aca="false">IF(OR($U102="",N($D102)&lt;=0),"",$U102/$D102)</f>
        <v/>
      </c>
      <c r="W102" s="15"/>
    </row>
    <row r="103" customFormat="false" ht="15" hidden="false" customHeight="false" outlineLevel="0" collapsed="false">
      <c r="A103" s="5"/>
      <c r="B103" s="5"/>
      <c r="C103" s="6"/>
      <c r="D103" s="7"/>
      <c r="E103" s="8"/>
      <c r="F103" s="9"/>
      <c r="G103" s="10"/>
      <c r="H103" s="10"/>
      <c r="I103" s="10"/>
      <c r="J103" s="11"/>
      <c r="K103" s="12" t="str">
        <f aca="false">IF(COUNT($C103:$D103)&lt;2,"",$C103*Settings!$B$7)</f>
        <v/>
      </c>
      <c r="L103" s="12" t="str">
        <f aca="false">IF(COUNT($C103:$D103)&lt;2,"",$D103*Settings!$B$8)</f>
        <v/>
      </c>
      <c r="M103" s="12" t="str">
        <f aca="false">IF(COUNT($C103:$D103)&lt;2,"",($K103+$L103)*Settings!$B$9)</f>
        <v/>
      </c>
      <c r="N103" s="12" t="str">
        <f aca="false">IF(COUNT($C103:$D103)&lt;2,"",(IF($E103="",Settings!$B$11,$E103)/60+N($F103))*Settings!$B$10)</f>
        <v/>
      </c>
      <c r="O103" s="12" t="str">
        <f aca="false">IF(COUNT($C103:$D103)&lt;2,"",IF($G103="",IF($B103="Painted",Settings!$B$12,0),$G103)+N($H103)+IF($I103="",Settings!$B$13,$I103))</f>
        <v/>
      </c>
      <c r="P103" s="12" t="str">
        <f aca="false">IF(COUNT($C103:$D103)&lt;2,"",SUM($K103:$O103))</f>
        <v/>
      </c>
      <c r="Q103" s="13" t="str">
        <f aca="false">IF(COUNT($C103:$D103)&lt;2,"",IF($J103&lt;&gt;"",$J103,IF($B103="",Settings!$B$20,IFERROR(INDEX(Settings!$B$20:$B$22,MATCH($B103,Settings!$A$20:$A$22,0)),""))))</f>
        <v/>
      </c>
      <c r="R103" s="12" t="str">
        <f aca="false">IF(OR($P103="",$Q103=""),"",$P103*$Q103)</f>
        <v/>
      </c>
      <c r="S103" s="14" t="str">
        <f aca="false">IF($R103="","",IF(Settings!$B$16&gt;0,CEILING(($R103+Settings!$B$15)/(1-Settings!$B$14),Settings!$B$16),($R103+Settings!$B$15)/(1-Settings!$B$14)))</f>
        <v/>
      </c>
      <c r="T103" s="12" t="str">
        <f aca="false">IF($S103="","",$S103*Settings!$B$14+Settings!$B$15)</f>
        <v/>
      </c>
      <c r="U103" s="12" t="str">
        <f aca="false">IF($S103="","",$S103-$T103-$P103)</f>
        <v/>
      </c>
      <c r="V103" s="12" t="str">
        <f aca="false">IF(OR($U103="",N($D103)&lt;=0),"",$U103/$D103)</f>
        <v/>
      </c>
      <c r="W103" s="15"/>
    </row>
    <row r="104" customFormat="false" ht="15" hidden="false" customHeight="false" outlineLevel="0" collapsed="false">
      <c r="A104" s="5"/>
      <c r="B104" s="5"/>
      <c r="C104" s="6"/>
      <c r="D104" s="7"/>
      <c r="E104" s="8"/>
      <c r="F104" s="9"/>
      <c r="G104" s="10"/>
      <c r="H104" s="10"/>
      <c r="I104" s="10"/>
      <c r="J104" s="11"/>
      <c r="K104" s="12" t="str">
        <f aca="false">IF(COUNT($C104:$D104)&lt;2,"",$C104*Settings!$B$7)</f>
        <v/>
      </c>
      <c r="L104" s="12" t="str">
        <f aca="false">IF(COUNT($C104:$D104)&lt;2,"",$D104*Settings!$B$8)</f>
        <v/>
      </c>
      <c r="M104" s="12" t="str">
        <f aca="false">IF(COUNT($C104:$D104)&lt;2,"",($K104+$L104)*Settings!$B$9)</f>
        <v/>
      </c>
      <c r="N104" s="12" t="str">
        <f aca="false">IF(COUNT($C104:$D104)&lt;2,"",(IF($E104="",Settings!$B$11,$E104)/60+N($F104))*Settings!$B$10)</f>
        <v/>
      </c>
      <c r="O104" s="12" t="str">
        <f aca="false">IF(COUNT($C104:$D104)&lt;2,"",IF($G104="",IF($B104="Painted",Settings!$B$12,0),$G104)+N($H104)+IF($I104="",Settings!$B$13,$I104))</f>
        <v/>
      </c>
      <c r="P104" s="12" t="str">
        <f aca="false">IF(COUNT($C104:$D104)&lt;2,"",SUM($K104:$O104))</f>
        <v/>
      </c>
      <c r="Q104" s="13" t="str">
        <f aca="false">IF(COUNT($C104:$D104)&lt;2,"",IF($J104&lt;&gt;"",$J104,IF($B104="",Settings!$B$20,IFERROR(INDEX(Settings!$B$20:$B$22,MATCH($B104,Settings!$A$20:$A$22,0)),""))))</f>
        <v/>
      </c>
      <c r="R104" s="12" t="str">
        <f aca="false">IF(OR($P104="",$Q104=""),"",$P104*$Q104)</f>
        <v/>
      </c>
      <c r="S104" s="14" t="str">
        <f aca="false">IF($R104="","",IF(Settings!$B$16&gt;0,CEILING(($R104+Settings!$B$15)/(1-Settings!$B$14),Settings!$B$16),($R104+Settings!$B$15)/(1-Settings!$B$14)))</f>
        <v/>
      </c>
      <c r="T104" s="12" t="str">
        <f aca="false">IF($S104="","",$S104*Settings!$B$14+Settings!$B$15)</f>
        <v/>
      </c>
      <c r="U104" s="12" t="str">
        <f aca="false">IF($S104="","",$S104-$T104-$P104)</f>
        <v/>
      </c>
      <c r="V104" s="12" t="str">
        <f aca="false">IF(OR($U104="",N($D104)&lt;=0),"",$U104/$D104)</f>
        <v/>
      </c>
      <c r="W104" s="15"/>
    </row>
  </sheetData>
  <conditionalFormatting sqref="U5:V104">
    <cfRule type="cellIs" priority="2" operator="lessThan" aboveAverage="0" equalAverage="0" bottom="0" percent="0" rank="0" text="" dxfId="0">
      <formula>0</formula>
    </cfRule>
  </conditionalFormatting>
  <dataValidations count="2">
    <dataValidation allowBlank="true" error="Choose Single color, Multicolor or Painted from the dropdown." errorStyle="stop" errorTitle="Pick a version" operator="between" showDropDown="false" showErrorMessage="true" showInputMessage="false" sqref="B5:B104" type="list">
      <formula1>"Single color,Multicolor,Painted"</formula1>
      <formula2>0</formula2>
    </dataValidation>
    <dataValidation allowBlank="true" error="Enter a number of 0 or more." errorStyle="stop" errorTitle="Number needed" operator="greaterThanOrEqual" showDropDown="false" showErrorMessage="true" showInputMessage="false" sqref="C5:J104"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90"/>
  </cols>
  <sheetData>
    <row r="1" customFormat="false" ht="17.35" hidden="false" customHeight="false" outlineLevel="0" collapsed="false">
      <c r="A1" s="1" t="s">
        <v>36</v>
      </c>
    </row>
    <row r="2" customFormat="false" ht="15" hidden="false" customHeight="false" outlineLevel="0" collapsed="false">
      <c r="A2" s="2" t="s">
        <v>37</v>
      </c>
    </row>
    <row r="4" customFormat="false" ht="15" hidden="false" customHeight="false" outlineLevel="0" collapsed="false">
      <c r="A4" s="16" t="s">
        <v>38</v>
      </c>
      <c r="B4" s="16" t="s">
        <v>39</v>
      </c>
      <c r="C4" s="16" t="s">
        <v>40</v>
      </c>
    </row>
    <row r="5" customFormat="false" ht="15" hidden="false" customHeight="false" outlineLevel="0" collapsed="false">
      <c r="A5" s="17" t="s">
        <v>41</v>
      </c>
      <c r="B5" s="18" t="n">
        <v>20</v>
      </c>
      <c r="C5" s="19" t="s">
        <v>42</v>
      </c>
    </row>
    <row r="6" customFormat="false" ht="15" hidden="false" customHeight="false" outlineLevel="0" collapsed="false">
      <c r="A6" s="17" t="s">
        <v>43</v>
      </c>
      <c r="B6" s="20" t="n">
        <v>1000</v>
      </c>
      <c r="C6" s="19" t="s">
        <v>44</v>
      </c>
    </row>
    <row r="7" customFormat="false" ht="15" hidden="false" customHeight="false" outlineLevel="0" collapsed="false">
      <c r="A7" s="17" t="s">
        <v>45</v>
      </c>
      <c r="B7" s="21" t="n">
        <f aca="false">IF(B6&gt;0,B5/B6,0)</f>
        <v>0.02</v>
      </c>
      <c r="C7" s="19" t="s">
        <v>46</v>
      </c>
    </row>
    <row r="8" customFormat="false" ht="23.85" hidden="false" customHeight="false" outlineLevel="0" collapsed="false">
      <c r="A8" s="17" t="s">
        <v>47</v>
      </c>
      <c r="B8" s="18" t="n">
        <v>0.5</v>
      </c>
      <c r="C8" s="19" t="s">
        <v>48</v>
      </c>
    </row>
    <row r="9" customFormat="false" ht="15" hidden="false" customHeight="false" outlineLevel="0" collapsed="false">
      <c r="A9" s="17" t="s">
        <v>49</v>
      </c>
      <c r="B9" s="22" t="n">
        <v>0.1</v>
      </c>
      <c r="C9" s="19" t="s">
        <v>50</v>
      </c>
    </row>
    <row r="10" customFormat="false" ht="15" hidden="false" customHeight="false" outlineLevel="0" collapsed="false">
      <c r="A10" s="17" t="s">
        <v>51</v>
      </c>
      <c r="B10" s="18" t="n">
        <v>20</v>
      </c>
      <c r="C10" s="19" t="s">
        <v>52</v>
      </c>
    </row>
    <row r="11" customFormat="false" ht="15" hidden="false" customHeight="false" outlineLevel="0" collapsed="false">
      <c r="A11" s="17" t="s">
        <v>53</v>
      </c>
      <c r="B11" s="20" t="n">
        <v>15</v>
      </c>
      <c r="C11" s="19" t="s">
        <v>54</v>
      </c>
    </row>
    <row r="12" customFormat="false" ht="15" hidden="false" customHeight="false" outlineLevel="0" collapsed="false">
      <c r="A12" s="17" t="s">
        <v>55</v>
      </c>
      <c r="B12" s="18" t="n">
        <v>5</v>
      </c>
      <c r="C12" s="19" t="s">
        <v>56</v>
      </c>
    </row>
    <row r="13" customFormat="false" ht="15" hidden="false" customHeight="false" outlineLevel="0" collapsed="false">
      <c r="A13" s="17" t="s">
        <v>57</v>
      </c>
      <c r="B13" s="18" t="n">
        <v>2</v>
      </c>
      <c r="C13" s="19" t="s">
        <v>58</v>
      </c>
    </row>
    <row r="14" customFormat="false" ht="23.85" hidden="false" customHeight="false" outlineLevel="0" collapsed="false">
      <c r="A14" s="17" t="s">
        <v>59</v>
      </c>
      <c r="B14" s="22" t="n">
        <v>0.095</v>
      </c>
      <c r="C14" s="19" t="s">
        <v>60</v>
      </c>
    </row>
    <row r="15" customFormat="false" ht="15" hidden="false" customHeight="false" outlineLevel="0" collapsed="false">
      <c r="A15" s="17" t="s">
        <v>61</v>
      </c>
      <c r="B15" s="18" t="n">
        <v>0.45</v>
      </c>
      <c r="C15" s="19" t="s">
        <v>62</v>
      </c>
    </row>
    <row r="16" customFormat="false" ht="15" hidden="false" customHeight="false" outlineLevel="0" collapsed="false">
      <c r="A16" s="17" t="s">
        <v>63</v>
      </c>
      <c r="B16" s="18" t="n">
        <v>1</v>
      </c>
      <c r="C16" s="19" t="s">
        <v>64</v>
      </c>
    </row>
    <row r="18" customFormat="false" ht="15" hidden="false" customHeight="false" outlineLevel="0" collapsed="false">
      <c r="A18" s="23" t="s">
        <v>65</v>
      </c>
    </row>
    <row r="19" customFormat="false" ht="15" hidden="false" customHeight="false" outlineLevel="0" collapsed="false">
      <c r="A19" s="16" t="s">
        <v>4</v>
      </c>
      <c r="B19" s="16" t="s">
        <v>66</v>
      </c>
      <c r="C19" s="16" t="s">
        <v>67</v>
      </c>
    </row>
    <row r="20" customFormat="false" ht="15" hidden="false" customHeight="false" outlineLevel="0" collapsed="false">
      <c r="A20" s="17" t="s">
        <v>27</v>
      </c>
      <c r="B20" s="24" t="n">
        <v>2</v>
      </c>
      <c r="C20" s="19" t="s">
        <v>68</v>
      </c>
    </row>
    <row r="21" customFormat="false" ht="15" hidden="false" customHeight="false" outlineLevel="0" collapsed="false">
      <c r="A21" s="17" t="s">
        <v>69</v>
      </c>
      <c r="B21" s="24" t="n">
        <v>2.5</v>
      </c>
      <c r="C21" s="19" t="s">
        <v>70</v>
      </c>
    </row>
    <row r="22" customFormat="false" ht="15" hidden="false" customHeight="false" outlineLevel="0" collapsed="false">
      <c r="A22" s="17" t="s">
        <v>30</v>
      </c>
      <c r="B22" s="24" t="n">
        <v>1.5</v>
      </c>
      <c r="C22" s="19" t="s">
        <v>71</v>
      </c>
    </row>
    <row r="23" customFormat="false" ht="15" hidden="false" customHeight="false" outlineLevel="0" collapsed="false">
      <c r="A23" s="2" t="s">
        <v>72</v>
      </c>
    </row>
    <row r="24" customFormat="false" ht="15" hidden="false" customHeight="false" outlineLevel="0" collapsed="false">
      <c r="A24" s="2" t="s">
        <v>73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10"/>
  </cols>
  <sheetData>
    <row r="1" customFormat="false" ht="17.35" hidden="false" customHeight="false" outlineLevel="0" collapsed="false">
      <c r="A1" s="25" t="s">
        <v>74</v>
      </c>
    </row>
    <row r="2" customFormat="false" ht="15" hidden="false" customHeight="false" outlineLevel="0" collapsed="false">
      <c r="A2" s="26"/>
    </row>
    <row r="3" customFormat="false" ht="23.85" hidden="false" customHeight="false" outlineLevel="0" collapsed="false">
      <c r="A3" s="26" t="s">
        <v>75</v>
      </c>
    </row>
    <row r="4" customFormat="false" ht="15" hidden="false" customHeight="false" outlineLevel="0" collapsed="false">
      <c r="A4" s="26" t="s">
        <v>76</v>
      </c>
    </row>
    <row r="5" customFormat="false" ht="23.85" hidden="false" customHeight="false" outlineLevel="0" collapsed="false">
      <c r="A5" s="26" t="s">
        <v>77</v>
      </c>
    </row>
    <row r="6" customFormat="false" ht="15" hidden="false" customHeight="false" outlineLevel="0" collapsed="false">
      <c r="A6" s="26" t="s">
        <v>78</v>
      </c>
    </row>
    <row r="7" customFormat="false" ht="23.85" hidden="false" customHeight="false" outlineLevel="0" collapsed="false">
      <c r="A7" s="26" t="s">
        <v>79</v>
      </c>
    </row>
    <row r="8" customFormat="false" ht="15" hidden="false" customHeight="false" outlineLevel="0" collapsed="false">
      <c r="A8" s="26" t="s">
        <v>80</v>
      </c>
    </row>
    <row r="9" customFormat="false" ht="15" hidden="false" customHeight="false" outlineLevel="0" collapsed="false">
      <c r="A9" s="26"/>
    </row>
    <row r="10" customFormat="false" ht="15" hidden="false" customHeight="false" outlineLevel="0" collapsed="false">
      <c r="A10" s="27" t="s">
        <v>81</v>
      </c>
    </row>
    <row r="11" customFormat="false" ht="15" hidden="false" customHeight="false" outlineLevel="0" collapsed="false">
      <c r="A11" s="26" t="s">
        <v>82</v>
      </c>
    </row>
    <row r="12" customFormat="false" ht="15" hidden="false" customHeight="false" outlineLevel="0" collapsed="false">
      <c r="A12" s="26" t="s">
        <v>83</v>
      </c>
    </row>
    <row r="13" customFormat="false" ht="15" hidden="false" customHeight="false" outlineLevel="0" collapsed="false">
      <c r="A13" s="26" t="s">
        <v>84</v>
      </c>
    </row>
    <row r="14" customFormat="false" ht="15" hidden="false" customHeight="false" outlineLevel="0" collapsed="false">
      <c r="A14" s="26" t="s">
        <v>85</v>
      </c>
    </row>
    <row r="15" customFormat="false" ht="15" hidden="false" customHeight="false" outlineLevel="0" collapsed="false">
      <c r="A15" s="26" t="s">
        <v>86</v>
      </c>
    </row>
    <row r="16" customFormat="false" ht="15" hidden="false" customHeight="false" outlineLevel="0" collapsed="false">
      <c r="A16" s="26" t="s">
        <v>87</v>
      </c>
    </row>
    <row r="17" customFormat="false" ht="15" hidden="false" customHeight="false" outlineLevel="0" collapsed="false">
      <c r="A17" s="26"/>
    </row>
    <row r="18" customFormat="false" ht="15" hidden="false" customHeight="false" outlineLevel="0" collapsed="false">
      <c r="A18" s="27" t="s">
        <v>88</v>
      </c>
    </row>
    <row r="19" customFormat="false" ht="23.85" hidden="false" customHeight="false" outlineLevel="0" collapsed="false">
      <c r="A19" s="26"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2026-10-06T14:52:40Z</dcterms:created>
  <dc:creator>openpyxl</dc:creator>
  <dc:description/>
  <dc:language>en-US</dc:language>
  <cp:lastModifiedBy/>
  <dcterms:modified xsi:type="dcterms:W3CDTF">2026-10-06T14:52:40Z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