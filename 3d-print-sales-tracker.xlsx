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Log" sheetId="1" state="visible" r:id="rId3"/>
    <sheet name="Summary" sheetId="2" state="visible" r:id="rId4"/>
    <sheet name="Products" sheetId="3" state="visible" r:id="rId5"/>
    <sheet name="Settings" sheetId="4" state="visible" r:id="rId6"/>
    <sheet name="How to U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Date of the sale.</t>
        </r>
      </text>
    </comment>
    <comment ref="B4" authorId="0">
      <text>
        <r>
          <rPr>
            <sz val="10"/>
            <rFont val="Arial"/>
            <family val="2"/>
          </rPr>
          <t xml:space="preserve">Pick from your Products list (or type any name - it just won't fill in a cost).</t>
        </r>
      </text>
    </comment>
    <comment ref="C4" authorId="0">
      <text>
        <r>
          <rPr>
            <sz val="10"/>
            <rFont val="Arial"/>
            <family val="2"/>
          </rPr>
          <t xml:space="preserve">How many in this order. Blank = 1.</t>
        </r>
      </text>
    </comment>
    <comment ref="D4" authorId="0">
      <text>
        <r>
          <rPr>
            <sz val="10"/>
            <rFont val="Arial"/>
            <family val="2"/>
          </rPr>
          <t xml:space="preserve">What the buyer paid for one item, before shipping and discounts.</t>
        </r>
      </text>
    </comment>
    <comment ref="E4" authorId="0">
      <text>
        <r>
          <rPr>
            <sz val="10"/>
            <rFont val="Arial"/>
            <family val="2"/>
          </rPr>
          <t xml:space="preserve">What the buyer paid for shipping. Blank = none.</t>
        </r>
      </text>
    </comment>
    <comment ref="F4" authorId="0">
      <text>
        <r>
          <rPr>
            <sz val="10"/>
            <rFont val="Arial"/>
            <family val="2"/>
          </rPr>
          <t xml:space="preserve">Coupon or sale discount on the whole order. Blank = none.</t>
        </r>
      </text>
    </comment>
    <comment ref="G4" authorId="0">
      <text>
        <r>
          <rPr>
            <sz val="10"/>
            <rFont val="Arial"/>
            <family val="2"/>
          </rPr>
          <t xml:space="preserve">Where it sold. Add platforms and their fees on the Settings tab.</t>
        </r>
      </text>
    </comment>
    <comment ref="H4" authorId="0">
      <text>
        <r>
          <rPr>
            <sz val="10"/>
            <rFont val="Arial"/>
            <family val="2"/>
          </rPr>
          <t xml:space="preserve">What you paid for the shipping label / postage. Blank = none.</t>
        </r>
      </text>
    </comment>
    <comment ref="I4" authorId="0">
      <text>
        <r>
          <rPr>
            <sz val="10"/>
            <rFont val="Arial"/>
            <family val="2"/>
          </rPr>
          <t xml:space="preserve">Paid, Shipped, Delivered, Refunded or Cancelled. Refunded and Cancelled orders aren't counted on the Summary. Blank counts as a sale.</t>
        </r>
      </text>
    </comment>
    <comment ref="J4" authorId="0">
      <text>
        <r>
          <rPr>
            <sz val="10"/>
            <rFont val="Arial"/>
            <family val="2"/>
          </rPr>
          <t xml:space="preserve">Qty x price + shipping charged - discount.</t>
        </r>
      </text>
    </comment>
    <comment ref="K4" authorId="0">
      <text>
        <r>
          <rPr>
            <sz val="10"/>
            <rFont val="Arial"/>
            <family val="2"/>
          </rPr>
          <t xml:space="preserve">Platform fee: your Fee override if you entered one, otherwise the estimate from the Settings tab.</t>
        </r>
      </text>
    </comment>
    <comment ref="L4" authorId="0">
      <text>
        <r>
          <rPr>
            <sz val="10"/>
            <rFont val="Arial"/>
            <family val="2"/>
          </rPr>
          <t xml:space="preserve">Qty x cost per item: your override if you entered one, otherwise the cost on the Products tab.</t>
        </r>
      </text>
    </comment>
    <comment ref="M4" authorId="0">
      <text>
        <r>
          <rPr>
            <sz val="10"/>
            <rFont val="Arial"/>
            <family val="2"/>
          </rPr>
          <t xml:space="preserve">Revenue - fees - shipping cost - cost to make. Your pay for your time is part of this.</t>
        </r>
      </text>
    </comment>
    <comment ref="N4" authorId="0">
      <text>
        <r>
          <rPr>
            <sz val="10"/>
            <rFont val="Arial"/>
            <family val="2"/>
          </rPr>
          <t xml:space="preserve">Profit as a share of revenue.</t>
        </r>
      </text>
    </comment>
    <comment ref="Q4" authorId="0">
      <text>
        <r>
          <rPr>
            <sz val="10"/>
            <rFont val="Arial"/>
            <family val="2"/>
          </rPr>
          <t xml:space="preserve">Use a different cost for this sale only (e.g. a custom color or extra hardware). Blank = Products tab.</t>
        </r>
      </text>
    </comment>
    <comment ref="R4" authorId="0">
      <text>
        <r>
          <rPr>
            <sz val="10"/>
            <rFont val="Arial"/>
            <family val="2"/>
          </rPr>
          <t xml:space="preserve">Exact fee from your Etsy / platform statement. Blank = estimate from the Settings tab.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Name exactly as you'll pick it on the Sales Log.</t>
        </r>
      </text>
    </comment>
    <comment ref="C4" authorId="0">
      <text>
        <r>
          <rPr>
            <sz val="10"/>
            <rFont val="Arial"/>
            <family val="2"/>
          </rPr>
          <t xml:space="preserve">What you list it for (from the price calculator).</t>
        </r>
      </text>
    </comment>
    <comment ref="D4" authorId="0">
      <text>
        <r>
          <rPr>
            <sz val="10"/>
            <rFont val="Arial"/>
            <family val="2"/>
          </rPr>
          <t xml:space="preserve">Your cost for one, without your time: price calculator Total cost minus Labor.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Percent of the order total (items + shipping charged - discount).</t>
        </r>
      </text>
    </comment>
  </commentList>
</comments>
</file>

<file path=xl/sharedStrings.xml><?xml version="1.0" encoding="utf-8"?>
<sst xmlns="http://schemas.openxmlformats.org/spreadsheetml/2006/main" count="124" uniqueCount="95">
  <si>
    <t xml:space="preserve">Sales Log</t>
  </si>
  <si>
    <t xml:space="preserve">One row per order. Yellow = fill in (date, item, price, platform). Lighter yellow = optional. Green-headed columns calculate automatically.</t>
  </si>
  <si>
    <t xml:space="preserve">Rows 5-8 are examples - delete them when you add your first real sale. Refunded or cancelled orders stay in the log (grayed out) but don't count on the Summary.</t>
  </si>
  <si>
    <t xml:space="preserve">Date</t>
  </si>
  <si>
    <t xml:space="preserve">Item</t>
  </si>
  <si>
    <t xml:space="preserve">Qty</t>
  </si>
  <si>
    <t xml:space="preserve">Price each ($)</t>
  </si>
  <si>
    <t xml:space="preserve">Shipping charged ($)</t>
  </si>
  <si>
    <t xml:space="preserve">Discount ($)</t>
  </si>
  <si>
    <t xml:space="preserve">Platform</t>
  </si>
  <si>
    <t xml:space="preserve">Shipping cost ($)</t>
  </si>
  <si>
    <t xml:space="preserve">Status</t>
  </si>
  <si>
    <t xml:space="preserve">Revenue ($)</t>
  </si>
  <si>
    <t xml:space="preserve">Fees ($)</t>
  </si>
  <si>
    <t xml:space="preserve">Cost to make ($)</t>
  </si>
  <si>
    <t xml:space="preserve">Profit ($)</t>
  </si>
  <si>
    <t xml:space="preserve">Margin</t>
  </si>
  <si>
    <t xml:space="preserve">Order #</t>
  </si>
  <si>
    <t xml:space="preserve">Customer</t>
  </si>
  <si>
    <t xml:space="preserve">Cost per item override ($)</t>
  </si>
  <si>
    <t xml:space="preserve">Fee override ($)</t>
  </si>
  <si>
    <t xml:space="preserve">Notes</t>
  </si>
  <si>
    <t xml:space="preserve">Items (helper)</t>
  </si>
  <si>
    <t xml:space="preserve">Oni mask, single color</t>
  </si>
  <si>
    <t xml:space="preserve">Etsy</t>
  </si>
  <si>
    <t xml:space="preserve">Shipped</t>
  </si>
  <si>
    <t xml:space="preserve">EX-1001</t>
  </si>
  <si>
    <t xml:space="preserve">Example - delete this row</t>
  </si>
  <si>
    <t xml:space="preserve">Keychain</t>
  </si>
  <si>
    <t xml:space="preserve">In person</t>
  </si>
  <si>
    <t xml:space="preserve">Delivered</t>
  </si>
  <si>
    <t xml:space="preserve">Oni mask, hand-painted</t>
  </si>
  <si>
    <t xml:space="preserve">Paid</t>
  </si>
  <si>
    <t xml:space="preserve">EX-1002</t>
  </si>
  <si>
    <t xml:space="preserve">Example: free shipping and a $15 coupon - delete this row</t>
  </si>
  <si>
    <t xml:space="preserve">Desk organizer</t>
  </si>
  <si>
    <t xml:space="preserve">Refunded</t>
  </si>
  <si>
    <t xml:space="preserve">EX-1003</t>
  </si>
  <si>
    <t xml:space="preserve">Example: refunded, so it's left out of the Summary - delete this row</t>
  </si>
  <si>
    <t xml:space="preserve">Sales Summary</t>
  </si>
  <si>
    <t xml:space="preserve">Updates as you add sales. Refunded and cancelled orders are left out. Profit includes your pay for your time, because Cost to make doesn't count it.</t>
  </si>
  <si>
    <t xml:space="preserve">Year</t>
  </si>
  <si>
    <t xml:space="preserve">This year by default - type a year (e.g. 2027) to see a different one.</t>
  </si>
  <si>
    <t xml:space="preserve">Month</t>
  </si>
  <si>
    <t xml:space="preserve">Orders</t>
  </si>
  <si>
    <t xml:space="preserve">Items sold</t>
  </si>
  <si>
    <t xml:space="preserve">Revenue</t>
  </si>
  <si>
    <t xml:space="preserve">Fees</t>
  </si>
  <si>
    <t xml:space="preserve">Shipping costs</t>
  </si>
  <si>
    <t xml:space="preserve">Cost to make</t>
  </si>
  <si>
    <t xml:space="preserve">Profit</t>
  </si>
  <si>
    <t xml:space="preserve">Year total</t>
  </si>
  <si>
    <t xml:space="preserve">All time</t>
  </si>
  <si>
    <t xml:space="preserve">By platform (selected year)</t>
  </si>
  <si>
    <t xml:space="preserve">By item (selected year) - items on the Products tab</t>
  </si>
  <si>
    <t xml:space="preserve">Products</t>
  </si>
  <si>
    <t xml:space="preserve">List what you sell. The Sales Log's Item dropdown uses these names, and each sale's cost fills in from 'Cost per item' automatically.</t>
  </si>
  <si>
    <t xml:space="preserve">Cost per item = what one costs you in filament, machine time, supplies, hardware and packaging - not your time. From the 3D Print Price Calculator: Total cost minus Labor.</t>
  </si>
  <si>
    <t xml:space="preserve">Version</t>
  </si>
  <si>
    <t xml:space="preserve">List price ($)</t>
  </si>
  <si>
    <t xml:space="preserve">Cost per item ($)</t>
  </si>
  <si>
    <t xml:space="preserve">Single color</t>
  </si>
  <si>
    <t xml:space="preserve">Price calculator: total cost $22.30 minus labor $10.00</t>
  </si>
  <si>
    <t xml:space="preserve">Painted</t>
  </si>
  <si>
    <t xml:space="preserve">Price calculator: total cost $91.81 minus labor $70.00</t>
  </si>
  <si>
    <t xml:space="preserve">Price calculator: total cost $2.92 minus labor $1.67</t>
  </si>
  <si>
    <t xml:space="preserve">Price calculator: total cost $20.01 minus labor $6.67</t>
  </si>
  <si>
    <t xml:space="preserve">Settings - selling platforms and their fees</t>
  </si>
  <si>
    <t xml:space="preserve">Fees are estimated as: total order x Fee % + Fixed fee, but never less than the Minimum fee. Yellow cells are yours to change; add more platforms in the empty rows.</t>
  </si>
  <si>
    <t xml:space="preserve">Fee rates change - check your platform's current fees. For an exact number on any order, type it into 'Fee override' on the Sales Log.</t>
  </si>
  <si>
    <t xml:space="preserve">Fee (%)</t>
  </si>
  <si>
    <t xml:space="preserve">Fixed fee per order ($)</t>
  </si>
  <si>
    <t xml:space="preserve">Minimum fee ($)</t>
  </si>
  <si>
    <t xml:space="preserve">Notes / source</t>
  </si>
  <si>
    <t xml:space="preserve">6.5% transaction + 3% payment processing, plus $0.20 listing + $0.25 processing (US, as of 2025). Offsite Ads sales cost an extra 12-15% - use Fee override for those. https://www.etsy.com/legal/fees/</t>
  </si>
  <si>
    <t xml:space="preserve">Facebook Marketplace</t>
  </si>
  <si>
    <t xml:space="preserve">Shipped orders. Published rates disagree (5%-10%, minimum $0.40-$0.80) - check yours in Commerce Manager. Local pickup has no fee: use 'In person'. Source: underpriced.app/blog/facebook-marketplace-fees-2026</t>
  </si>
  <si>
    <t xml:space="preserve">eBay</t>
  </si>
  <si>
    <t xml:space="preserve">Most categories (2026): 13.6% of the total including shipping + $0.40 per order ($0.30 if $10 or less). Source: sellerfeecalc.com/ebay-fees/final-value-fee</t>
  </si>
  <si>
    <t xml:space="preserve">Cash. If you take cards (e.g. Square), put the card fee here.</t>
  </si>
  <si>
    <t xml:space="preserve">Other</t>
  </si>
  <si>
    <t xml:space="preserve">How to use this sales tracker</t>
  </si>
  <si>
    <t xml:space="preserve">1. Products tab: list what you sell, with what one costs you (filament, machine time, supplies, hardware, packaging - not your time). From the 3D Print Price Calculator, that's Total cost minus Labor.</t>
  </si>
  <si>
    <t xml:space="preserve">2. Settings tab: check the fee rates for the places you sell, and add any others.</t>
  </si>
  <si>
    <t xml:space="preserve">3. Sales Log: add one row per order - date, item (dropdown), price each and platform. Add qty, shipping charged, discount, shipping cost and status when they apply. Fees, cost to make and profit fill in by themselves.</t>
  </si>
  <si>
    <t xml:space="preserve">4. For the exact fee on an order, copy it from your Etsy payment account into 'Fee override'. For a one-off cost (custom color, extra hardware), use 'Cost per item override'.</t>
  </si>
  <si>
    <t xml:space="preserve">5. Mark refunds and cancellations in the Status column - they stay in the log but drop out of the totals.</t>
  </si>
  <si>
    <t xml:space="preserve">6. Summary tab: monthly totals for the year in the yellow box, plus all-time totals and breakdowns by platform and by item.</t>
  </si>
  <si>
    <t xml:space="preserve">Good to know</t>
  </si>
  <si>
    <t xml:space="preserve">- Delete the example rows (marked 'Example' in Notes) before adding real sales.</t>
  </si>
  <si>
    <t xml:space="preserve">- Don't include sales tax that Etsy or eBay collects for you - it isn't your money.</t>
  </si>
  <si>
    <t xml:space="preserve">- Profit here is what's left for you after costs and fees, so it includes your pay for your time.</t>
  </si>
  <si>
    <t xml:space="preserve">- Keep this file and your platform statements for taxes. This isn't tax advice.</t>
  </si>
  <si>
    <t xml:space="preserve">Cell colors</t>
  </si>
  <si>
    <t xml:space="preserve">Yellow with blue text = fill in. Lighter yellow = optional. Gray with a green header = calculated, don't type there. Gray strikethrough rows = refunded or cancelled.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</si>
</sst>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0"/>
    <numFmt numFmtId="167" formatCode="\$#,##0.00;&quot;($&quot;#,##0.00\);\-"/>
    <numFmt numFmtId="168" formatCode="0.0%;\(0.0%\);\-"/>
    <numFmt numFmtId="169" formatCode="#,##0;\(#,##0\);\-"/>
    <numFmt numFmtId="170" formatCode="mm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4B5563"/>
        <bgColor rgb="FF555555"/>
      </patternFill>
    </fill>
    <fill>
      <patternFill patternType="solid">
        <fgColor rgb="FF166534"/>
        <bgColor rgb="FF008080"/>
      </patternFill>
    </fill>
    <fill>
      <patternFill patternType="solid">
        <fgColor rgb="FFFFF2CC"/>
        <bgColor rgb="FFFFF9E6"/>
      </patternFill>
    </fill>
    <fill>
      <patternFill patternType="solid">
        <fgColor rgb="FFFFF9E6"/>
        <bgColor rgb="FFF3F4F6"/>
      </patternFill>
    </fill>
    <fill>
      <patternFill patternType="solid">
        <fgColor rgb="FFF3F4F6"/>
        <bgColor rgb="FFFFF9E6"/>
      </patternFill>
    </fill>
    <fill>
      <patternFill patternType="solid">
        <fgColor rgb="FFDCFCE7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strike val="1"/>
        <color rgb="FF9CA3AF"/>
      </font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CA3AF"/>
      <rgbColor rgb="FF003366"/>
      <rgbColor rgb="FF339966"/>
      <rgbColor rgb="FF003300"/>
      <rgbColor rgb="FF333300"/>
      <rgbColor rgb="FF993300"/>
      <rgbColor rgb="FF993366"/>
      <rgbColor rgb="FF5555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6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8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30"/>
    <col collapsed="false" customWidth="true" hidden="true" outlineLevel="0" max="20" min="20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31.5" hidden="false" customHeight="true" outlineLevel="0" collapsed="false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3" t="s">
        <v>9</v>
      </c>
      <c r="H4" s="4" t="s">
        <v>10</v>
      </c>
      <c r="I4" s="4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6" t="s">
        <v>22</v>
      </c>
    </row>
    <row r="5" customFormat="false" ht="15" hidden="false" customHeight="false" outlineLevel="0" collapsed="false">
      <c r="A5" s="7" t="n">
        <v>46297</v>
      </c>
      <c r="B5" s="8" t="s">
        <v>23</v>
      </c>
      <c r="C5" s="9" t="n">
        <v>1</v>
      </c>
      <c r="D5" s="10" t="n">
        <v>50</v>
      </c>
      <c r="E5" s="11" t="n">
        <v>6.5</v>
      </c>
      <c r="F5" s="11"/>
      <c r="G5" s="8" t="s">
        <v>24</v>
      </c>
      <c r="H5" s="11" t="n">
        <v>5.8</v>
      </c>
      <c r="I5" s="12" t="s">
        <v>25</v>
      </c>
      <c r="J5" s="13" t="n">
        <f aca="false">IF(OR($A5="",$D5=""),"",IF($C5="",1,$C5)*$D5+N($E5)-N($F5))</f>
        <v>56.5</v>
      </c>
      <c r="K5" s="13" t="n">
        <f aca="false">IF($J5="","",IF($R5&lt;&gt;"",$R5,IF($G5="",0,MAX(IFERROR(INDEX(Settings!$D$6:$D$15,MATCH($G5,Settings!$A$6:$A$15,0)),0),$J5*IFERROR(INDEX(Settings!$B$6:$B$15,MATCH($G5,Settings!$A$6:$A$15,0)),0)+IFERROR(INDEX(Settings!$C$6:$C$15,MATCH($G5,Settings!$A$6:$A$15,0)),0)))))</f>
        <v>5.8175</v>
      </c>
      <c r="L5" s="13" t="n">
        <f aca="false">IF($J5="","",IF($C5="",1,$C5)*IF($Q5&lt;&gt;"",$Q5,IFERROR(INDEX(Products!$D$5:$D$54,MATCH($B5,Products!$A$5:$A$54,0)),0)))</f>
        <v>12.3</v>
      </c>
      <c r="M5" s="14" t="n">
        <f aca="false">IF($J5="","",$J5-$K5-N($H5)-$L5)</f>
        <v>32.5825</v>
      </c>
      <c r="N5" s="15" t="n">
        <f aca="false">IF($J5="","",IF($J5&gt;0,$M5/$J5,""))</f>
        <v>0.576681415929204</v>
      </c>
      <c r="O5" s="12" t="s">
        <v>26</v>
      </c>
      <c r="P5" s="12"/>
      <c r="Q5" s="11"/>
      <c r="R5" s="11"/>
      <c r="S5" s="12" t="s">
        <v>27</v>
      </c>
      <c r="T5" s="16" t="n">
        <f aca="false">IF($J5="","",IF($C5="",1,$C5))</f>
        <v>1</v>
      </c>
    </row>
    <row r="6" customFormat="false" ht="15" hidden="false" customHeight="false" outlineLevel="0" collapsed="false">
      <c r="A6" s="7" t="n">
        <v>46299</v>
      </c>
      <c r="B6" s="8" t="s">
        <v>28</v>
      </c>
      <c r="C6" s="9" t="n">
        <v>3</v>
      </c>
      <c r="D6" s="10" t="n">
        <v>11</v>
      </c>
      <c r="E6" s="11"/>
      <c r="F6" s="11"/>
      <c r="G6" s="8" t="s">
        <v>29</v>
      </c>
      <c r="H6" s="11"/>
      <c r="I6" s="12" t="s">
        <v>30</v>
      </c>
      <c r="J6" s="13" t="n">
        <f aca="false">IF(OR($A6="",$D6=""),"",IF($C6="",1,$C6)*$D6+N($E6)-N($F6))</f>
        <v>33</v>
      </c>
      <c r="K6" s="13" t="n">
        <f aca="false">IF($J6="","",IF($R6&lt;&gt;"",$R6,IF($G6="",0,MAX(IFERROR(INDEX(Settings!$D$6:$D$15,MATCH($G6,Settings!$A$6:$A$15,0)),0),$J6*IFERROR(INDEX(Settings!$B$6:$B$15,MATCH($G6,Settings!$A$6:$A$15,0)),0)+IFERROR(INDEX(Settings!$C$6:$C$15,MATCH($G6,Settings!$A$6:$A$15,0)),0)))))</f>
        <v>0</v>
      </c>
      <c r="L6" s="13" t="n">
        <f aca="false">IF($J6="","",IF($C6="",1,$C6)*IF($Q6&lt;&gt;"",$Q6,IFERROR(INDEX(Products!$D$5:$D$54,MATCH($B6,Products!$A$5:$A$54,0)),0)))</f>
        <v>3.75</v>
      </c>
      <c r="M6" s="14" t="n">
        <f aca="false">IF($J6="","",$J6-$K6-N($H6)-$L6)</f>
        <v>29.25</v>
      </c>
      <c r="N6" s="15" t="n">
        <f aca="false">IF($J6="","",IF($J6&gt;0,$M6/$J6,""))</f>
        <v>0.886363636363636</v>
      </c>
      <c r="O6" s="12"/>
      <c r="P6" s="12"/>
      <c r="Q6" s="11"/>
      <c r="R6" s="11"/>
      <c r="S6" s="12" t="s">
        <v>27</v>
      </c>
      <c r="T6" s="16" t="n">
        <f aca="false">IF($J6="","",IF($C6="",1,$C6))</f>
        <v>3</v>
      </c>
    </row>
    <row r="7" customFormat="false" ht="15" hidden="false" customHeight="false" outlineLevel="0" collapsed="false">
      <c r="A7" s="7" t="n">
        <v>46304</v>
      </c>
      <c r="B7" s="8" t="s">
        <v>31</v>
      </c>
      <c r="C7" s="9"/>
      <c r="D7" s="10" t="n">
        <v>153</v>
      </c>
      <c r="E7" s="11"/>
      <c r="F7" s="11" t="n">
        <v>15</v>
      </c>
      <c r="G7" s="8" t="s">
        <v>24</v>
      </c>
      <c r="H7" s="11" t="n">
        <v>9.2</v>
      </c>
      <c r="I7" s="12" t="s">
        <v>32</v>
      </c>
      <c r="J7" s="13" t="n">
        <f aca="false">IF(OR($A7="",$D7=""),"",IF($C7="",1,$C7)*$D7+N($E7)-N($F7))</f>
        <v>138</v>
      </c>
      <c r="K7" s="13" t="n">
        <f aca="false">IF($J7="","",IF($R7&lt;&gt;"",$R7,IF($G7="",0,MAX(IFERROR(INDEX(Settings!$D$6:$D$15,MATCH($G7,Settings!$A$6:$A$15,0)),0),$J7*IFERROR(INDEX(Settings!$B$6:$B$15,MATCH($G7,Settings!$A$6:$A$15,0)),0)+IFERROR(INDEX(Settings!$C$6:$C$15,MATCH($G7,Settings!$A$6:$A$15,0)),0)))))</f>
        <v>13.56</v>
      </c>
      <c r="L7" s="13" t="n">
        <f aca="false">IF($J7="","",IF($C7="",1,$C7)*IF($Q7&lt;&gt;"",$Q7,IFERROR(INDEX(Products!$D$5:$D$54,MATCH($B7,Products!$A$5:$A$54,0)),0)))</f>
        <v>21.81</v>
      </c>
      <c r="M7" s="14" t="n">
        <f aca="false">IF($J7="","",$J7-$K7-N($H7)-$L7)</f>
        <v>93.43</v>
      </c>
      <c r="N7" s="15" t="n">
        <f aca="false">IF($J7="","",IF($J7&gt;0,$M7/$J7,""))</f>
        <v>0.677028985507246</v>
      </c>
      <c r="O7" s="12" t="s">
        <v>33</v>
      </c>
      <c r="P7" s="12"/>
      <c r="Q7" s="11"/>
      <c r="R7" s="11"/>
      <c r="S7" s="12" t="s">
        <v>34</v>
      </c>
      <c r="T7" s="16" t="n">
        <f aca="false">IF($J7="","",IF($C7="",1,$C7))</f>
        <v>1</v>
      </c>
    </row>
    <row r="8" customFormat="false" ht="15" hidden="false" customHeight="false" outlineLevel="0" collapsed="false">
      <c r="A8" s="7" t="n">
        <v>46307</v>
      </c>
      <c r="B8" s="8" t="s">
        <v>35</v>
      </c>
      <c r="C8" s="9" t="n">
        <v>1</v>
      </c>
      <c r="D8" s="10" t="n">
        <v>45</v>
      </c>
      <c r="E8" s="11"/>
      <c r="F8" s="11"/>
      <c r="G8" s="8" t="s">
        <v>24</v>
      </c>
      <c r="H8" s="11" t="n">
        <v>6</v>
      </c>
      <c r="I8" s="12" t="s">
        <v>36</v>
      </c>
      <c r="J8" s="13" t="n">
        <f aca="false">IF(OR($A8="",$D8=""),"",IF($C8="",1,$C8)*$D8+N($E8)-N($F8))</f>
        <v>45</v>
      </c>
      <c r="K8" s="13" t="n">
        <f aca="false">IF($J8="","",IF($R8&lt;&gt;"",$R8,IF($G8="",0,MAX(IFERROR(INDEX(Settings!$D$6:$D$15,MATCH($G8,Settings!$A$6:$A$15,0)),0),$J8*IFERROR(INDEX(Settings!$B$6:$B$15,MATCH($G8,Settings!$A$6:$A$15,0)),0)+IFERROR(INDEX(Settings!$C$6:$C$15,MATCH($G8,Settings!$A$6:$A$15,0)),0)))))</f>
        <v>4.725</v>
      </c>
      <c r="L8" s="13" t="n">
        <f aca="false">IF($J8="","",IF($C8="",1,$C8)*IF($Q8&lt;&gt;"",$Q8,IFERROR(INDEX(Products!$D$5:$D$54,MATCH($B8,Products!$A$5:$A$54,0)),0)))</f>
        <v>13.34</v>
      </c>
      <c r="M8" s="14" t="n">
        <f aca="false">IF($J8="","",$J8-$K8-N($H8)-$L8)</f>
        <v>20.935</v>
      </c>
      <c r="N8" s="15" t="n">
        <f aca="false">IF($J8="","",IF($J8&gt;0,$M8/$J8,""))</f>
        <v>0.465222222222222</v>
      </c>
      <c r="O8" s="12" t="s">
        <v>37</v>
      </c>
      <c r="P8" s="12"/>
      <c r="Q8" s="11"/>
      <c r="R8" s="11"/>
      <c r="S8" s="12" t="s">
        <v>38</v>
      </c>
      <c r="T8" s="16" t="n">
        <f aca="false">IF($J8="","",IF($C8="",1,$C8))</f>
        <v>1</v>
      </c>
    </row>
    <row r="9" customFormat="false" ht="15" hidden="false" customHeight="false" outlineLevel="0" collapsed="false">
      <c r="A9" s="7"/>
      <c r="B9" s="8"/>
      <c r="C9" s="9"/>
      <c r="D9" s="10"/>
      <c r="E9" s="11"/>
      <c r="F9" s="11"/>
      <c r="G9" s="8"/>
      <c r="H9" s="11"/>
      <c r="I9" s="12"/>
      <c r="J9" s="13" t="str">
        <f aca="false">IF(OR($A9="",$D9=""),"",IF($C9="",1,$C9)*$D9+N($E9)-N($F9))</f>
        <v/>
      </c>
      <c r="K9" s="13" t="str">
        <f aca="false">IF($J9="","",IF($R9&lt;&gt;"",$R9,IF($G9="",0,MAX(IFERROR(INDEX(Settings!$D$6:$D$15,MATCH($G9,Settings!$A$6:$A$15,0)),0),$J9*IFERROR(INDEX(Settings!$B$6:$B$15,MATCH($G9,Settings!$A$6:$A$15,0)),0)+IFERROR(INDEX(Settings!$C$6:$C$15,MATCH($G9,Settings!$A$6:$A$15,0)),0)))))</f>
        <v/>
      </c>
      <c r="L9" s="13" t="str">
        <f aca="false">IF($J9="","",IF($C9="",1,$C9)*IF($Q9&lt;&gt;"",$Q9,IFERROR(INDEX(Products!$D$5:$D$54,MATCH($B9,Products!$A$5:$A$54,0)),0)))</f>
        <v/>
      </c>
      <c r="M9" s="14" t="str">
        <f aca="false">IF($J9="","",$J9-$K9-N($H9)-$L9)</f>
        <v/>
      </c>
      <c r="N9" s="15" t="str">
        <f aca="false">IF($J9="","",IF($J9&gt;0,$M9/$J9,""))</f>
        <v/>
      </c>
      <c r="O9" s="12"/>
      <c r="P9" s="12"/>
      <c r="Q9" s="11"/>
      <c r="R9" s="11"/>
      <c r="S9" s="12"/>
      <c r="T9" s="16" t="str">
        <f aca="false">IF($J9="","",IF($C9="",1,$C9))</f>
        <v/>
      </c>
    </row>
    <row r="10" customFormat="false" ht="15" hidden="false" customHeight="false" outlineLevel="0" collapsed="false">
      <c r="A10" s="7"/>
      <c r="B10" s="8"/>
      <c r="C10" s="9"/>
      <c r="D10" s="10"/>
      <c r="E10" s="11"/>
      <c r="F10" s="11"/>
      <c r="G10" s="8"/>
      <c r="H10" s="11"/>
      <c r="I10" s="12"/>
      <c r="J10" s="13" t="str">
        <f aca="false">IF(OR($A10="",$D10=""),"",IF($C10="",1,$C10)*$D10+N($E10)-N($F10))</f>
        <v/>
      </c>
      <c r="K10" s="13" t="str">
        <f aca="false">IF($J10="","",IF($R10&lt;&gt;"",$R10,IF($G10="",0,MAX(IFERROR(INDEX(Settings!$D$6:$D$15,MATCH($G10,Settings!$A$6:$A$15,0)),0),$J10*IFERROR(INDEX(Settings!$B$6:$B$15,MATCH($G10,Settings!$A$6:$A$15,0)),0)+IFERROR(INDEX(Settings!$C$6:$C$15,MATCH($G10,Settings!$A$6:$A$15,0)),0)))))</f>
        <v/>
      </c>
      <c r="L10" s="13" t="str">
        <f aca="false">IF($J10="","",IF($C10="",1,$C10)*IF($Q10&lt;&gt;"",$Q10,IFERROR(INDEX(Products!$D$5:$D$54,MATCH($B10,Products!$A$5:$A$54,0)),0)))</f>
        <v/>
      </c>
      <c r="M10" s="14" t="str">
        <f aca="false">IF($J10="","",$J10-$K10-N($H10)-$L10)</f>
        <v/>
      </c>
      <c r="N10" s="15" t="str">
        <f aca="false">IF($J10="","",IF($J10&gt;0,$M10/$J10,""))</f>
        <v/>
      </c>
      <c r="O10" s="12"/>
      <c r="P10" s="12"/>
      <c r="Q10" s="11"/>
      <c r="R10" s="11"/>
      <c r="S10" s="12"/>
      <c r="T10" s="16" t="str">
        <f aca="false">IF($J10="","",IF($C10="",1,$C10))</f>
        <v/>
      </c>
    </row>
    <row r="11" customFormat="false" ht="15" hidden="false" customHeight="false" outlineLevel="0" collapsed="false">
      <c r="A11" s="7"/>
      <c r="B11" s="8"/>
      <c r="C11" s="9"/>
      <c r="D11" s="10"/>
      <c r="E11" s="11"/>
      <c r="F11" s="11"/>
      <c r="G11" s="8"/>
      <c r="H11" s="11"/>
      <c r="I11" s="12"/>
      <c r="J11" s="13" t="str">
        <f aca="false">IF(OR($A11="",$D11=""),"",IF($C11="",1,$C11)*$D11+N($E11)-N($F11))</f>
        <v/>
      </c>
      <c r="K11" s="13" t="str">
        <f aca="false">IF($J11="","",IF($R11&lt;&gt;"",$R11,IF($G11="",0,MAX(IFERROR(INDEX(Settings!$D$6:$D$15,MATCH($G11,Settings!$A$6:$A$15,0)),0),$J11*IFERROR(INDEX(Settings!$B$6:$B$15,MATCH($G11,Settings!$A$6:$A$15,0)),0)+IFERROR(INDEX(Settings!$C$6:$C$15,MATCH($G11,Settings!$A$6:$A$15,0)),0)))))</f>
        <v/>
      </c>
      <c r="L11" s="13" t="str">
        <f aca="false">IF($J11="","",IF($C11="",1,$C11)*IF($Q11&lt;&gt;"",$Q11,IFERROR(INDEX(Products!$D$5:$D$54,MATCH($B11,Products!$A$5:$A$54,0)),0)))</f>
        <v/>
      </c>
      <c r="M11" s="14" t="str">
        <f aca="false">IF($J11="","",$J11-$K11-N($H11)-$L11)</f>
        <v/>
      </c>
      <c r="N11" s="15" t="str">
        <f aca="false">IF($J11="","",IF($J11&gt;0,$M11/$J11,""))</f>
        <v/>
      </c>
      <c r="O11" s="12"/>
      <c r="P11" s="12"/>
      <c r="Q11" s="11"/>
      <c r="R11" s="11"/>
      <c r="S11" s="12"/>
      <c r="T11" s="16" t="str">
        <f aca="false">IF($J11="","",IF($C11="",1,$C11))</f>
        <v/>
      </c>
    </row>
    <row r="12" customFormat="false" ht="15" hidden="false" customHeight="false" outlineLevel="0" collapsed="false">
      <c r="A12" s="7"/>
      <c r="B12" s="8"/>
      <c r="C12" s="9"/>
      <c r="D12" s="10"/>
      <c r="E12" s="11"/>
      <c r="F12" s="11"/>
      <c r="G12" s="8"/>
      <c r="H12" s="11"/>
      <c r="I12" s="12"/>
      <c r="J12" s="13" t="str">
        <f aca="false">IF(OR($A12="",$D12=""),"",IF($C12="",1,$C12)*$D12+N($E12)-N($F12))</f>
        <v/>
      </c>
      <c r="K12" s="13" t="str">
        <f aca="false">IF($J12="","",IF($R12&lt;&gt;"",$R12,IF($G12="",0,MAX(IFERROR(INDEX(Settings!$D$6:$D$15,MATCH($G12,Settings!$A$6:$A$15,0)),0),$J12*IFERROR(INDEX(Settings!$B$6:$B$15,MATCH($G12,Settings!$A$6:$A$15,0)),0)+IFERROR(INDEX(Settings!$C$6:$C$15,MATCH($G12,Settings!$A$6:$A$15,0)),0)))))</f>
        <v/>
      </c>
      <c r="L12" s="13" t="str">
        <f aca="false">IF($J12="","",IF($C12="",1,$C12)*IF($Q12&lt;&gt;"",$Q12,IFERROR(INDEX(Products!$D$5:$D$54,MATCH($B12,Products!$A$5:$A$54,0)),0)))</f>
        <v/>
      </c>
      <c r="M12" s="14" t="str">
        <f aca="false">IF($J12="","",$J12-$K12-N($H12)-$L12)</f>
        <v/>
      </c>
      <c r="N12" s="15" t="str">
        <f aca="false">IF($J12="","",IF($J12&gt;0,$M12/$J12,""))</f>
        <v/>
      </c>
      <c r="O12" s="12"/>
      <c r="P12" s="12"/>
      <c r="Q12" s="11"/>
      <c r="R12" s="11"/>
      <c r="S12" s="12"/>
      <c r="T12" s="16" t="str">
        <f aca="false">IF($J12="","",IF($C12="",1,$C12))</f>
        <v/>
      </c>
    </row>
    <row r="13" customFormat="false" ht="15" hidden="false" customHeight="false" outlineLevel="0" collapsed="false">
      <c r="A13" s="7"/>
      <c r="B13" s="8"/>
      <c r="C13" s="9"/>
      <c r="D13" s="10"/>
      <c r="E13" s="11"/>
      <c r="F13" s="11"/>
      <c r="G13" s="8"/>
      <c r="H13" s="11"/>
      <c r="I13" s="12"/>
      <c r="J13" s="13" t="str">
        <f aca="false">IF(OR($A13="",$D13=""),"",IF($C13="",1,$C13)*$D13+N($E13)-N($F13))</f>
        <v/>
      </c>
      <c r="K13" s="13" t="str">
        <f aca="false">IF($J13="","",IF($R13&lt;&gt;"",$R13,IF($G13="",0,MAX(IFERROR(INDEX(Settings!$D$6:$D$15,MATCH($G13,Settings!$A$6:$A$15,0)),0),$J13*IFERROR(INDEX(Settings!$B$6:$B$15,MATCH($G13,Settings!$A$6:$A$15,0)),0)+IFERROR(INDEX(Settings!$C$6:$C$15,MATCH($G13,Settings!$A$6:$A$15,0)),0)))))</f>
        <v/>
      </c>
      <c r="L13" s="13" t="str">
        <f aca="false">IF($J13="","",IF($C13="",1,$C13)*IF($Q13&lt;&gt;"",$Q13,IFERROR(INDEX(Products!$D$5:$D$54,MATCH($B13,Products!$A$5:$A$54,0)),0)))</f>
        <v/>
      </c>
      <c r="M13" s="14" t="str">
        <f aca="false">IF($J13="","",$J13-$K13-N($H13)-$L13)</f>
        <v/>
      </c>
      <c r="N13" s="15" t="str">
        <f aca="false">IF($J13="","",IF($J13&gt;0,$M13/$J13,""))</f>
        <v/>
      </c>
      <c r="O13" s="12"/>
      <c r="P13" s="12"/>
      <c r="Q13" s="11"/>
      <c r="R13" s="11"/>
      <c r="S13" s="12"/>
      <c r="T13" s="16" t="str">
        <f aca="false">IF($J13="","",IF($C13="",1,$C13))</f>
        <v/>
      </c>
    </row>
    <row r="14" customFormat="false" ht="15" hidden="false" customHeight="false" outlineLevel="0" collapsed="false">
      <c r="A14" s="7"/>
      <c r="B14" s="8"/>
      <c r="C14" s="9"/>
      <c r="D14" s="10"/>
      <c r="E14" s="11"/>
      <c r="F14" s="11"/>
      <c r="G14" s="8"/>
      <c r="H14" s="11"/>
      <c r="I14" s="12"/>
      <c r="J14" s="13" t="str">
        <f aca="false">IF(OR($A14="",$D14=""),"",IF($C14="",1,$C14)*$D14+N($E14)-N($F14))</f>
        <v/>
      </c>
      <c r="K14" s="13" t="str">
        <f aca="false">IF($J14="","",IF($R14&lt;&gt;"",$R14,IF($G14="",0,MAX(IFERROR(INDEX(Settings!$D$6:$D$15,MATCH($G14,Settings!$A$6:$A$15,0)),0),$J14*IFERROR(INDEX(Settings!$B$6:$B$15,MATCH($G14,Settings!$A$6:$A$15,0)),0)+IFERROR(INDEX(Settings!$C$6:$C$15,MATCH($G14,Settings!$A$6:$A$15,0)),0)))))</f>
        <v/>
      </c>
      <c r="L14" s="13" t="str">
        <f aca="false">IF($J14="","",IF($C14="",1,$C14)*IF($Q14&lt;&gt;"",$Q14,IFERROR(INDEX(Products!$D$5:$D$54,MATCH($B14,Products!$A$5:$A$54,0)),0)))</f>
        <v/>
      </c>
      <c r="M14" s="14" t="str">
        <f aca="false">IF($J14="","",$J14-$K14-N($H14)-$L14)</f>
        <v/>
      </c>
      <c r="N14" s="15" t="str">
        <f aca="false">IF($J14="","",IF($J14&gt;0,$M14/$J14,""))</f>
        <v/>
      </c>
      <c r="O14" s="12"/>
      <c r="P14" s="12"/>
      <c r="Q14" s="11"/>
      <c r="R14" s="11"/>
      <c r="S14" s="12"/>
      <c r="T14" s="16" t="str">
        <f aca="false">IF($J14="","",IF($C14="",1,$C14))</f>
        <v/>
      </c>
    </row>
    <row r="15" customFormat="false" ht="15" hidden="false" customHeight="false" outlineLevel="0" collapsed="false">
      <c r="A15" s="7"/>
      <c r="B15" s="8"/>
      <c r="C15" s="9"/>
      <c r="D15" s="10"/>
      <c r="E15" s="11"/>
      <c r="F15" s="11"/>
      <c r="G15" s="8"/>
      <c r="H15" s="11"/>
      <c r="I15" s="12"/>
      <c r="J15" s="13" t="str">
        <f aca="false">IF(OR($A15="",$D15=""),"",IF($C15="",1,$C15)*$D15+N($E15)-N($F15))</f>
        <v/>
      </c>
      <c r="K15" s="13" t="str">
        <f aca="false">IF($J15="","",IF($R15&lt;&gt;"",$R15,IF($G15="",0,MAX(IFERROR(INDEX(Settings!$D$6:$D$15,MATCH($G15,Settings!$A$6:$A$15,0)),0),$J15*IFERROR(INDEX(Settings!$B$6:$B$15,MATCH($G15,Settings!$A$6:$A$15,0)),0)+IFERROR(INDEX(Settings!$C$6:$C$15,MATCH($G15,Settings!$A$6:$A$15,0)),0)))))</f>
        <v/>
      </c>
      <c r="L15" s="13" t="str">
        <f aca="false">IF($J15="","",IF($C15="",1,$C15)*IF($Q15&lt;&gt;"",$Q15,IFERROR(INDEX(Products!$D$5:$D$54,MATCH($B15,Products!$A$5:$A$54,0)),0)))</f>
        <v/>
      </c>
      <c r="M15" s="14" t="str">
        <f aca="false">IF($J15="","",$J15-$K15-N($H15)-$L15)</f>
        <v/>
      </c>
      <c r="N15" s="15" t="str">
        <f aca="false">IF($J15="","",IF($J15&gt;0,$M15/$J15,""))</f>
        <v/>
      </c>
      <c r="O15" s="12"/>
      <c r="P15" s="12"/>
      <c r="Q15" s="11"/>
      <c r="R15" s="11"/>
      <c r="S15" s="12"/>
      <c r="T15" s="16" t="str">
        <f aca="false">IF($J15="","",IF($C15="",1,$C15))</f>
        <v/>
      </c>
    </row>
    <row r="16" customFormat="false" ht="15" hidden="false" customHeight="false" outlineLevel="0" collapsed="false">
      <c r="A16" s="7"/>
      <c r="B16" s="8"/>
      <c r="C16" s="9"/>
      <c r="D16" s="10"/>
      <c r="E16" s="11"/>
      <c r="F16" s="11"/>
      <c r="G16" s="8"/>
      <c r="H16" s="11"/>
      <c r="I16" s="12"/>
      <c r="J16" s="13" t="str">
        <f aca="false">IF(OR($A16="",$D16=""),"",IF($C16="",1,$C16)*$D16+N($E16)-N($F16))</f>
        <v/>
      </c>
      <c r="K16" s="13" t="str">
        <f aca="false">IF($J16="","",IF($R16&lt;&gt;"",$R16,IF($G16="",0,MAX(IFERROR(INDEX(Settings!$D$6:$D$15,MATCH($G16,Settings!$A$6:$A$15,0)),0),$J16*IFERROR(INDEX(Settings!$B$6:$B$15,MATCH($G16,Settings!$A$6:$A$15,0)),0)+IFERROR(INDEX(Settings!$C$6:$C$15,MATCH($G16,Settings!$A$6:$A$15,0)),0)))))</f>
        <v/>
      </c>
      <c r="L16" s="13" t="str">
        <f aca="false">IF($J16="","",IF($C16="",1,$C16)*IF($Q16&lt;&gt;"",$Q16,IFERROR(INDEX(Products!$D$5:$D$54,MATCH($B16,Products!$A$5:$A$54,0)),0)))</f>
        <v/>
      </c>
      <c r="M16" s="14" t="str">
        <f aca="false">IF($J16="","",$J16-$K16-N($H16)-$L16)</f>
        <v/>
      </c>
      <c r="N16" s="15" t="str">
        <f aca="false">IF($J16="","",IF($J16&gt;0,$M16/$J16,""))</f>
        <v/>
      </c>
      <c r="O16" s="12"/>
      <c r="P16" s="12"/>
      <c r="Q16" s="11"/>
      <c r="R16" s="11"/>
      <c r="S16" s="12"/>
      <c r="T16" s="16" t="str">
        <f aca="false">IF($J16="","",IF($C16="",1,$C16))</f>
        <v/>
      </c>
    </row>
    <row r="17" customFormat="false" ht="15" hidden="false" customHeight="false" outlineLevel="0" collapsed="false">
      <c r="A17" s="7"/>
      <c r="B17" s="8"/>
      <c r="C17" s="9"/>
      <c r="D17" s="10"/>
      <c r="E17" s="11"/>
      <c r="F17" s="11"/>
      <c r="G17" s="8"/>
      <c r="H17" s="11"/>
      <c r="I17" s="12"/>
      <c r="J17" s="13" t="str">
        <f aca="false">IF(OR($A17="",$D17=""),"",IF($C17="",1,$C17)*$D17+N($E17)-N($F17))</f>
        <v/>
      </c>
      <c r="K17" s="13" t="str">
        <f aca="false">IF($J17="","",IF($R17&lt;&gt;"",$R17,IF($G17="",0,MAX(IFERROR(INDEX(Settings!$D$6:$D$15,MATCH($G17,Settings!$A$6:$A$15,0)),0),$J17*IFERROR(INDEX(Settings!$B$6:$B$15,MATCH($G17,Settings!$A$6:$A$15,0)),0)+IFERROR(INDEX(Settings!$C$6:$C$15,MATCH($G17,Settings!$A$6:$A$15,0)),0)))))</f>
        <v/>
      </c>
      <c r="L17" s="13" t="str">
        <f aca="false">IF($J17="","",IF($C17="",1,$C17)*IF($Q17&lt;&gt;"",$Q17,IFERROR(INDEX(Products!$D$5:$D$54,MATCH($B17,Products!$A$5:$A$54,0)),0)))</f>
        <v/>
      </c>
      <c r="M17" s="14" t="str">
        <f aca="false">IF($J17="","",$J17-$K17-N($H17)-$L17)</f>
        <v/>
      </c>
      <c r="N17" s="15" t="str">
        <f aca="false">IF($J17="","",IF($J17&gt;0,$M17/$J17,""))</f>
        <v/>
      </c>
      <c r="O17" s="12"/>
      <c r="P17" s="12"/>
      <c r="Q17" s="11"/>
      <c r="R17" s="11"/>
      <c r="S17" s="12"/>
      <c r="T17" s="16" t="str">
        <f aca="false">IF($J17="","",IF($C17="",1,$C17))</f>
        <v/>
      </c>
    </row>
    <row r="18" customFormat="false" ht="15" hidden="false" customHeight="false" outlineLevel="0" collapsed="false">
      <c r="A18" s="7"/>
      <c r="B18" s="8"/>
      <c r="C18" s="9"/>
      <c r="D18" s="10"/>
      <c r="E18" s="11"/>
      <c r="F18" s="11"/>
      <c r="G18" s="8"/>
      <c r="H18" s="11"/>
      <c r="I18" s="12"/>
      <c r="J18" s="13" t="str">
        <f aca="false">IF(OR($A18="",$D18=""),"",IF($C18="",1,$C18)*$D18+N($E18)-N($F18))</f>
        <v/>
      </c>
      <c r="K18" s="13" t="str">
        <f aca="false">IF($J18="","",IF($R18&lt;&gt;"",$R18,IF($G18="",0,MAX(IFERROR(INDEX(Settings!$D$6:$D$15,MATCH($G18,Settings!$A$6:$A$15,0)),0),$J18*IFERROR(INDEX(Settings!$B$6:$B$15,MATCH($G18,Settings!$A$6:$A$15,0)),0)+IFERROR(INDEX(Settings!$C$6:$C$15,MATCH($G18,Settings!$A$6:$A$15,0)),0)))))</f>
        <v/>
      </c>
      <c r="L18" s="13" t="str">
        <f aca="false">IF($J18="","",IF($C18="",1,$C18)*IF($Q18&lt;&gt;"",$Q18,IFERROR(INDEX(Products!$D$5:$D$54,MATCH($B18,Products!$A$5:$A$54,0)),0)))</f>
        <v/>
      </c>
      <c r="M18" s="14" t="str">
        <f aca="false">IF($J18="","",$J18-$K18-N($H18)-$L18)</f>
        <v/>
      </c>
      <c r="N18" s="15" t="str">
        <f aca="false">IF($J18="","",IF($J18&gt;0,$M18/$J18,""))</f>
        <v/>
      </c>
      <c r="O18" s="12"/>
      <c r="P18" s="12"/>
      <c r="Q18" s="11"/>
      <c r="R18" s="11"/>
      <c r="S18" s="12"/>
      <c r="T18" s="16" t="str">
        <f aca="false">IF($J18="","",IF($C18="",1,$C18))</f>
        <v/>
      </c>
    </row>
    <row r="19" customFormat="false" ht="15" hidden="false" customHeight="false" outlineLevel="0" collapsed="false">
      <c r="A19" s="7"/>
      <c r="B19" s="8"/>
      <c r="C19" s="9"/>
      <c r="D19" s="10"/>
      <c r="E19" s="11"/>
      <c r="F19" s="11"/>
      <c r="G19" s="8"/>
      <c r="H19" s="11"/>
      <c r="I19" s="12"/>
      <c r="J19" s="13" t="str">
        <f aca="false">IF(OR($A19="",$D19=""),"",IF($C19="",1,$C19)*$D19+N($E19)-N($F19))</f>
        <v/>
      </c>
      <c r="K19" s="13" t="str">
        <f aca="false">IF($J19="","",IF($R19&lt;&gt;"",$R19,IF($G19="",0,MAX(IFERROR(INDEX(Settings!$D$6:$D$15,MATCH($G19,Settings!$A$6:$A$15,0)),0),$J19*IFERROR(INDEX(Settings!$B$6:$B$15,MATCH($G19,Settings!$A$6:$A$15,0)),0)+IFERROR(INDEX(Settings!$C$6:$C$15,MATCH($G19,Settings!$A$6:$A$15,0)),0)))))</f>
        <v/>
      </c>
      <c r="L19" s="13" t="str">
        <f aca="false">IF($J19="","",IF($C19="",1,$C19)*IF($Q19&lt;&gt;"",$Q19,IFERROR(INDEX(Products!$D$5:$D$54,MATCH($B19,Products!$A$5:$A$54,0)),0)))</f>
        <v/>
      </c>
      <c r="M19" s="14" t="str">
        <f aca="false">IF($J19="","",$J19-$K19-N($H19)-$L19)</f>
        <v/>
      </c>
      <c r="N19" s="15" t="str">
        <f aca="false">IF($J19="","",IF($J19&gt;0,$M19/$J19,""))</f>
        <v/>
      </c>
      <c r="O19" s="12"/>
      <c r="P19" s="12"/>
      <c r="Q19" s="11"/>
      <c r="R19" s="11"/>
      <c r="S19" s="12"/>
      <c r="T19" s="16" t="str">
        <f aca="false">IF($J19="","",IF($C19="",1,$C19))</f>
        <v/>
      </c>
    </row>
    <row r="20" customFormat="false" ht="15" hidden="false" customHeight="false" outlineLevel="0" collapsed="false">
      <c r="A20" s="7"/>
      <c r="B20" s="8"/>
      <c r="C20" s="9"/>
      <c r="D20" s="10"/>
      <c r="E20" s="11"/>
      <c r="F20" s="11"/>
      <c r="G20" s="8"/>
      <c r="H20" s="11"/>
      <c r="I20" s="12"/>
      <c r="J20" s="13" t="str">
        <f aca="false">IF(OR($A20="",$D20=""),"",IF($C20="",1,$C20)*$D20+N($E20)-N($F20))</f>
        <v/>
      </c>
      <c r="K20" s="13" t="str">
        <f aca="false">IF($J20="","",IF($R20&lt;&gt;"",$R20,IF($G20="",0,MAX(IFERROR(INDEX(Settings!$D$6:$D$15,MATCH($G20,Settings!$A$6:$A$15,0)),0),$J20*IFERROR(INDEX(Settings!$B$6:$B$15,MATCH($G20,Settings!$A$6:$A$15,0)),0)+IFERROR(INDEX(Settings!$C$6:$C$15,MATCH($G20,Settings!$A$6:$A$15,0)),0)))))</f>
        <v/>
      </c>
      <c r="L20" s="13" t="str">
        <f aca="false">IF($J20="","",IF($C20="",1,$C20)*IF($Q20&lt;&gt;"",$Q20,IFERROR(INDEX(Products!$D$5:$D$54,MATCH($B20,Products!$A$5:$A$54,0)),0)))</f>
        <v/>
      </c>
      <c r="M20" s="14" t="str">
        <f aca="false">IF($J20="","",$J20-$K20-N($H20)-$L20)</f>
        <v/>
      </c>
      <c r="N20" s="15" t="str">
        <f aca="false">IF($J20="","",IF($J20&gt;0,$M20/$J20,""))</f>
        <v/>
      </c>
      <c r="O20" s="12"/>
      <c r="P20" s="12"/>
      <c r="Q20" s="11"/>
      <c r="R20" s="11"/>
      <c r="S20" s="12"/>
      <c r="T20" s="16" t="str">
        <f aca="false">IF($J20="","",IF($C20="",1,$C20))</f>
        <v/>
      </c>
    </row>
    <row r="21" customFormat="false" ht="15" hidden="false" customHeight="false" outlineLevel="0" collapsed="false">
      <c r="A21" s="7"/>
      <c r="B21" s="8"/>
      <c r="C21" s="9"/>
      <c r="D21" s="10"/>
      <c r="E21" s="11"/>
      <c r="F21" s="11"/>
      <c r="G21" s="8"/>
      <c r="H21" s="11"/>
      <c r="I21" s="12"/>
      <c r="J21" s="13" t="str">
        <f aca="false">IF(OR($A21="",$D21=""),"",IF($C21="",1,$C21)*$D21+N($E21)-N($F21))</f>
        <v/>
      </c>
      <c r="K21" s="13" t="str">
        <f aca="false">IF($J21="","",IF($R21&lt;&gt;"",$R21,IF($G21="",0,MAX(IFERROR(INDEX(Settings!$D$6:$D$15,MATCH($G21,Settings!$A$6:$A$15,0)),0),$J21*IFERROR(INDEX(Settings!$B$6:$B$15,MATCH($G21,Settings!$A$6:$A$15,0)),0)+IFERROR(INDEX(Settings!$C$6:$C$15,MATCH($G21,Settings!$A$6:$A$15,0)),0)))))</f>
        <v/>
      </c>
      <c r="L21" s="13" t="str">
        <f aca="false">IF($J21="","",IF($C21="",1,$C21)*IF($Q21&lt;&gt;"",$Q21,IFERROR(INDEX(Products!$D$5:$D$54,MATCH($B21,Products!$A$5:$A$54,0)),0)))</f>
        <v/>
      </c>
      <c r="M21" s="14" t="str">
        <f aca="false">IF($J21="","",$J21-$K21-N($H21)-$L21)</f>
        <v/>
      </c>
      <c r="N21" s="15" t="str">
        <f aca="false">IF($J21="","",IF($J21&gt;0,$M21/$J21,""))</f>
        <v/>
      </c>
      <c r="O21" s="12"/>
      <c r="P21" s="12"/>
      <c r="Q21" s="11"/>
      <c r="R21" s="11"/>
      <c r="S21" s="12"/>
      <c r="T21" s="16" t="str">
        <f aca="false">IF($J21="","",IF($C21="",1,$C21))</f>
        <v/>
      </c>
    </row>
    <row r="22" customFormat="false" ht="15" hidden="false" customHeight="false" outlineLevel="0" collapsed="false">
      <c r="A22" s="7"/>
      <c r="B22" s="8"/>
      <c r="C22" s="9"/>
      <c r="D22" s="10"/>
      <c r="E22" s="11"/>
      <c r="F22" s="11"/>
      <c r="G22" s="8"/>
      <c r="H22" s="11"/>
      <c r="I22" s="12"/>
      <c r="J22" s="13" t="str">
        <f aca="false">IF(OR($A22="",$D22=""),"",IF($C22="",1,$C22)*$D22+N($E22)-N($F22))</f>
        <v/>
      </c>
      <c r="K22" s="13" t="str">
        <f aca="false">IF($J22="","",IF($R22&lt;&gt;"",$R22,IF($G22="",0,MAX(IFERROR(INDEX(Settings!$D$6:$D$15,MATCH($G22,Settings!$A$6:$A$15,0)),0),$J22*IFERROR(INDEX(Settings!$B$6:$B$15,MATCH($G22,Settings!$A$6:$A$15,0)),0)+IFERROR(INDEX(Settings!$C$6:$C$15,MATCH($G22,Settings!$A$6:$A$15,0)),0)))))</f>
        <v/>
      </c>
      <c r="L22" s="13" t="str">
        <f aca="false">IF($J22="","",IF($C22="",1,$C22)*IF($Q22&lt;&gt;"",$Q22,IFERROR(INDEX(Products!$D$5:$D$54,MATCH($B22,Products!$A$5:$A$54,0)),0)))</f>
        <v/>
      </c>
      <c r="M22" s="14" t="str">
        <f aca="false">IF($J22="","",$J22-$K22-N($H22)-$L22)</f>
        <v/>
      </c>
      <c r="N22" s="15" t="str">
        <f aca="false">IF($J22="","",IF($J22&gt;0,$M22/$J22,""))</f>
        <v/>
      </c>
      <c r="O22" s="12"/>
      <c r="P22" s="12"/>
      <c r="Q22" s="11"/>
      <c r="R22" s="11"/>
      <c r="S22" s="12"/>
      <c r="T22" s="16" t="str">
        <f aca="false">IF($J22="","",IF($C22="",1,$C22))</f>
        <v/>
      </c>
    </row>
    <row r="23" customFormat="false" ht="15" hidden="false" customHeight="false" outlineLevel="0" collapsed="false">
      <c r="A23" s="7"/>
      <c r="B23" s="8"/>
      <c r="C23" s="9"/>
      <c r="D23" s="10"/>
      <c r="E23" s="11"/>
      <c r="F23" s="11"/>
      <c r="G23" s="8"/>
      <c r="H23" s="11"/>
      <c r="I23" s="12"/>
      <c r="J23" s="13" t="str">
        <f aca="false">IF(OR($A23="",$D23=""),"",IF($C23="",1,$C23)*$D23+N($E23)-N($F23))</f>
        <v/>
      </c>
      <c r="K23" s="13" t="str">
        <f aca="false">IF($J23="","",IF($R23&lt;&gt;"",$R23,IF($G23="",0,MAX(IFERROR(INDEX(Settings!$D$6:$D$15,MATCH($G23,Settings!$A$6:$A$15,0)),0),$J23*IFERROR(INDEX(Settings!$B$6:$B$15,MATCH($G23,Settings!$A$6:$A$15,0)),0)+IFERROR(INDEX(Settings!$C$6:$C$15,MATCH($G23,Settings!$A$6:$A$15,0)),0)))))</f>
        <v/>
      </c>
      <c r="L23" s="13" t="str">
        <f aca="false">IF($J23="","",IF($C23="",1,$C23)*IF($Q23&lt;&gt;"",$Q23,IFERROR(INDEX(Products!$D$5:$D$54,MATCH($B23,Products!$A$5:$A$54,0)),0)))</f>
        <v/>
      </c>
      <c r="M23" s="14" t="str">
        <f aca="false">IF($J23="","",$J23-$K23-N($H23)-$L23)</f>
        <v/>
      </c>
      <c r="N23" s="15" t="str">
        <f aca="false">IF($J23="","",IF($J23&gt;0,$M23/$J23,""))</f>
        <v/>
      </c>
      <c r="O23" s="12"/>
      <c r="P23" s="12"/>
      <c r="Q23" s="11"/>
      <c r="R23" s="11"/>
      <c r="S23" s="12"/>
      <c r="T23" s="16" t="str">
        <f aca="false">IF($J23="","",IF($C23="",1,$C23))</f>
        <v/>
      </c>
    </row>
    <row r="24" customFormat="false" ht="15" hidden="false" customHeight="false" outlineLevel="0" collapsed="false">
      <c r="A24" s="7"/>
      <c r="B24" s="8"/>
      <c r="C24" s="9"/>
      <c r="D24" s="10"/>
      <c r="E24" s="11"/>
      <c r="F24" s="11"/>
      <c r="G24" s="8"/>
      <c r="H24" s="11"/>
      <c r="I24" s="12"/>
      <c r="J24" s="13" t="str">
        <f aca="false">IF(OR($A24="",$D24=""),"",IF($C24="",1,$C24)*$D24+N($E24)-N($F24))</f>
        <v/>
      </c>
      <c r="K24" s="13" t="str">
        <f aca="false">IF($J24="","",IF($R24&lt;&gt;"",$R24,IF($G24="",0,MAX(IFERROR(INDEX(Settings!$D$6:$D$15,MATCH($G24,Settings!$A$6:$A$15,0)),0),$J24*IFERROR(INDEX(Settings!$B$6:$B$15,MATCH($G24,Settings!$A$6:$A$15,0)),0)+IFERROR(INDEX(Settings!$C$6:$C$15,MATCH($G24,Settings!$A$6:$A$15,0)),0)))))</f>
        <v/>
      </c>
      <c r="L24" s="13" t="str">
        <f aca="false">IF($J24="","",IF($C24="",1,$C24)*IF($Q24&lt;&gt;"",$Q24,IFERROR(INDEX(Products!$D$5:$D$54,MATCH($B24,Products!$A$5:$A$54,0)),0)))</f>
        <v/>
      </c>
      <c r="M24" s="14" t="str">
        <f aca="false">IF($J24="","",$J24-$K24-N($H24)-$L24)</f>
        <v/>
      </c>
      <c r="N24" s="15" t="str">
        <f aca="false">IF($J24="","",IF($J24&gt;0,$M24/$J24,""))</f>
        <v/>
      </c>
      <c r="O24" s="12"/>
      <c r="P24" s="12"/>
      <c r="Q24" s="11"/>
      <c r="R24" s="11"/>
      <c r="S24" s="12"/>
      <c r="T24" s="16" t="str">
        <f aca="false">IF($J24="","",IF($C24="",1,$C24))</f>
        <v/>
      </c>
    </row>
    <row r="25" customFormat="false" ht="15" hidden="false" customHeight="false" outlineLevel="0" collapsed="false">
      <c r="A25" s="7"/>
      <c r="B25" s="8"/>
      <c r="C25" s="9"/>
      <c r="D25" s="10"/>
      <c r="E25" s="11"/>
      <c r="F25" s="11"/>
      <c r="G25" s="8"/>
      <c r="H25" s="11"/>
      <c r="I25" s="12"/>
      <c r="J25" s="13" t="str">
        <f aca="false">IF(OR($A25="",$D25=""),"",IF($C25="",1,$C25)*$D25+N($E25)-N($F25))</f>
        <v/>
      </c>
      <c r="K25" s="13" t="str">
        <f aca="false">IF($J25="","",IF($R25&lt;&gt;"",$R25,IF($G25="",0,MAX(IFERROR(INDEX(Settings!$D$6:$D$15,MATCH($G25,Settings!$A$6:$A$15,0)),0),$J25*IFERROR(INDEX(Settings!$B$6:$B$15,MATCH($G25,Settings!$A$6:$A$15,0)),0)+IFERROR(INDEX(Settings!$C$6:$C$15,MATCH($G25,Settings!$A$6:$A$15,0)),0)))))</f>
        <v/>
      </c>
      <c r="L25" s="13" t="str">
        <f aca="false">IF($J25="","",IF($C25="",1,$C25)*IF($Q25&lt;&gt;"",$Q25,IFERROR(INDEX(Products!$D$5:$D$54,MATCH($B25,Products!$A$5:$A$54,0)),0)))</f>
        <v/>
      </c>
      <c r="M25" s="14" t="str">
        <f aca="false">IF($J25="","",$J25-$K25-N($H25)-$L25)</f>
        <v/>
      </c>
      <c r="N25" s="15" t="str">
        <f aca="false">IF($J25="","",IF($J25&gt;0,$M25/$J25,""))</f>
        <v/>
      </c>
      <c r="O25" s="12"/>
      <c r="P25" s="12"/>
      <c r="Q25" s="11"/>
      <c r="R25" s="11"/>
      <c r="S25" s="12"/>
      <c r="T25" s="16" t="str">
        <f aca="false">IF($J25="","",IF($C25="",1,$C25))</f>
        <v/>
      </c>
    </row>
    <row r="26" customFormat="false" ht="15" hidden="false" customHeight="false" outlineLevel="0" collapsed="false">
      <c r="A26" s="7"/>
      <c r="B26" s="8"/>
      <c r="C26" s="9"/>
      <c r="D26" s="10"/>
      <c r="E26" s="11"/>
      <c r="F26" s="11"/>
      <c r="G26" s="8"/>
      <c r="H26" s="11"/>
      <c r="I26" s="12"/>
      <c r="J26" s="13" t="str">
        <f aca="false">IF(OR($A26="",$D26=""),"",IF($C26="",1,$C26)*$D26+N($E26)-N($F26))</f>
        <v/>
      </c>
      <c r="K26" s="13" t="str">
        <f aca="false">IF($J26="","",IF($R26&lt;&gt;"",$R26,IF($G26="",0,MAX(IFERROR(INDEX(Settings!$D$6:$D$15,MATCH($G26,Settings!$A$6:$A$15,0)),0),$J26*IFERROR(INDEX(Settings!$B$6:$B$15,MATCH($G26,Settings!$A$6:$A$15,0)),0)+IFERROR(INDEX(Settings!$C$6:$C$15,MATCH($G26,Settings!$A$6:$A$15,0)),0)))))</f>
        <v/>
      </c>
      <c r="L26" s="13" t="str">
        <f aca="false">IF($J26="","",IF($C26="",1,$C26)*IF($Q26&lt;&gt;"",$Q26,IFERROR(INDEX(Products!$D$5:$D$54,MATCH($B26,Products!$A$5:$A$54,0)),0)))</f>
        <v/>
      </c>
      <c r="M26" s="14" t="str">
        <f aca="false">IF($J26="","",$J26-$K26-N($H26)-$L26)</f>
        <v/>
      </c>
      <c r="N26" s="15" t="str">
        <f aca="false">IF($J26="","",IF($J26&gt;0,$M26/$J26,""))</f>
        <v/>
      </c>
      <c r="O26" s="12"/>
      <c r="P26" s="12"/>
      <c r="Q26" s="11"/>
      <c r="R26" s="11"/>
      <c r="S26" s="12"/>
      <c r="T26" s="16" t="str">
        <f aca="false">IF($J26="","",IF($C26="",1,$C26))</f>
        <v/>
      </c>
    </row>
    <row r="27" customFormat="false" ht="15" hidden="false" customHeight="false" outlineLevel="0" collapsed="false">
      <c r="A27" s="7"/>
      <c r="B27" s="8"/>
      <c r="C27" s="9"/>
      <c r="D27" s="10"/>
      <c r="E27" s="11"/>
      <c r="F27" s="11"/>
      <c r="G27" s="8"/>
      <c r="H27" s="11"/>
      <c r="I27" s="12"/>
      <c r="J27" s="13" t="str">
        <f aca="false">IF(OR($A27="",$D27=""),"",IF($C27="",1,$C27)*$D27+N($E27)-N($F27))</f>
        <v/>
      </c>
      <c r="K27" s="13" t="str">
        <f aca="false">IF($J27="","",IF($R27&lt;&gt;"",$R27,IF($G27="",0,MAX(IFERROR(INDEX(Settings!$D$6:$D$15,MATCH($G27,Settings!$A$6:$A$15,0)),0),$J27*IFERROR(INDEX(Settings!$B$6:$B$15,MATCH($G27,Settings!$A$6:$A$15,0)),0)+IFERROR(INDEX(Settings!$C$6:$C$15,MATCH($G27,Settings!$A$6:$A$15,0)),0)))))</f>
        <v/>
      </c>
      <c r="L27" s="13" t="str">
        <f aca="false">IF($J27="","",IF($C27="",1,$C27)*IF($Q27&lt;&gt;"",$Q27,IFERROR(INDEX(Products!$D$5:$D$54,MATCH($B27,Products!$A$5:$A$54,0)),0)))</f>
        <v/>
      </c>
      <c r="M27" s="14" t="str">
        <f aca="false">IF($J27="","",$J27-$K27-N($H27)-$L27)</f>
        <v/>
      </c>
      <c r="N27" s="15" t="str">
        <f aca="false">IF($J27="","",IF($J27&gt;0,$M27/$J27,""))</f>
        <v/>
      </c>
      <c r="O27" s="12"/>
      <c r="P27" s="12"/>
      <c r="Q27" s="11"/>
      <c r="R27" s="11"/>
      <c r="S27" s="12"/>
      <c r="T27" s="16" t="str">
        <f aca="false">IF($J27="","",IF($C27="",1,$C27))</f>
        <v/>
      </c>
    </row>
    <row r="28" customFormat="false" ht="15" hidden="false" customHeight="false" outlineLevel="0" collapsed="false">
      <c r="A28" s="7"/>
      <c r="B28" s="8"/>
      <c r="C28" s="9"/>
      <c r="D28" s="10"/>
      <c r="E28" s="11"/>
      <c r="F28" s="11"/>
      <c r="G28" s="8"/>
      <c r="H28" s="11"/>
      <c r="I28" s="12"/>
      <c r="J28" s="13" t="str">
        <f aca="false">IF(OR($A28="",$D28=""),"",IF($C28="",1,$C28)*$D28+N($E28)-N($F28))</f>
        <v/>
      </c>
      <c r="K28" s="13" t="str">
        <f aca="false">IF($J28="","",IF($R28&lt;&gt;"",$R28,IF($G28="",0,MAX(IFERROR(INDEX(Settings!$D$6:$D$15,MATCH($G28,Settings!$A$6:$A$15,0)),0),$J28*IFERROR(INDEX(Settings!$B$6:$B$15,MATCH($G28,Settings!$A$6:$A$15,0)),0)+IFERROR(INDEX(Settings!$C$6:$C$15,MATCH($G28,Settings!$A$6:$A$15,0)),0)))))</f>
        <v/>
      </c>
      <c r="L28" s="13" t="str">
        <f aca="false">IF($J28="","",IF($C28="",1,$C28)*IF($Q28&lt;&gt;"",$Q28,IFERROR(INDEX(Products!$D$5:$D$54,MATCH($B28,Products!$A$5:$A$54,0)),0)))</f>
        <v/>
      </c>
      <c r="M28" s="14" t="str">
        <f aca="false">IF($J28="","",$J28-$K28-N($H28)-$L28)</f>
        <v/>
      </c>
      <c r="N28" s="15" t="str">
        <f aca="false">IF($J28="","",IF($J28&gt;0,$M28/$J28,""))</f>
        <v/>
      </c>
      <c r="O28" s="12"/>
      <c r="P28" s="12"/>
      <c r="Q28" s="11"/>
      <c r="R28" s="11"/>
      <c r="S28" s="12"/>
      <c r="T28" s="16" t="str">
        <f aca="false">IF($J28="","",IF($C28="",1,$C28))</f>
        <v/>
      </c>
    </row>
    <row r="29" customFormat="false" ht="15" hidden="false" customHeight="false" outlineLevel="0" collapsed="false">
      <c r="A29" s="7"/>
      <c r="B29" s="8"/>
      <c r="C29" s="9"/>
      <c r="D29" s="10"/>
      <c r="E29" s="11"/>
      <c r="F29" s="11"/>
      <c r="G29" s="8"/>
      <c r="H29" s="11"/>
      <c r="I29" s="12"/>
      <c r="J29" s="13" t="str">
        <f aca="false">IF(OR($A29="",$D29=""),"",IF($C29="",1,$C29)*$D29+N($E29)-N($F29))</f>
        <v/>
      </c>
      <c r="K29" s="13" t="str">
        <f aca="false">IF($J29="","",IF($R29&lt;&gt;"",$R29,IF($G29="",0,MAX(IFERROR(INDEX(Settings!$D$6:$D$15,MATCH($G29,Settings!$A$6:$A$15,0)),0),$J29*IFERROR(INDEX(Settings!$B$6:$B$15,MATCH($G29,Settings!$A$6:$A$15,0)),0)+IFERROR(INDEX(Settings!$C$6:$C$15,MATCH($G29,Settings!$A$6:$A$15,0)),0)))))</f>
        <v/>
      </c>
      <c r="L29" s="13" t="str">
        <f aca="false">IF($J29="","",IF($C29="",1,$C29)*IF($Q29&lt;&gt;"",$Q29,IFERROR(INDEX(Products!$D$5:$D$54,MATCH($B29,Products!$A$5:$A$54,0)),0)))</f>
        <v/>
      </c>
      <c r="M29" s="14" t="str">
        <f aca="false">IF($J29="","",$J29-$K29-N($H29)-$L29)</f>
        <v/>
      </c>
      <c r="N29" s="15" t="str">
        <f aca="false">IF($J29="","",IF($J29&gt;0,$M29/$J29,""))</f>
        <v/>
      </c>
      <c r="O29" s="12"/>
      <c r="P29" s="12"/>
      <c r="Q29" s="11"/>
      <c r="R29" s="11"/>
      <c r="S29" s="12"/>
      <c r="T29" s="16" t="str">
        <f aca="false">IF($J29="","",IF($C29="",1,$C29))</f>
        <v/>
      </c>
    </row>
    <row r="30" customFormat="false" ht="15" hidden="false" customHeight="false" outlineLevel="0" collapsed="false">
      <c r="A30" s="7"/>
      <c r="B30" s="8"/>
      <c r="C30" s="9"/>
      <c r="D30" s="10"/>
      <c r="E30" s="11"/>
      <c r="F30" s="11"/>
      <c r="G30" s="8"/>
      <c r="H30" s="11"/>
      <c r="I30" s="12"/>
      <c r="J30" s="13" t="str">
        <f aca="false">IF(OR($A30="",$D30=""),"",IF($C30="",1,$C30)*$D30+N($E30)-N($F30))</f>
        <v/>
      </c>
      <c r="K30" s="13" t="str">
        <f aca="false">IF($J30="","",IF($R30&lt;&gt;"",$R30,IF($G30="",0,MAX(IFERROR(INDEX(Settings!$D$6:$D$15,MATCH($G30,Settings!$A$6:$A$15,0)),0),$J30*IFERROR(INDEX(Settings!$B$6:$B$15,MATCH($G30,Settings!$A$6:$A$15,0)),0)+IFERROR(INDEX(Settings!$C$6:$C$15,MATCH($G30,Settings!$A$6:$A$15,0)),0)))))</f>
        <v/>
      </c>
      <c r="L30" s="13" t="str">
        <f aca="false">IF($J30="","",IF($C30="",1,$C30)*IF($Q30&lt;&gt;"",$Q30,IFERROR(INDEX(Products!$D$5:$D$54,MATCH($B30,Products!$A$5:$A$54,0)),0)))</f>
        <v/>
      </c>
      <c r="M30" s="14" t="str">
        <f aca="false">IF($J30="","",$J30-$K30-N($H30)-$L30)</f>
        <v/>
      </c>
      <c r="N30" s="15" t="str">
        <f aca="false">IF($J30="","",IF($J30&gt;0,$M30/$J30,""))</f>
        <v/>
      </c>
      <c r="O30" s="12"/>
      <c r="P30" s="12"/>
      <c r="Q30" s="11"/>
      <c r="R30" s="11"/>
      <c r="S30" s="12"/>
      <c r="T30" s="16" t="str">
        <f aca="false">IF($J30="","",IF($C30="",1,$C30))</f>
        <v/>
      </c>
    </row>
    <row r="31" customFormat="false" ht="15" hidden="false" customHeight="false" outlineLevel="0" collapsed="false">
      <c r="A31" s="7"/>
      <c r="B31" s="8"/>
      <c r="C31" s="9"/>
      <c r="D31" s="10"/>
      <c r="E31" s="11"/>
      <c r="F31" s="11"/>
      <c r="G31" s="8"/>
      <c r="H31" s="11"/>
      <c r="I31" s="12"/>
      <c r="J31" s="13" t="str">
        <f aca="false">IF(OR($A31="",$D31=""),"",IF($C31="",1,$C31)*$D31+N($E31)-N($F31))</f>
        <v/>
      </c>
      <c r="K31" s="13" t="str">
        <f aca="false">IF($J31="","",IF($R31&lt;&gt;"",$R31,IF($G31="",0,MAX(IFERROR(INDEX(Settings!$D$6:$D$15,MATCH($G31,Settings!$A$6:$A$15,0)),0),$J31*IFERROR(INDEX(Settings!$B$6:$B$15,MATCH($G31,Settings!$A$6:$A$15,0)),0)+IFERROR(INDEX(Settings!$C$6:$C$15,MATCH($G31,Settings!$A$6:$A$15,0)),0)))))</f>
        <v/>
      </c>
      <c r="L31" s="13" t="str">
        <f aca="false">IF($J31="","",IF($C31="",1,$C31)*IF($Q31&lt;&gt;"",$Q31,IFERROR(INDEX(Products!$D$5:$D$54,MATCH($B31,Products!$A$5:$A$54,0)),0)))</f>
        <v/>
      </c>
      <c r="M31" s="14" t="str">
        <f aca="false">IF($J31="","",$J31-$K31-N($H31)-$L31)</f>
        <v/>
      </c>
      <c r="N31" s="15" t="str">
        <f aca="false">IF($J31="","",IF($J31&gt;0,$M31/$J31,""))</f>
        <v/>
      </c>
      <c r="O31" s="12"/>
      <c r="P31" s="12"/>
      <c r="Q31" s="11"/>
      <c r="R31" s="11"/>
      <c r="S31" s="12"/>
      <c r="T31" s="16" t="str">
        <f aca="false">IF($J31="","",IF($C31="",1,$C31))</f>
        <v/>
      </c>
    </row>
    <row r="32" customFormat="false" ht="15" hidden="false" customHeight="false" outlineLevel="0" collapsed="false">
      <c r="A32" s="7"/>
      <c r="B32" s="8"/>
      <c r="C32" s="9"/>
      <c r="D32" s="10"/>
      <c r="E32" s="11"/>
      <c r="F32" s="11"/>
      <c r="G32" s="8"/>
      <c r="H32" s="11"/>
      <c r="I32" s="12"/>
      <c r="J32" s="13" t="str">
        <f aca="false">IF(OR($A32="",$D32=""),"",IF($C32="",1,$C32)*$D32+N($E32)-N($F32))</f>
        <v/>
      </c>
      <c r="K32" s="13" t="str">
        <f aca="false">IF($J32="","",IF($R32&lt;&gt;"",$R32,IF($G32="",0,MAX(IFERROR(INDEX(Settings!$D$6:$D$15,MATCH($G32,Settings!$A$6:$A$15,0)),0),$J32*IFERROR(INDEX(Settings!$B$6:$B$15,MATCH($G32,Settings!$A$6:$A$15,0)),0)+IFERROR(INDEX(Settings!$C$6:$C$15,MATCH($G32,Settings!$A$6:$A$15,0)),0)))))</f>
        <v/>
      </c>
      <c r="L32" s="13" t="str">
        <f aca="false">IF($J32="","",IF($C32="",1,$C32)*IF($Q32&lt;&gt;"",$Q32,IFERROR(INDEX(Products!$D$5:$D$54,MATCH($B32,Products!$A$5:$A$54,0)),0)))</f>
        <v/>
      </c>
      <c r="M32" s="14" t="str">
        <f aca="false">IF($J32="","",$J32-$K32-N($H32)-$L32)</f>
        <v/>
      </c>
      <c r="N32" s="15" t="str">
        <f aca="false">IF($J32="","",IF($J32&gt;0,$M32/$J32,""))</f>
        <v/>
      </c>
      <c r="O32" s="12"/>
      <c r="P32" s="12"/>
      <c r="Q32" s="11"/>
      <c r="R32" s="11"/>
      <c r="S32" s="12"/>
      <c r="T32" s="16" t="str">
        <f aca="false">IF($J32="","",IF($C32="",1,$C32))</f>
        <v/>
      </c>
    </row>
    <row r="33" customFormat="false" ht="15" hidden="false" customHeight="false" outlineLevel="0" collapsed="false">
      <c r="A33" s="7"/>
      <c r="B33" s="8"/>
      <c r="C33" s="9"/>
      <c r="D33" s="10"/>
      <c r="E33" s="11"/>
      <c r="F33" s="11"/>
      <c r="G33" s="8"/>
      <c r="H33" s="11"/>
      <c r="I33" s="12"/>
      <c r="J33" s="13" t="str">
        <f aca="false">IF(OR($A33="",$D33=""),"",IF($C33="",1,$C33)*$D33+N($E33)-N($F33))</f>
        <v/>
      </c>
      <c r="K33" s="13" t="str">
        <f aca="false">IF($J33="","",IF($R33&lt;&gt;"",$R33,IF($G33="",0,MAX(IFERROR(INDEX(Settings!$D$6:$D$15,MATCH($G33,Settings!$A$6:$A$15,0)),0),$J33*IFERROR(INDEX(Settings!$B$6:$B$15,MATCH($G33,Settings!$A$6:$A$15,0)),0)+IFERROR(INDEX(Settings!$C$6:$C$15,MATCH($G33,Settings!$A$6:$A$15,0)),0)))))</f>
        <v/>
      </c>
      <c r="L33" s="13" t="str">
        <f aca="false">IF($J33="","",IF($C33="",1,$C33)*IF($Q33&lt;&gt;"",$Q33,IFERROR(INDEX(Products!$D$5:$D$54,MATCH($B33,Products!$A$5:$A$54,0)),0)))</f>
        <v/>
      </c>
      <c r="M33" s="14" t="str">
        <f aca="false">IF($J33="","",$J33-$K33-N($H33)-$L33)</f>
        <v/>
      </c>
      <c r="N33" s="15" t="str">
        <f aca="false">IF($J33="","",IF($J33&gt;0,$M33/$J33,""))</f>
        <v/>
      </c>
      <c r="O33" s="12"/>
      <c r="P33" s="12"/>
      <c r="Q33" s="11"/>
      <c r="R33" s="11"/>
      <c r="S33" s="12"/>
      <c r="T33" s="16" t="str">
        <f aca="false">IF($J33="","",IF($C33="",1,$C33))</f>
        <v/>
      </c>
    </row>
    <row r="34" customFormat="false" ht="15" hidden="false" customHeight="false" outlineLevel="0" collapsed="false">
      <c r="A34" s="7"/>
      <c r="B34" s="8"/>
      <c r="C34" s="9"/>
      <c r="D34" s="10"/>
      <c r="E34" s="11"/>
      <c r="F34" s="11"/>
      <c r="G34" s="8"/>
      <c r="H34" s="11"/>
      <c r="I34" s="12"/>
      <c r="J34" s="13" t="str">
        <f aca="false">IF(OR($A34="",$D34=""),"",IF($C34="",1,$C34)*$D34+N($E34)-N($F34))</f>
        <v/>
      </c>
      <c r="K34" s="13" t="str">
        <f aca="false">IF($J34="","",IF($R34&lt;&gt;"",$R34,IF($G34="",0,MAX(IFERROR(INDEX(Settings!$D$6:$D$15,MATCH($G34,Settings!$A$6:$A$15,0)),0),$J34*IFERROR(INDEX(Settings!$B$6:$B$15,MATCH($G34,Settings!$A$6:$A$15,0)),0)+IFERROR(INDEX(Settings!$C$6:$C$15,MATCH($G34,Settings!$A$6:$A$15,0)),0)))))</f>
        <v/>
      </c>
      <c r="L34" s="13" t="str">
        <f aca="false">IF($J34="","",IF($C34="",1,$C34)*IF($Q34&lt;&gt;"",$Q34,IFERROR(INDEX(Products!$D$5:$D$54,MATCH($B34,Products!$A$5:$A$54,0)),0)))</f>
        <v/>
      </c>
      <c r="M34" s="14" t="str">
        <f aca="false">IF($J34="","",$J34-$K34-N($H34)-$L34)</f>
        <v/>
      </c>
      <c r="N34" s="15" t="str">
        <f aca="false">IF($J34="","",IF($J34&gt;0,$M34/$J34,""))</f>
        <v/>
      </c>
      <c r="O34" s="12"/>
      <c r="P34" s="12"/>
      <c r="Q34" s="11"/>
      <c r="R34" s="11"/>
      <c r="S34" s="12"/>
      <c r="T34" s="16" t="str">
        <f aca="false">IF($J34="","",IF($C34="",1,$C34))</f>
        <v/>
      </c>
    </row>
    <row r="35" customFormat="false" ht="15" hidden="false" customHeight="false" outlineLevel="0" collapsed="false">
      <c r="A35" s="7"/>
      <c r="B35" s="8"/>
      <c r="C35" s="9"/>
      <c r="D35" s="10"/>
      <c r="E35" s="11"/>
      <c r="F35" s="11"/>
      <c r="G35" s="8"/>
      <c r="H35" s="11"/>
      <c r="I35" s="12"/>
      <c r="J35" s="13" t="str">
        <f aca="false">IF(OR($A35="",$D35=""),"",IF($C35="",1,$C35)*$D35+N($E35)-N($F35))</f>
        <v/>
      </c>
      <c r="K35" s="13" t="str">
        <f aca="false">IF($J35="","",IF($R35&lt;&gt;"",$R35,IF($G35="",0,MAX(IFERROR(INDEX(Settings!$D$6:$D$15,MATCH($G35,Settings!$A$6:$A$15,0)),0),$J35*IFERROR(INDEX(Settings!$B$6:$B$15,MATCH($G35,Settings!$A$6:$A$15,0)),0)+IFERROR(INDEX(Settings!$C$6:$C$15,MATCH($G35,Settings!$A$6:$A$15,0)),0)))))</f>
        <v/>
      </c>
      <c r="L35" s="13" t="str">
        <f aca="false">IF($J35="","",IF($C35="",1,$C35)*IF($Q35&lt;&gt;"",$Q35,IFERROR(INDEX(Products!$D$5:$D$54,MATCH($B35,Products!$A$5:$A$54,0)),0)))</f>
        <v/>
      </c>
      <c r="M35" s="14" t="str">
        <f aca="false">IF($J35="","",$J35-$K35-N($H35)-$L35)</f>
        <v/>
      </c>
      <c r="N35" s="15" t="str">
        <f aca="false">IF($J35="","",IF($J35&gt;0,$M35/$J35,""))</f>
        <v/>
      </c>
      <c r="O35" s="12"/>
      <c r="P35" s="12"/>
      <c r="Q35" s="11"/>
      <c r="R35" s="11"/>
      <c r="S35" s="12"/>
      <c r="T35" s="16" t="str">
        <f aca="false">IF($J35="","",IF($C35="",1,$C35))</f>
        <v/>
      </c>
    </row>
    <row r="36" customFormat="false" ht="15" hidden="false" customHeight="false" outlineLevel="0" collapsed="false">
      <c r="A36" s="7"/>
      <c r="B36" s="8"/>
      <c r="C36" s="9"/>
      <c r="D36" s="10"/>
      <c r="E36" s="11"/>
      <c r="F36" s="11"/>
      <c r="G36" s="8"/>
      <c r="H36" s="11"/>
      <c r="I36" s="12"/>
      <c r="J36" s="13" t="str">
        <f aca="false">IF(OR($A36="",$D36=""),"",IF($C36="",1,$C36)*$D36+N($E36)-N($F36))</f>
        <v/>
      </c>
      <c r="K36" s="13" t="str">
        <f aca="false">IF($J36="","",IF($R36&lt;&gt;"",$R36,IF($G36="",0,MAX(IFERROR(INDEX(Settings!$D$6:$D$15,MATCH($G36,Settings!$A$6:$A$15,0)),0),$J36*IFERROR(INDEX(Settings!$B$6:$B$15,MATCH($G36,Settings!$A$6:$A$15,0)),0)+IFERROR(INDEX(Settings!$C$6:$C$15,MATCH($G36,Settings!$A$6:$A$15,0)),0)))))</f>
        <v/>
      </c>
      <c r="L36" s="13" t="str">
        <f aca="false">IF($J36="","",IF($C36="",1,$C36)*IF($Q36&lt;&gt;"",$Q36,IFERROR(INDEX(Products!$D$5:$D$54,MATCH($B36,Products!$A$5:$A$54,0)),0)))</f>
        <v/>
      </c>
      <c r="M36" s="14" t="str">
        <f aca="false">IF($J36="","",$J36-$K36-N($H36)-$L36)</f>
        <v/>
      </c>
      <c r="N36" s="15" t="str">
        <f aca="false">IF($J36="","",IF($J36&gt;0,$M36/$J36,""))</f>
        <v/>
      </c>
      <c r="O36" s="12"/>
      <c r="P36" s="12"/>
      <c r="Q36" s="11"/>
      <c r="R36" s="11"/>
      <c r="S36" s="12"/>
      <c r="T36" s="16" t="str">
        <f aca="false">IF($J36="","",IF($C36="",1,$C36))</f>
        <v/>
      </c>
    </row>
    <row r="37" customFormat="false" ht="15" hidden="false" customHeight="false" outlineLevel="0" collapsed="false">
      <c r="A37" s="7"/>
      <c r="B37" s="8"/>
      <c r="C37" s="9"/>
      <c r="D37" s="10"/>
      <c r="E37" s="11"/>
      <c r="F37" s="11"/>
      <c r="G37" s="8"/>
      <c r="H37" s="11"/>
      <c r="I37" s="12"/>
      <c r="J37" s="13" t="str">
        <f aca="false">IF(OR($A37="",$D37=""),"",IF($C37="",1,$C37)*$D37+N($E37)-N($F37))</f>
        <v/>
      </c>
      <c r="K37" s="13" t="str">
        <f aca="false">IF($J37="","",IF($R37&lt;&gt;"",$R37,IF($G37="",0,MAX(IFERROR(INDEX(Settings!$D$6:$D$15,MATCH($G37,Settings!$A$6:$A$15,0)),0),$J37*IFERROR(INDEX(Settings!$B$6:$B$15,MATCH($G37,Settings!$A$6:$A$15,0)),0)+IFERROR(INDEX(Settings!$C$6:$C$15,MATCH($G37,Settings!$A$6:$A$15,0)),0)))))</f>
        <v/>
      </c>
      <c r="L37" s="13" t="str">
        <f aca="false">IF($J37="","",IF($C37="",1,$C37)*IF($Q37&lt;&gt;"",$Q37,IFERROR(INDEX(Products!$D$5:$D$54,MATCH($B37,Products!$A$5:$A$54,0)),0)))</f>
        <v/>
      </c>
      <c r="M37" s="14" t="str">
        <f aca="false">IF($J37="","",$J37-$K37-N($H37)-$L37)</f>
        <v/>
      </c>
      <c r="N37" s="15" t="str">
        <f aca="false">IF($J37="","",IF($J37&gt;0,$M37/$J37,""))</f>
        <v/>
      </c>
      <c r="O37" s="12"/>
      <c r="P37" s="12"/>
      <c r="Q37" s="11"/>
      <c r="R37" s="11"/>
      <c r="S37" s="12"/>
      <c r="T37" s="16" t="str">
        <f aca="false">IF($J37="","",IF($C37="",1,$C37))</f>
        <v/>
      </c>
    </row>
    <row r="38" customFormat="false" ht="15" hidden="false" customHeight="false" outlineLevel="0" collapsed="false">
      <c r="A38" s="7"/>
      <c r="B38" s="8"/>
      <c r="C38" s="9"/>
      <c r="D38" s="10"/>
      <c r="E38" s="11"/>
      <c r="F38" s="11"/>
      <c r="G38" s="8"/>
      <c r="H38" s="11"/>
      <c r="I38" s="12"/>
      <c r="J38" s="13" t="str">
        <f aca="false">IF(OR($A38="",$D38=""),"",IF($C38="",1,$C38)*$D38+N($E38)-N($F38))</f>
        <v/>
      </c>
      <c r="K38" s="13" t="str">
        <f aca="false">IF($J38="","",IF($R38&lt;&gt;"",$R38,IF($G38="",0,MAX(IFERROR(INDEX(Settings!$D$6:$D$15,MATCH($G38,Settings!$A$6:$A$15,0)),0),$J38*IFERROR(INDEX(Settings!$B$6:$B$15,MATCH($G38,Settings!$A$6:$A$15,0)),0)+IFERROR(INDEX(Settings!$C$6:$C$15,MATCH($G38,Settings!$A$6:$A$15,0)),0)))))</f>
        <v/>
      </c>
      <c r="L38" s="13" t="str">
        <f aca="false">IF($J38="","",IF($C38="",1,$C38)*IF($Q38&lt;&gt;"",$Q38,IFERROR(INDEX(Products!$D$5:$D$54,MATCH($B38,Products!$A$5:$A$54,0)),0)))</f>
        <v/>
      </c>
      <c r="M38" s="14" t="str">
        <f aca="false">IF($J38="","",$J38-$K38-N($H38)-$L38)</f>
        <v/>
      </c>
      <c r="N38" s="15" t="str">
        <f aca="false">IF($J38="","",IF($J38&gt;0,$M38/$J38,""))</f>
        <v/>
      </c>
      <c r="O38" s="12"/>
      <c r="P38" s="12"/>
      <c r="Q38" s="11"/>
      <c r="R38" s="11"/>
      <c r="S38" s="12"/>
      <c r="T38" s="16" t="str">
        <f aca="false">IF($J38="","",IF($C38="",1,$C38))</f>
        <v/>
      </c>
    </row>
    <row r="39" customFormat="false" ht="15" hidden="false" customHeight="false" outlineLevel="0" collapsed="false">
      <c r="A39" s="7"/>
      <c r="B39" s="8"/>
      <c r="C39" s="9"/>
      <c r="D39" s="10"/>
      <c r="E39" s="11"/>
      <c r="F39" s="11"/>
      <c r="G39" s="8"/>
      <c r="H39" s="11"/>
      <c r="I39" s="12"/>
      <c r="J39" s="13" t="str">
        <f aca="false">IF(OR($A39="",$D39=""),"",IF($C39="",1,$C39)*$D39+N($E39)-N($F39))</f>
        <v/>
      </c>
      <c r="K39" s="13" t="str">
        <f aca="false">IF($J39="","",IF($R39&lt;&gt;"",$R39,IF($G39="",0,MAX(IFERROR(INDEX(Settings!$D$6:$D$15,MATCH($G39,Settings!$A$6:$A$15,0)),0),$J39*IFERROR(INDEX(Settings!$B$6:$B$15,MATCH($G39,Settings!$A$6:$A$15,0)),0)+IFERROR(INDEX(Settings!$C$6:$C$15,MATCH($G39,Settings!$A$6:$A$15,0)),0)))))</f>
        <v/>
      </c>
      <c r="L39" s="13" t="str">
        <f aca="false">IF($J39="","",IF($C39="",1,$C39)*IF($Q39&lt;&gt;"",$Q39,IFERROR(INDEX(Products!$D$5:$D$54,MATCH($B39,Products!$A$5:$A$54,0)),0)))</f>
        <v/>
      </c>
      <c r="M39" s="14" t="str">
        <f aca="false">IF($J39="","",$J39-$K39-N($H39)-$L39)</f>
        <v/>
      </c>
      <c r="N39" s="15" t="str">
        <f aca="false">IF($J39="","",IF($J39&gt;0,$M39/$J39,""))</f>
        <v/>
      </c>
      <c r="O39" s="12"/>
      <c r="P39" s="12"/>
      <c r="Q39" s="11"/>
      <c r="R39" s="11"/>
      <c r="S39" s="12"/>
      <c r="T39" s="16" t="str">
        <f aca="false">IF($J39="","",IF($C39="",1,$C39))</f>
        <v/>
      </c>
    </row>
    <row r="40" customFormat="false" ht="15" hidden="false" customHeight="false" outlineLevel="0" collapsed="false">
      <c r="A40" s="7"/>
      <c r="B40" s="8"/>
      <c r="C40" s="9"/>
      <c r="D40" s="10"/>
      <c r="E40" s="11"/>
      <c r="F40" s="11"/>
      <c r="G40" s="8"/>
      <c r="H40" s="11"/>
      <c r="I40" s="12"/>
      <c r="J40" s="13" t="str">
        <f aca="false">IF(OR($A40="",$D40=""),"",IF($C40="",1,$C40)*$D40+N($E40)-N($F40))</f>
        <v/>
      </c>
      <c r="K40" s="13" t="str">
        <f aca="false">IF($J40="","",IF($R40&lt;&gt;"",$R40,IF($G40="",0,MAX(IFERROR(INDEX(Settings!$D$6:$D$15,MATCH($G40,Settings!$A$6:$A$15,0)),0),$J40*IFERROR(INDEX(Settings!$B$6:$B$15,MATCH($G40,Settings!$A$6:$A$15,0)),0)+IFERROR(INDEX(Settings!$C$6:$C$15,MATCH($G40,Settings!$A$6:$A$15,0)),0)))))</f>
        <v/>
      </c>
      <c r="L40" s="13" t="str">
        <f aca="false">IF($J40="","",IF($C40="",1,$C40)*IF($Q40&lt;&gt;"",$Q40,IFERROR(INDEX(Products!$D$5:$D$54,MATCH($B40,Products!$A$5:$A$54,0)),0)))</f>
        <v/>
      </c>
      <c r="M40" s="14" t="str">
        <f aca="false">IF($J40="","",$J40-$K40-N($H40)-$L40)</f>
        <v/>
      </c>
      <c r="N40" s="15" t="str">
        <f aca="false">IF($J40="","",IF($J40&gt;0,$M40/$J40,""))</f>
        <v/>
      </c>
      <c r="O40" s="12"/>
      <c r="P40" s="12"/>
      <c r="Q40" s="11"/>
      <c r="R40" s="11"/>
      <c r="S40" s="12"/>
      <c r="T40" s="16" t="str">
        <f aca="false">IF($J40="","",IF($C40="",1,$C40))</f>
        <v/>
      </c>
    </row>
    <row r="41" customFormat="false" ht="15" hidden="false" customHeight="false" outlineLevel="0" collapsed="false">
      <c r="A41" s="7"/>
      <c r="B41" s="8"/>
      <c r="C41" s="9"/>
      <c r="D41" s="10"/>
      <c r="E41" s="11"/>
      <c r="F41" s="11"/>
      <c r="G41" s="8"/>
      <c r="H41" s="11"/>
      <c r="I41" s="12"/>
      <c r="J41" s="13" t="str">
        <f aca="false">IF(OR($A41="",$D41=""),"",IF($C41="",1,$C41)*$D41+N($E41)-N($F41))</f>
        <v/>
      </c>
      <c r="K41" s="13" t="str">
        <f aca="false">IF($J41="","",IF($R41&lt;&gt;"",$R41,IF($G41="",0,MAX(IFERROR(INDEX(Settings!$D$6:$D$15,MATCH($G41,Settings!$A$6:$A$15,0)),0),$J41*IFERROR(INDEX(Settings!$B$6:$B$15,MATCH($G41,Settings!$A$6:$A$15,0)),0)+IFERROR(INDEX(Settings!$C$6:$C$15,MATCH($G41,Settings!$A$6:$A$15,0)),0)))))</f>
        <v/>
      </c>
      <c r="L41" s="13" t="str">
        <f aca="false">IF($J41="","",IF($C41="",1,$C41)*IF($Q41&lt;&gt;"",$Q41,IFERROR(INDEX(Products!$D$5:$D$54,MATCH($B41,Products!$A$5:$A$54,0)),0)))</f>
        <v/>
      </c>
      <c r="M41" s="14" t="str">
        <f aca="false">IF($J41="","",$J41-$K41-N($H41)-$L41)</f>
        <v/>
      </c>
      <c r="N41" s="15" t="str">
        <f aca="false">IF($J41="","",IF($J41&gt;0,$M41/$J41,""))</f>
        <v/>
      </c>
      <c r="O41" s="12"/>
      <c r="P41" s="12"/>
      <c r="Q41" s="11"/>
      <c r="R41" s="11"/>
      <c r="S41" s="12"/>
      <c r="T41" s="16" t="str">
        <f aca="false">IF($J41="","",IF($C41="",1,$C41))</f>
        <v/>
      </c>
    </row>
    <row r="42" customFormat="false" ht="15" hidden="false" customHeight="false" outlineLevel="0" collapsed="false">
      <c r="A42" s="7"/>
      <c r="B42" s="8"/>
      <c r="C42" s="9"/>
      <c r="D42" s="10"/>
      <c r="E42" s="11"/>
      <c r="F42" s="11"/>
      <c r="G42" s="8"/>
      <c r="H42" s="11"/>
      <c r="I42" s="12"/>
      <c r="J42" s="13" t="str">
        <f aca="false">IF(OR($A42="",$D42=""),"",IF($C42="",1,$C42)*$D42+N($E42)-N($F42))</f>
        <v/>
      </c>
      <c r="K42" s="13" t="str">
        <f aca="false">IF($J42="","",IF($R42&lt;&gt;"",$R42,IF($G42="",0,MAX(IFERROR(INDEX(Settings!$D$6:$D$15,MATCH($G42,Settings!$A$6:$A$15,0)),0),$J42*IFERROR(INDEX(Settings!$B$6:$B$15,MATCH($G42,Settings!$A$6:$A$15,0)),0)+IFERROR(INDEX(Settings!$C$6:$C$15,MATCH($G42,Settings!$A$6:$A$15,0)),0)))))</f>
        <v/>
      </c>
      <c r="L42" s="13" t="str">
        <f aca="false">IF($J42="","",IF($C42="",1,$C42)*IF($Q42&lt;&gt;"",$Q42,IFERROR(INDEX(Products!$D$5:$D$54,MATCH($B42,Products!$A$5:$A$54,0)),0)))</f>
        <v/>
      </c>
      <c r="M42" s="14" t="str">
        <f aca="false">IF($J42="","",$J42-$K42-N($H42)-$L42)</f>
        <v/>
      </c>
      <c r="N42" s="15" t="str">
        <f aca="false">IF($J42="","",IF($J42&gt;0,$M42/$J42,""))</f>
        <v/>
      </c>
      <c r="O42" s="12"/>
      <c r="P42" s="12"/>
      <c r="Q42" s="11"/>
      <c r="R42" s="11"/>
      <c r="S42" s="12"/>
      <c r="T42" s="16" t="str">
        <f aca="false">IF($J42="","",IF($C42="",1,$C42))</f>
        <v/>
      </c>
    </row>
    <row r="43" customFormat="false" ht="15" hidden="false" customHeight="false" outlineLevel="0" collapsed="false">
      <c r="A43" s="7"/>
      <c r="B43" s="8"/>
      <c r="C43" s="9"/>
      <c r="D43" s="10"/>
      <c r="E43" s="11"/>
      <c r="F43" s="11"/>
      <c r="G43" s="8"/>
      <c r="H43" s="11"/>
      <c r="I43" s="12"/>
      <c r="J43" s="13" t="str">
        <f aca="false">IF(OR($A43="",$D43=""),"",IF($C43="",1,$C43)*$D43+N($E43)-N($F43))</f>
        <v/>
      </c>
      <c r="K43" s="13" t="str">
        <f aca="false">IF($J43="","",IF($R43&lt;&gt;"",$R43,IF($G43="",0,MAX(IFERROR(INDEX(Settings!$D$6:$D$15,MATCH($G43,Settings!$A$6:$A$15,0)),0),$J43*IFERROR(INDEX(Settings!$B$6:$B$15,MATCH($G43,Settings!$A$6:$A$15,0)),0)+IFERROR(INDEX(Settings!$C$6:$C$15,MATCH($G43,Settings!$A$6:$A$15,0)),0)))))</f>
        <v/>
      </c>
      <c r="L43" s="13" t="str">
        <f aca="false">IF($J43="","",IF($C43="",1,$C43)*IF($Q43&lt;&gt;"",$Q43,IFERROR(INDEX(Products!$D$5:$D$54,MATCH($B43,Products!$A$5:$A$54,0)),0)))</f>
        <v/>
      </c>
      <c r="M43" s="14" t="str">
        <f aca="false">IF($J43="","",$J43-$K43-N($H43)-$L43)</f>
        <v/>
      </c>
      <c r="N43" s="15" t="str">
        <f aca="false">IF($J43="","",IF($J43&gt;0,$M43/$J43,""))</f>
        <v/>
      </c>
      <c r="O43" s="12"/>
      <c r="P43" s="12"/>
      <c r="Q43" s="11"/>
      <c r="R43" s="11"/>
      <c r="S43" s="12"/>
      <c r="T43" s="16" t="str">
        <f aca="false">IF($J43="","",IF($C43="",1,$C43))</f>
        <v/>
      </c>
    </row>
    <row r="44" customFormat="false" ht="15" hidden="false" customHeight="false" outlineLevel="0" collapsed="false">
      <c r="A44" s="7"/>
      <c r="B44" s="8"/>
      <c r="C44" s="9"/>
      <c r="D44" s="10"/>
      <c r="E44" s="11"/>
      <c r="F44" s="11"/>
      <c r="G44" s="8"/>
      <c r="H44" s="11"/>
      <c r="I44" s="12"/>
      <c r="J44" s="13" t="str">
        <f aca="false">IF(OR($A44="",$D44=""),"",IF($C44="",1,$C44)*$D44+N($E44)-N($F44))</f>
        <v/>
      </c>
      <c r="K44" s="13" t="str">
        <f aca="false">IF($J44="","",IF($R44&lt;&gt;"",$R44,IF($G44="",0,MAX(IFERROR(INDEX(Settings!$D$6:$D$15,MATCH($G44,Settings!$A$6:$A$15,0)),0),$J44*IFERROR(INDEX(Settings!$B$6:$B$15,MATCH($G44,Settings!$A$6:$A$15,0)),0)+IFERROR(INDEX(Settings!$C$6:$C$15,MATCH($G44,Settings!$A$6:$A$15,0)),0)))))</f>
        <v/>
      </c>
      <c r="L44" s="13" t="str">
        <f aca="false">IF($J44="","",IF($C44="",1,$C44)*IF($Q44&lt;&gt;"",$Q44,IFERROR(INDEX(Products!$D$5:$D$54,MATCH($B44,Products!$A$5:$A$54,0)),0)))</f>
        <v/>
      </c>
      <c r="M44" s="14" t="str">
        <f aca="false">IF($J44="","",$J44-$K44-N($H44)-$L44)</f>
        <v/>
      </c>
      <c r="N44" s="15" t="str">
        <f aca="false">IF($J44="","",IF($J44&gt;0,$M44/$J44,""))</f>
        <v/>
      </c>
      <c r="O44" s="12"/>
      <c r="P44" s="12"/>
      <c r="Q44" s="11"/>
      <c r="R44" s="11"/>
      <c r="S44" s="12"/>
      <c r="T44" s="16" t="str">
        <f aca="false">IF($J44="","",IF($C44="",1,$C44))</f>
        <v/>
      </c>
    </row>
    <row r="45" customFormat="false" ht="15" hidden="false" customHeight="false" outlineLevel="0" collapsed="false">
      <c r="A45" s="7"/>
      <c r="B45" s="8"/>
      <c r="C45" s="9"/>
      <c r="D45" s="10"/>
      <c r="E45" s="11"/>
      <c r="F45" s="11"/>
      <c r="G45" s="8"/>
      <c r="H45" s="11"/>
      <c r="I45" s="12"/>
      <c r="J45" s="13" t="str">
        <f aca="false">IF(OR($A45="",$D45=""),"",IF($C45="",1,$C45)*$D45+N($E45)-N($F45))</f>
        <v/>
      </c>
      <c r="K45" s="13" t="str">
        <f aca="false">IF($J45="","",IF($R45&lt;&gt;"",$R45,IF($G45="",0,MAX(IFERROR(INDEX(Settings!$D$6:$D$15,MATCH($G45,Settings!$A$6:$A$15,0)),0),$J45*IFERROR(INDEX(Settings!$B$6:$B$15,MATCH($G45,Settings!$A$6:$A$15,0)),0)+IFERROR(INDEX(Settings!$C$6:$C$15,MATCH($G45,Settings!$A$6:$A$15,0)),0)))))</f>
        <v/>
      </c>
      <c r="L45" s="13" t="str">
        <f aca="false">IF($J45="","",IF($C45="",1,$C45)*IF($Q45&lt;&gt;"",$Q45,IFERROR(INDEX(Products!$D$5:$D$54,MATCH($B45,Products!$A$5:$A$54,0)),0)))</f>
        <v/>
      </c>
      <c r="M45" s="14" t="str">
        <f aca="false">IF($J45="","",$J45-$K45-N($H45)-$L45)</f>
        <v/>
      </c>
      <c r="N45" s="15" t="str">
        <f aca="false">IF($J45="","",IF($J45&gt;0,$M45/$J45,""))</f>
        <v/>
      </c>
      <c r="O45" s="12"/>
      <c r="P45" s="12"/>
      <c r="Q45" s="11"/>
      <c r="R45" s="11"/>
      <c r="S45" s="12"/>
      <c r="T45" s="16" t="str">
        <f aca="false">IF($J45="","",IF($C45="",1,$C45))</f>
        <v/>
      </c>
    </row>
    <row r="46" customFormat="false" ht="15" hidden="false" customHeight="false" outlineLevel="0" collapsed="false">
      <c r="A46" s="7"/>
      <c r="B46" s="8"/>
      <c r="C46" s="9"/>
      <c r="D46" s="10"/>
      <c r="E46" s="11"/>
      <c r="F46" s="11"/>
      <c r="G46" s="8"/>
      <c r="H46" s="11"/>
      <c r="I46" s="12"/>
      <c r="J46" s="13" t="str">
        <f aca="false">IF(OR($A46="",$D46=""),"",IF($C46="",1,$C46)*$D46+N($E46)-N($F46))</f>
        <v/>
      </c>
      <c r="K46" s="13" t="str">
        <f aca="false">IF($J46="","",IF($R46&lt;&gt;"",$R46,IF($G46="",0,MAX(IFERROR(INDEX(Settings!$D$6:$D$15,MATCH($G46,Settings!$A$6:$A$15,0)),0),$J46*IFERROR(INDEX(Settings!$B$6:$B$15,MATCH($G46,Settings!$A$6:$A$15,0)),0)+IFERROR(INDEX(Settings!$C$6:$C$15,MATCH($G46,Settings!$A$6:$A$15,0)),0)))))</f>
        <v/>
      </c>
      <c r="L46" s="13" t="str">
        <f aca="false">IF($J46="","",IF($C46="",1,$C46)*IF($Q46&lt;&gt;"",$Q46,IFERROR(INDEX(Products!$D$5:$D$54,MATCH($B46,Products!$A$5:$A$54,0)),0)))</f>
        <v/>
      </c>
      <c r="M46" s="14" t="str">
        <f aca="false">IF($J46="","",$J46-$K46-N($H46)-$L46)</f>
        <v/>
      </c>
      <c r="N46" s="15" t="str">
        <f aca="false">IF($J46="","",IF($J46&gt;0,$M46/$J46,""))</f>
        <v/>
      </c>
      <c r="O46" s="12"/>
      <c r="P46" s="12"/>
      <c r="Q46" s="11"/>
      <c r="R46" s="11"/>
      <c r="S46" s="12"/>
      <c r="T46" s="16" t="str">
        <f aca="false">IF($J46="","",IF($C46="",1,$C46))</f>
        <v/>
      </c>
    </row>
    <row r="47" customFormat="false" ht="15" hidden="false" customHeight="false" outlineLevel="0" collapsed="false">
      <c r="A47" s="7"/>
      <c r="B47" s="8"/>
      <c r="C47" s="9"/>
      <c r="D47" s="10"/>
      <c r="E47" s="11"/>
      <c r="F47" s="11"/>
      <c r="G47" s="8"/>
      <c r="H47" s="11"/>
      <c r="I47" s="12"/>
      <c r="J47" s="13" t="str">
        <f aca="false">IF(OR($A47="",$D47=""),"",IF($C47="",1,$C47)*$D47+N($E47)-N($F47))</f>
        <v/>
      </c>
      <c r="K47" s="13" t="str">
        <f aca="false">IF($J47="","",IF($R47&lt;&gt;"",$R47,IF($G47="",0,MAX(IFERROR(INDEX(Settings!$D$6:$D$15,MATCH($G47,Settings!$A$6:$A$15,0)),0),$J47*IFERROR(INDEX(Settings!$B$6:$B$15,MATCH($G47,Settings!$A$6:$A$15,0)),0)+IFERROR(INDEX(Settings!$C$6:$C$15,MATCH($G47,Settings!$A$6:$A$15,0)),0)))))</f>
        <v/>
      </c>
      <c r="L47" s="13" t="str">
        <f aca="false">IF($J47="","",IF($C47="",1,$C47)*IF($Q47&lt;&gt;"",$Q47,IFERROR(INDEX(Products!$D$5:$D$54,MATCH($B47,Products!$A$5:$A$54,0)),0)))</f>
        <v/>
      </c>
      <c r="M47" s="14" t="str">
        <f aca="false">IF($J47="","",$J47-$K47-N($H47)-$L47)</f>
        <v/>
      </c>
      <c r="N47" s="15" t="str">
        <f aca="false">IF($J47="","",IF($J47&gt;0,$M47/$J47,""))</f>
        <v/>
      </c>
      <c r="O47" s="12"/>
      <c r="P47" s="12"/>
      <c r="Q47" s="11"/>
      <c r="R47" s="11"/>
      <c r="S47" s="12"/>
      <c r="T47" s="16" t="str">
        <f aca="false">IF($J47="","",IF($C47="",1,$C47))</f>
        <v/>
      </c>
    </row>
    <row r="48" customFormat="false" ht="15" hidden="false" customHeight="false" outlineLevel="0" collapsed="false">
      <c r="A48" s="7"/>
      <c r="B48" s="8"/>
      <c r="C48" s="9"/>
      <c r="D48" s="10"/>
      <c r="E48" s="11"/>
      <c r="F48" s="11"/>
      <c r="G48" s="8"/>
      <c r="H48" s="11"/>
      <c r="I48" s="12"/>
      <c r="J48" s="13" t="str">
        <f aca="false">IF(OR($A48="",$D48=""),"",IF($C48="",1,$C48)*$D48+N($E48)-N($F48))</f>
        <v/>
      </c>
      <c r="K48" s="13" t="str">
        <f aca="false">IF($J48="","",IF($R48&lt;&gt;"",$R48,IF($G48="",0,MAX(IFERROR(INDEX(Settings!$D$6:$D$15,MATCH($G48,Settings!$A$6:$A$15,0)),0),$J48*IFERROR(INDEX(Settings!$B$6:$B$15,MATCH($G48,Settings!$A$6:$A$15,0)),0)+IFERROR(INDEX(Settings!$C$6:$C$15,MATCH($G48,Settings!$A$6:$A$15,0)),0)))))</f>
        <v/>
      </c>
      <c r="L48" s="13" t="str">
        <f aca="false">IF($J48="","",IF($C48="",1,$C48)*IF($Q48&lt;&gt;"",$Q48,IFERROR(INDEX(Products!$D$5:$D$54,MATCH($B48,Products!$A$5:$A$54,0)),0)))</f>
        <v/>
      </c>
      <c r="M48" s="14" t="str">
        <f aca="false">IF($J48="","",$J48-$K48-N($H48)-$L48)</f>
        <v/>
      </c>
      <c r="N48" s="15" t="str">
        <f aca="false">IF($J48="","",IF($J48&gt;0,$M48/$J48,""))</f>
        <v/>
      </c>
      <c r="O48" s="12"/>
      <c r="P48" s="12"/>
      <c r="Q48" s="11"/>
      <c r="R48" s="11"/>
      <c r="S48" s="12"/>
      <c r="T48" s="16" t="str">
        <f aca="false">IF($J48="","",IF($C48="",1,$C48))</f>
        <v/>
      </c>
    </row>
    <row r="49" customFormat="false" ht="15" hidden="false" customHeight="false" outlineLevel="0" collapsed="false">
      <c r="A49" s="7"/>
      <c r="B49" s="8"/>
      <c r="C49" s="9"/>
      <c r="D49" s="10"/>
      <c r="E49" s="11"/>
      <c r="F49" s="11"/>
      <c r="G49" s="8"/>
      <c r="H49" s="11"/>
      <c r="I49" s="12"/>
      <c r="J49" s="13" t="str">
        <f aca="false">IF(OR($A49="",$D49=""),"",IF($C49="",1,$C49)*$D49+N($E49)-N($F49))</f>
        <v/>
      </c>
      <c r="K49" s="13" t="str">
        <f aca="false">IF($J49="","",IF($R49&lt;&gt;"",$R49,IF($G49="",0,MAX(IFERROR(INDEX(Settings!$D$6:$D$15,MATCH($G49,Settings!$A$6:$A$15,0)),0),$J49*IFERROR(INDEX(Settings!$B$6:$B$15,MATCH($G49,Settings!$A$6:$A$15,0)),0)+IFERROR(INDEX(Settings!$C$6:$C$15,MATCH($G49,Settings!$A$6:$A$15,0)),0)))))</f>
        <v/>
      </c>
      <c r="L49" s="13" t="str">
        <f aca="false">IF($J49="","",IF($C49="",1,$C49)*IF($Q49&lt;&gt;"",$Q49,IFERROR(INDEX(Products!$D$5:$D$54,MATCH($B49,Products!$A$5:$A$54,0)),0)))</f>
        <v/>
      </c>
      <c r="M49" s="14" t="str">
        <f aca="false">IF($J49="","",$J49-$K49-N($H49)-$L49)</f>
        <v/>
      </c>
      <c r="N49" s="15" t="str">
        <f aca="false">IF($J49="","",IF($J49&gt;0,$M49/$J49,""))</f>
        <v/>
      </c>
      <c r="O49" s="12"/>
      <c r="P49" s="12"/>
      <c r="Q49" s="11"/>
      <c r="R49" s="11"/>
      <c r="S49" s="12"/>
      <c r="T49" s="16" t="str">
        <f aca="false">IF($J49="","",IF($C49="",1,$C49))</f>
        <v/>
      </c>
    </row>
    <row r="50" customFormat="false" ht="15" hidden="false" customHeight="false" outlineLevel="0" collapsed="false">
      <c r="A50" s="7"/>
      <c r="B50" s="8"/>
      <c r="C50" s="9"/>
      <c r="D50" s="10"/>
      <c r="E50" s="11"/>
      <c r="F50" s="11"/>
      <c r="G50" s="8"/>
      <c r="H50" s="11"/>
      <c r="I50" s="12"/>
      <c r="J50" s="13" t="str">
        <f aca="false">IF(OR($A50="",$D50=""),"",IF($C50="",1,$C50)*$D50+N($E50)-N($F50))</f>
        <v/>
      </c>
      <c r="K50" s="13" t="str">
        <f aca="false">IF($J50="","",IF($R50&lt;&gt;"",$R50,IF($G50="",0,MAX(IFERROR(INDEX(Settings!$D$6:$D$15,MATCH($G50,Settings!$A$6:$A$15,0)),0),$J50*IFERROR(INDEX(Settings!$B$6:$B$15,MATCH($G50,Settings!$A$6:$A$15,0)),0)+IFERROR(INDEX(Settings!$C$6:$C$15,MATCH($G50,Settings!$A$6:$A$15,0)),0)))))</f>
        <v/>
      </c>
      <c r="L50" s="13" t="str">
        <f aca="false">IF($J50="","",IF($C50="",1,$C50)*IF($Q50&lt;&gt;"",$Q50,IFERROR(INDEX(Products!$D$5:$D$54,MATCH($B50,Products!$A$5:$A$54,0)),0)))</f>
        <v/>
      </c>
      <c r="M50" s="14" t="str">
        <f aca="false">IF($J50="","",$J50-$K50-N($H50)-$L50)</f>
        <v/>
      </c>
      <c r="N50" s="15" t="str">
        <f aca="false">IF($J50="","",IF($J50&gt;0,$M50/$J50,""))</f>
        <v/>
      </c>
      <c r="O50" s="12"/>
      <c r="P50" s="12"/>
      <c r="Q50" s="11"/>
      <c r="R50" s="11"/>
      <c r="S50" s="12"/>
      <c r="T50" s="16" t="str">
        <f aca="false">IF($J50="","",IF($C50="",1,$C50))</f>
        <v/>
      </c>
    </row>
    <row r="51" customFormat="false" ht="15" hidden="false" customHeight="false" outlineLevel="0" collapsed="false">
      <c r="A51" s="7"/>
      <c r="B51" s="8"/>
      <c r="C51" s="9"/>
      <c r="D51" s="10"/>
      <c r="E51" s="11"/>
      <c r="F51" s="11"/>
      <c r="G51" s="8"/>
      <c r="H51" s="11"/>
      <c r="I51" s="12"/>
      <c r="J51" s="13" t="str">
        <f aca="false">IF(OR($A51="",$D51=""),"",IF($C51="",1,$C51)*$D51+N($E51)-N($F51))</f>
        <v/>
      </c>
      <c r="K51" s="13" t="str">
        <f aca="false">IF($J51="","",IF($R51&lt;&gt;"",$R51,IF($G51="",0,MAX(IFERROR(INDEX(Settings!$D$6:$D$15,MATCH($G51,Settings!$A$6:$A$15,0)),0),$J51*IFERROR(INDEX(Settings!$B$6:$B$15,MATCH($G51,Settings!$A$6:$A$15,0)),0)+IFERROR(INDEX(Settings!$C$6:$C$15,MATCH($G51,Settings!$A$6:$A$15,0)),0)))))</f>
        <v/>
      </c>
      <c r="L51" s="13" t="str">
        <f aca="false">IF($J51="","",IF($C51="",1,$C51)*IF($Q51&lt;&gt;"",$Q51,IFERROR(INDEX(Products!$D$5:$D$54,MATCH($B51,Products!$A$5:$A$54,0)),0)))</f>
        <v/>
      </c>
      <c r="M51" s="14" t="str">
        <f aca="false">IF($J51="","",$J51-$K51-N($H51)-$L51)</f>
        <v/>
      </c>
      <c r="N51" s="15" t="str">
        <f aca="false">IF($J51="","",IF($J51&gt;0,$M51/$J51,""))</f>
        <v/>
      </c>
      <c r="O51" s="12"/>
      <c r="P51" s="12"/>
      <c r="Q51" s="11"/>
      <c r="R51" s="11"/>
      <c r="S51" s="12"/>
      <c r="T51" s="16" t="str">
        <f aca="false">IF($J51="","",IF($C51="",1,$C51))</f>
        <v/>
      </c>
    </row>
    <row r="52" customFormat="false" ht="15" hidden="false" customHeight="false" outlineLevel="0" collapsed="false">
      <c r="A52" s="7"/>
      <c r="B52" s="8"/>
      <c r="C52" s="9"/>
      <c r="D52" s="10"/>
      <c r="E52" s="11"/>
      <c r="F52" s="11"/>
      <c r="G52" s="8"/>
      <c r="H52" s="11"/>
      <c r="I52" s="12"/>
      <c r="J52" s="13" t="str">
        <f aca="false">IF(OR($A52="",$D52=""),"",IF($C52="",1,$C52)*$D52+N($E52)-N($F52))</f>
        <v/>
      </c>
      <c r="K52" s="13" t="str">
        <f aca="false">IF($J52="","",IF($R52&lt;&gt;"",$R52,IF($G52="",0,MAX(IFERROR(INDEX(Settings!$D$6:$D$15,MATCH($G52,Settings!$A$6:$A$15,0)),0),$J52*IFERROR(INDEX(Settings!$B$6:$B$15,MATCH($G52,Settings!$A$6:$A$15,0)),0)+IFERROR(INDEX(Settings!$C$6:$C$15,MATCH($G52,Settings!$A$6:$A$15,0)),0)))))</f>
        <v/>
      </c>
      <c r="L52" s="13" t="str">
        <f aca="false">IF($J52="","",IF($C52="",1,$C52)*IF($Q52&lt;&gt;"",$Q52,IFERROR(INDEX(Products!$D$5:$D$54,MATCH($B52,Products!$A$5:$A$54,0)),0)))</f>
        <v/>
      </c>
      <c r="M52" s="14" t="str">
        <f aca="false">IF($J52="","",$J52-$K52-N($H52)-$L52)</f>
        <v/>
      </c>
      <c r="N52" s="15" t="str">
        <f aca="false">IF($J52="","",IF($J52&gt;0,$M52/$J52,""))</f>
        <v/>
      </c>
      <c r="O52" s="12"/>
      <c r="P52" s="12"/>
      <c r="Q52" s="11"/>
      <c r="R52" s="11"/>
      <c r="S52" s="12"/>
      <c r="T52" s="16" t="str">
        <f aca="false">IF($J52="","",IF($C52="",1,$C52))</f>
        <v/>
      </c>
    </row>
    <row r="53" customFormat="false" ht="15" hidden="false" customHeight="false" outlineLevel="0" collapsed="false">
      <c r="A53" s="7"/>
      <c r="B53" s="8"/>
      <c r="C53" s="9"/>
      <c r="D53" s="10"/>
      <c r="E53" s="11"/>
      <c r="F53" s="11"/>
      <c r="G53" s="8"/>
      <c r="H53" s="11"/>
      <c r="I53" s="12"/>
      <c r="J53" s="13" t="str">
        <f aca="false">IF(OR($A53="",$D53=""),"",IF($C53="",1,$C53)*$D53+N($E53)-N($F53))</f>
        <v/>
      </c>
      <c r="K53" s="13" t="str">
        <f aca="false">IF($J53="","",IF($R53&lt;&gt;"",$R53,IF($G53="",0,MAX(IFERROR(INDEX(Settings!$D$6:$D$15,MATCH($G53,Settings!$A$6:$A$15,0)),0),$J53*IFERROR(INDEX(Settings!$B$6:$B$15,MATCH($G53,Settings!$A$6:$A$15,0)),0)+IFERROR(INDEX(Settings!$C$6:$C$15,MATCH($G53,Settings!$A$6:$A$15,0)),0)))))</f>
        <v/>
      </c>
      <c r="L53" s="13" t="str">
        <f aca="false">IF($J53="","",IF($C53="",1,$C53)*IF($Q53&lt;&gt;"",$Q53,IFERROR(INDEX(Products!$D$5:$D$54,MATCH($B53,Products!$A$5:$A$54,0)),0)))</f>
        <v/>
      </c>
      <c r="M53" s="14" t="str">
        <f aca="false">IF($J53="","",$J53-$K53-N($H53)-$L53)</f>
        <v/>
      </c>
      <c r="N53" s="15" t="str">
        <f aca="false">IF($J53="","",IF($J53&gt;0,$M53/$J53,""))</f>
        <v/>
      </c>
      <c r="O53" s="12"/>
      <c r="P53" s="12"/>
      <c r="Q53" s="11"/>
      <c r="R53" s="11"/>
      <c r="S53" s="12"/>
      <c r="T53" s="16" t="str">
        <f aca="false">IF($J53="","",IF($C53="",1,$C53))</f>
        <v/>
      </c>
    </row>
    <row r="54" customFormat="false" ht="15" hidden="false" customHeight="false" outlineLevel="0" collapsed="false">
      <c r="A54" s="7"/>
      <c r="B54" s="8"/>
      <c r="C54" s="9"/>
      <c r="D54" s="10"/>
      <c r="E54" s="11"/>
      <c r="F54" s="11"/>
      <c r="G54" s="8"/>
      <c r="H54" s="11"/>
      <c r="I54" s="12"/>
      <c r="J54" s="13" t="str">
        <f aca="false">IF(OR($A54="",$D54=""),"",IF($C54="",1,$C54)*$D54+N($E54)-N($F54))</f>
        <v/>
      </c>
      <c r="K54" s="13" t="str">
        <f aca="false">IF($J54="","",IF($R54&lt;&gt;"",$R54,IF($G54="",0,MAX(IFERROR(INDEX(Settings!$D$6:$D$15,MATCH($G54,Settings!$A$6:$A$15,0)),0),$J54*IFERROR(INDEX(Settings!$B$6:$B$15,MATCH($G54,Settings!$A$6:$A$15,0)),0)+IFERROR(INDEX(Settings!$C$6:$C$15,MATCH($G54,Settings!$A$6:$A$15,0)),0)))))</f>
        <v/>
      </c>
      <c r="L54" s="13" t="str">
        <f aca="false">IF($J54="","",IF($C54="",1,$C54)*IF($Q54&lt;&gt;"",$Q54,IFERROR(INDEX(Products!$D$5:$D$54,MATCH($B54,Products!$A$5:$A$54,0)),0)))</f>
        <v/>
      </c>
      <c r="M54" s="14" t="str">
        <f aca="false">IF($J54="","",$J54-$K54-N($H54)-$L54)</f>
        <v/>
      </c>
      <c r="N54" s="15" t="str">
        <f aca="false">IF($J54="","",IF($J54&gt;0,$M54/$J54,""))</f>
        <v/>
      </c>
      <c r="O54" s="12"/>
      <c r="P54" s="12"/>
      <c r="Q54" s="11"/>
      <c r="R54" s="11"/>
      <c r="S54" s="12"/>
      <c r="T54" s="16" t="str">
        <f aca="false">IF($J54="","",IF($C54="",1,$C54))</f>
        <v/>
      </c>
    </row>
    <row r="55" customFormat="false" ht="15" hidden="false" customHeight="false" outlineLevel="0" collapsed="false">
      <c r="A55" s="7"/>
      <c r="B55" s="8"/>
      <c r="C55" s="9"/>
      <c r="D55" s="10"/>
      <c r="E55" s="11"/>
      <c r="F55" s="11"/>
      <c r="G55" s="8"/>
      <c r="H55" s="11"/>
      <c r="I55" s="12"/>
      <c r="J55" s="13" t="str">
        <f aca="false">IF(OR($A55="",$D55=""),"",IF($C55="",1,$C55)*$D55+N($E55)-N($F55))</f>
        <v/>
      </c>
      <c r="K55" s="13" t="str">
        <f aca="false">IF($J55="","",IF($R55&lt;&gt;"",$R55,IF($G55="",0,MAX(IFERROR(INDEX(Settings!$D$6:$D$15,MATCH($G55,Settings!$A$6:$A$15,0)),0),$J55*IFERROR(INDEX(Settings!$B$6:$B$15,MATCH($G55,Settings!$A$6:$A$15,0)),0)+IFERROR(INDEX(Settings!$C$6:$C$15,MATCH($G55,Settings!$A$6:$A$15,0)),0)))))</f>
        <v/>
      </c>
      <c r="L55" s="13" t="str">
        <f aca="false">IF($J55="","",IF($C55="",1,$C55)*IF($Q55&lt;&gt;"",$Q55,IFERROR(INDEX(Products!$D$5:$D$54,MATCH($B55,Products!$A$5:$A$54,0)),0)))</f>
        <v/>
      </c>
      <c r="M55" s="14" t="str">
        <f aca="false">IF($J55="","",$J55-$K55-N($H55)-$L55)</f>
        <v/>
      </c>
      <c r="N55" s="15" t="str">
        <f aca="false">IF($J55="","",IF($J55&gt;0,$M55/$J55,""))</f>
        <v/>
      </c>
      <c r="O55" s="12"/>
      <c r="P55" s="12"/>
      <c r="Q55" s="11"/>
      <c r="R55" s="11"/>
      <c r="S55" s="12"/>
      <c r="T55" s="16" t="str">
        <f aca="false">IF($J55="","",IF($C55="",1,$C55))</f>
        <v/>
      </c>
    </row>
    <row r="56" customFormat="false" ht="15" hidden="false" customHeight="false" outlineLevel="0" collapsed="false">
      <c r="A56" s="7"/>
      <c r="B56" s="8"/>
      <c r="C56" s="9"/>
      <c r="D56" s="10"/>
      <c r="E56" s="11"/>
      <c r="F56" s="11"/>
      <c r="G56" s="8"/>
      <c r="H56" s="11"/>
      <c r="I56" s="12"/>
      <c r="J56" s="13" t="str">
        <f aca="false">IF(OR($A56="",$D56=""),"",IF($C56="",1,$C56)*$D56+N($E56)-N($F56))</f>
        <v/>
      </c>
      <c r="K56" s="13" t="str">
        <f aca="false">IF($J56="","",IF($R56&lt;&gt;"",$R56,IF($G56="",0,MAX(IFERROR(INDEX(Settings!$D$6:$D$15,MATCH($G56,Settings!$A$6:$A$15,0)),0),$J56*IFERROR(INDEX(Settings!$B$6:$B$15,MATCH($G56,Settings!$A$6:$A$15,0)),0)+IFERROR(INDEX(Settings!$C$6:$C$15,MATCH($G56,Settings!$A$6:$A$15,0)),0)))))</f>
        <v/>
      </c>
      <c r="L56" s="13" t="str">
        <f aca="false">IF($J56="","",IF($C56="",1,$C56)*IF($Q56&lt;&gt;"",$Q56,IFERROR(INDEX(Products!$D$5:$D$54,MATCH($B56,Products!$A$5:$A$54,0)),0)))</f>
        <v/>
      </c>
      <c r="M56" s="14" t="str">
        <f aca="false">IF($J56="","",$J56-$K56-N($H56)-$L56)</f>
        <v/>
      </c>
      <c r="N56" s="15" t="str">
        <f aca="false">IF($J56="","",IF($J56&gt;0,$M56/$J56,""))</f>
        <v/>
      </c>
      <c r="O56" s="12"/>
      <c r="P56" s="12"/>
      <c r="Q56" s="11"/>
      <c r="R56" s="11"/>
      <c r="S56" s="12"/>
      <c r="T56" s="16" t="str">
        <f aca="false">IF($J56="","",IF($C56="",1,$C56))</f>
        <v/>
      </c>
    </row>
    <row r="57" customFormat="false" ht="15" hidden="false" customHeight="false" outlineLevel="0" collapsed="false">
      <c r="A57" s="7"/>
      <c r="B57" s="8"/>
      <c r="C57" s="9"/>
      <c r="D57" s="10"/>
      <c r="E57" s="11"/>
      <c r="F57" s="11"/>
      <c r="G57" s="8"/>
      <c r="H57" s="11"/>
      <c r="I57" s="12"/>
      <c r="J57" s="13" t="str">
        <f aca="false">IF(OR($A57="",$D57=""),"",IF($C57="",1,$C57)*$D57+N($E57)-N($F57))</f>
        <v/>
      </c>
      <c r="K57" s="13" t="str">
        <f aca="false">IF($J57="","",IF($R57&lt;&gt;"",$R57,IF($G57="",0,MAX(IFERROR(INDEX(Settings!$D$6:$D$15,MATCH($G57,Settings!$A$6:$A$15,0)),0),$J57*IFERROR(INDEX(Settings!$B$6:$B$15,MATCH($G57,Settings!$A$6:$A$15,0)),0)+IFERROR(INDEX(Settings!$C$6:$C$15,MATCH($G57,Settings!$A$6:$A$15,0)),0)))))</f>
        <v/>
      </c>
      <c r="L57" s="13" t="str">
        <f aca="false">IF($J57="","",IF($C57="",1,$C57)*IF($Q57&lt;&gt;"",$Q57,IFERROR(INDEX(Products!$D$5:$D$54,MATCH($B57,Products!$A$5:$A$54,0)),0)))</f>
        <v/>
      </c>
      <c r="M57" s="14" t="str">
        <f aca="false">IF($J57="","",$J57-$K57-N($H57)-$L57)</f>
        <v/>
      </c>
      <c r="N57" s="15" t="str">
        <f aca="false">IF($J57="","",IF($J57&gt;0,$M57/$J57,""))</f>
        <v/>
      </c>
      <c r="O57" s="12"/>
      <c r="P57" s="12"/>
      <c r="Q57" s="11"/>
      <c r="R57" s="11"/>
      <c r="S57" s="12"/>
      <c r="T57" s="16" t="str">
        <f aca="false">IF($J57="","",IF($C57="",1,$C57))</f>
        <v/>
      </c>
    </row>
    <row r="58" customFormat="false" ht="15" hidden="false" customHeight="false" outlineLevel="0" collapsed="false">
      <c r="A58" s="7"/>
      <c r="B58" s="8"/>
      <c r="C58" s="9"/>
      <c r="D58" s="10"/>
      <c r="E58" s="11"/>
      <c r="F58" s="11"/>
      <c r="G58" s="8"/>
      <c r="H58" s="11"/>
      <c r="I58" s="12"/>
      <c r="J58" s="13" t="str">
        <f aca="false">IF(OR($A58="",$D58=""),"",IF($C58="",1,$C58)*$D58+N($E58)-N($F58))</f>
        <v/>
      </c>
      <c r="K58" s="13" t="str">
        <f aca="false">IF($J58="","",IF($R58&lt;&gt;"",$R58,IF($G58="",0,MAX(IFERROR(INDEX(Settings!$D$6:$D$15,MATCH($G58,Settings!$A$6:$A$15,0)),0),$J58*IFERROR(INDEX(Settings!$B$6:$B$15,MATCH($G58,Settings!$A$6:$A$15,0)),0)+IFERROR(INDEX(Settings!$C$6:$C$15,MATCH($G58,Settings!$A$6:$A$15,0)),0)))))</f>
        <v/>
      </c>
      <c r="L58" s="13" t="str">
        <f aca="false">IF($J58="","",IF($C58="",1,$C58)*IF($Q58&lt;&gt;"",$Q58,IFERROR(INDEX(Products!$D$5:$D$54,MATCH($B58,Products!$A$5:$A$54,0)),0)))</f>
        <v/>
      </c>
      <c r="M58" s="14" t="str">
        <f aca="false">IF($J58="","",$J58-$K58-N($H58)-$L58)</f>
        <v/>
      </c>
      <c r="N58" s="15" t="str">
        <f aca="false">IF($J58="","",IF($J58&gt;0,$M58/$J58,""))</f>
        <v/>
      </c>
      <c r="O58" s="12"/>
      <c r="P58" s="12"/>
      <c r="Q58" s="11"/>
      <c r="R58" s="11"/>
      <c r="S58" s="12"/>
      <c r="T58" s="16" t="str">
        <f aca="false">IF($J58="","",IF($C58="",1,$C58))</f>
        <v/>
      </c>
    </row>
    <row r="59" customFormat="false" ht="15" hidden="false" customHeight="false" outlineLevel="0" collapsed="false">
      <c r="A59" s="7"/>
      <c r="B59" s="8"/>
      <c r="C59" s="9"/>
      <c r="D59" s="10"/>
      <c r="E59" s="11"/>
      <c r="F59" s="11"/>
      <c r="G59" s="8"/>
      <c r="H59" s="11"/>
      <c r="I59" s="12"/>
      <c r="J59" s="13" t="str">
        <f aca="false">IF(OR($A59="",$D59=""),"",IF($C59="",1,$C59)*$D59+N($E59)-N($F59))</f>
        <v/>
      </c>
      <c r="K59" s="13" t="str">
        <f aca="false">IF($J59="","",IF($R59&lt;&gt;"",$R59,IF($G59="",0,MAX(IFERROR(INDEX(Settings!$D$6:$D$15,MATCH($G59,Settings!$A$6:$A$15,0)),0),$J59*IFERROR(INDEX(Settings!$B$6:$B$15,MATCH($G59,Settings!$A$6:$A$15,0)),0)+IFERROR(INDEX(Settings!$C$6:$C$15,MATCH($G59,Settings!$A$6:$A$15,0)),0)))))</f>
        <v/>
      </c>
      <c r="L59" s="13" t="str">
        <f aca="false">IF($J59="","",IF($C59="",1,$C59)*IF($Q59&lt;&gt;"",$Q59,IFERROR(INDEX(Products!$D$5:$D$54,MATCH($B59,Products!$A$5:$A$54,0)),0)))</f>
        <v/>
      </c>
      <c r="M59" s="14" t="str">
        <f aca="false">IF($J59="","",$J59-$K59-N($H59)-$L59)</f>
        <v/>
      </c>
      <c r="N59" s="15" t="str">
        <f aca="false">IF($J59="","",IF($J59&gt;0,$M59/$J59,""))</f>
        <v/>
      </c>
      <c r="O59" s="12"/>
      <c r="P59" s="12"/>
      <c r="Q59" s="11"/>
      <c r="R59" s="11"/>
      <c r="S59" s="12"/>
      <c r="T59" s="16" t="str">
        <f aca="false">IF($J59="","",IF($C59="",1,$C59))</f>
        <v/>
      </c>
    </row>
    <row r="60" customFormat="false" ht="15" hidden="false" customHeight="false" outlineLevel="0" collapsed="false">
      <c r="A60" s="7"/>
      <c r="B60" s="8"/>
      <c r="C60" s="9"/>
      <c r="D60" s="10"/>
      <c r="E60" s="11"/>
      <c r="F60" s="11"/>
      <c r="G60" s="8"/>
      <c r="H60" s="11"/>
      <c r="I60" s="12"/>
      <c r="J60" s="13" t="str">
        <f aca="false">IF(OR($A60="",$D60=""),"",IF($C60="",1,$C60)*$D60+N($E60)-N($F60))</f>
        <v/>
      </c>
      <c r="K60" s="13" t="str">
        <f aca="false">IF($J60="","",IF($R60&lt;&gt;"",$R60,IF($G60="",0,MAX(IFERROR(INDEX(Settings!$D$6:$D$15,MATCH($G60,Settings!$A$6:$A$15,0)),0),$J60*IFERROR(INDEX(Settings!$B$6:$B$15,MATCH($G60,Settings!$A$6:$A$15,0)),0)+IFERROR(INDEX(Settings!$C$6:$C$15,MATCH($G60,Settings!$A$6:$A$15,0)),0)))))</f>
        <v/>
      </c>
      <c r="L60" s="13" t="str">
        <f aca="false">IF($J60="","",IF($C60="",1,$C60)*IF($Q60&lt;&gt;"",$Q60,IFERROR(INDEX(Products!$D$5:$D$54,MATCH($B60,Products!$A$5:$A$54,0)),0)))</f>
        <v/>
      </c>
      <c r="M60" s="14" t="str">
        <f aca="false">IF($J60="","",$J60-$K60-N($H60)-$L60)</f>
        <v/>
      </c>
      <c r="N60" s="15" t="str">
        <f aca="false">IF($J60="","",IF($J60&gt;0,$M60/$J60,""))</f>
        <v/>
      </c>
      <c r="O60" s="12"/>
      <c r="P60" s="12"/>
      <c r="Q60" s="11"/>
      <c r="R60" s="11"/>
      <c r="S60" s="12"/>
      <c r="T60" s="16" t="str">
        <f aca="false">IF($J60="","",IF($C60="",1,$C60))</f>
        <v/>
      </c>
    </row>
    <row r="61" customFormat="false" ht="15" hidden="false" customHeight="false" outlineLevel="0" collapsed="false">
      <c r="A61" s="7"/>
      <c r="B61" s="8"/>
      <c r="C61" s="9"/>
      <c r="D61" s="10"/>
      <c r="E61" s="11"/>
      <c r="F61" s="11"/>
      <c r="G61" s="8"/>
      <c r="H61" s="11"/>
      <c r="I61" s="12"/>
      <c r="J61" s="13" t="str">
        <f aca="false">IF(OR($A61="",$D61=""),"",IF($C61="",1,$C61)*$D61+N($E61)-N($F61))</f>
        <v/>
      </c>
      <c r="K61" s="13" t="str">
        <f aca="false">IF($J61="","",IF($R61&lt;&gt;"",$R61,IF($G61="",0,MAX(IFERROR(INDEX(Settings!$D$6:$D$15,MATCH($G61,Settings!$A$6:$A$15,0)),0),$J61*IFERROR(INDEX(Settings!$B$6:$B$15,MATCH($G61,Settings!$A$6:$A$15,0)),0)+IFERROR(INDEX(Settings!$C$6:$C$15,MATCH($G61,Settings!$A$6:$A$15,0)),0)))))</f>
        <v/>
      </c>
      <c r="L61" s="13" t="str">
        <f aca="false">IF($J61="","",IF($C61="",1,$C61)*IF($Q61&lt;&gt;"",$Q61,IFERROR(INDEX(Products!$D$5:$D$54,MATCH($B61,Products!$A$5:$A$54,0)),0)))</f>
        <v/>
      </c>
      <c r="M61" s="14" t="str">
        <f aca="false">IF($J61="","",$J61-$K61-N($H61)-$L61)</f>
        <v/>
      </c>
      <c r="N61" s="15" t="str">
        <f aca="false">IF($J61="","",IF($J61&gt;0,$M61/$J61,""))</f>
        <v/>
      </c>
      <c r="O61" s="12"/>
      <c r="P61" s="12"/>
      <c r="Q61" s="11"/>
      <c r="R61" s="11"/>
      <c r="S61" s="12"/>
      <c r="T61" s="16" t="str">
        <f aca="false">IF($J61="","",IF($C61="",1,$C61))</f>
        <v/>
      </c>
    </row>
    <row r="62" customFormat="false" ht="15" hidden="false" customHeight="false" outlineLevel="0" collapsed="false">
      <c r="A62" s="7"/>
      <c r="B62" s="8"/>
      <c r="C62" s="9"/>
      <c r="D62" s="10"/>
      <c r="E62" s="11"/>
      <c r="F62" s="11"/>
      <c r="G62" s="8"/>
      <c r="H62" s="11"/>
      <c r="I62" s="12"/>
      <c r="J62" s="13" t="str">
        <f aca="false">IF(OR($A62="",$D62=""),"",IF($C62="",1,$C62)*$D62+N($E62)-N($F62))</f>
        <v/>
      </c>
      <c r="K62" s="13" t="str">
        <f aca="false">IF($J62="","",IF($R62&lt;&gt;"",$R62,IF($G62="",0,MAX(IFERROR(INDEX(Settings!$D$6:$D$15,MATCH($G62,Settings!$A$6:$A$15,0)),0),$J62*IFERROR(INDEX(Settings!$B$6:$B$15,MATCH($G62,Settings!$A$6:$A$15,0)),0)+IFERROR(INDEX(Settings!$C$6:$C$15,MATCH($G62,Settings!$A$6:$A$15,0)),0)))))</f>
        <v/>
      </c>
      <c r="L62" s="13" t="str">
        <f aca="false">IF($J62="","",IF($C62="",1,$C62)*IF($Q62&lt;&gt;"",$Q62,IFERROR(INDEX(Products!$D$5:$D$54,MATCH($B62,Products!$A$5:$A$54,0)),0)))</f>
        <v/>
      </c>
      <c r="M62" s="14" t="str">
        <f aca="false">IF($J62="","",$J62-$K62-N($H62)-$L62)</f>
        <v/>
      </c>
      <c r="N62" s="15" t="str">
        <f aca="false">IF($J62="","",IF($J62&gt;0,$M62/$J62,""))</f>
        <v/>
      </c>
      <c r="O62" s="12"/>
      <c r="P62" s="12"/>
      <c r="Q62" s="11"/>
      <c r="R62" s="11"/>
      <c r="S62" s="12"/>
      <c r="T62" s="16" t="str">
        <f aca="false">IF($J62="","",IF($C62="",1,$C62))</f>
        <v/>
      </c>
    </row>
    <row r="63" customFormat="false" ht="15" hidden="false" customHeight="false" outlineLevel="0" collapsed="false">
      <c r="A63" s="7"/>
      <c r="B63" s="8"/>
      <c r="C63" s="9"/>
      <c r="D63" s="10"/>
      <c r="E63" s="11"/>
      <c r="F63" s="11"/>
      <c r="G63" s="8"/>
      <c r="H63" s="11"/>
      <c r="I63" s="12"/>
      <c r="J63" s="13" t="str">
        <f aca="false">IF(OR($A63="",$D63=""),"",IF($C63="",1,$C63)*$D63+N($E63)-N($F63))</f>
        <v/>
      </c>
      <c r="K63" s="13" t="str">
        <f aca="false">IF($J63="","",IF($R63&lt;&gt;"",$R63,IF($G63="",0,MAX(IFERROR(INDEX(Settings!$D$6:$D$15,MATCH($G63,Settings!$A$6:$A$15,0)),0),$J63*IFERROR(INDEX(Settings!$B$6:$B$15,MATCH($G63,Settings!$A$6:$A$15,0)),0)+IFERROR(INDEX(Settings!$C$6:$C$15,MATCH($G63,Settings!$A$6:$A$15,0)),0)))))</f>
        <v/>
      </c>
      <c r="L63" s="13" t="str">
        <f aca="false">IF($J63="","",IF($C63="",1,$C63)*IF($Q63&lt;&gt;"",$Q63,IFERROR(INDEX(Products!$D$5:$D$54,MATCH($B63,Products!$A$5:$A$54,0)),0)))</f>
        <v/>
      </c>
      <c r="M63" s="14" t="str">
        <f aca="false">IF($J63="","",$J63-$K63-N($H63)-$L63)</f>
        <v/>
      </c>
      <c r="N63" s="15" t="str">
        <f aca="false">IF($J63="","",IF($J63&gt;0,$M63/$J63,""))</f>
        <v/>
      </c>
      <c r="O63" s="12"/>
      <c r="P63" s="12"/>
      <c r="Q63" s="11"/>
      <c r="R63" s="11"/>
      <c r="S63" s="12"/>
      <c r="T63" s="16" t="str">
        <f aca="false">IF($J63="","",IF($C63="",1,$C63))</f>
        <v/>
      </c>
    </row>
    <row r="64" customFormat="false" ht="15" hidden="false" customHeight="false" outlineLevel="0" collapsed="false">
      <c r="A64" s="7"/>
      <c r="B64" s="8"/>
      <c r="C64" s="9"/>
      <c r="D64" s="10"/>
      <c r="E64" s="11"/>
      <c r="F64" s="11"/>
      <c r="G64" s="8"/>
      <c r="H64" s="11"/>
      <c r="I64" s="12"/>
      <c r="J64" s="13" t="str">
        <f aca="false">IF(OR($A64="",$D64=""),"",IF($C64="",1,$C64)*$D64+N($E64)-N($F64))</f>
        <v/>
      </c>
      <c r="K64" s="13" t="str">
        <f aca="false">IF($J64="","",IF($R64&lt;&gt;"",$R64,IF($G64="",0,MAX(IFERROR(INDEX(Settings!$D$6:$D$15,MATCH($G64,Settings!$A$6:$A$15,0)),0),$J64*IFERROR(INDEX(Settings!$B$6:$B$15,MATCH($G64,Settings!$A$6:$A$15,0)),0)+IFERROR(INDEX(Settings!$C$6:$C$15,MATCH($G64,Settings!$A$6:$A$15,0)),0)))))</f>
        <v/>
      </c>
      <c r="L64" s="13" t="str">
        <f aca="false">IF($J64="","",IF($C64="",1,$C64)*IF($Q64&lt;&gt;"",$Q64,IFERROR(INDEX(Products!$D$5:$D$54,MATCH($B64,Products!$A$5:$A$54,0)),0)))</f>
        <v/>
      </c>
      <c r="M64" s="14" t="str">
        <f aca="false">IF($J64="","",$J64-$K64-N($H64)-$L64)</f>
        <v/>
      </c>
      <c r="N64" s="15" t="str">
        <f aca="false">IF($J64="","",IF($J64&gt;0,$M64/$J64,""))</f>
        <v/>
      </c>
      <c r="O64" s="12"/>
      <c r="P64" s="12"/>
      <c r="Q64" s="11"/>
      <c r="R64" s="11"/>
      <c r="S64" s="12"/>
      <c r="T64" s="16" t="str">
        <f aca="false">IF($J64="","",IF($C64="",1,$C64))</f>
        <v/>
      </c>
    </row>
    <row r="65" customFormat="false" ht="15" hidden="false" customHeight="false" outlineLevel="0" collapsed="false">
      <c r="A65" s="7"/>
      <c r="B65" s="8"/>
      <c r="C65" s="9"/>
      <c r="D65" s="10"/>
      <c r="E65" s="11"/>
      <c r="F65" s="11"/>
      <c r="G65" s="8"/>
      <c r="H65" s="11"/>
      <c r="I65" s="12"/>
      <c r="J65" s="13" t="str">
        <f aca="false">IF(OR($A65="",$D65=""),"",IF($C65="",1,$C65)*$D65+N($E65)-N($F65))</f>
        <v/>
      </c>
      <c r="K65" s="13" t="str">
        <f aca="false">IF($J65="","",IF($R65&lt;&gt;"",$R65,IF($G65="",0,MAX(IFERROR(INDEX(Settings!$D$6:$D$15,MATCH($G65,Settings!$A$6:$A$15,0)),0),$J65*IFERROR(INDEX(Settings!$B$6:$B$15,MATCH($G65,Settings!$A$6:$A$15,0)),0)+IFERROR(INDEX(Settings!$C$6:$C$15,MATCH($G65,Settings!$A$6:$A$15,0)),0)))))</f>
        <v/>
      </c>
      <c r="L65" s="13" t="str">
        <f aca="false">IF($J65="","",IF($C65="",1,$C65)*IF($Q65&lt;&gt;"",$Q65,IFERROR(INDEX(Products!$D$5:$D$54,MATCH($B65,Products!$A$5:$A$54,0)),0)))</f>
        <v/>
      </c>
      <c r="M65" s="14" t="str">
        <f aca="false">IF($J65="","",$J65-$K65-N($H65)-$L65)</f>
        <v/>
      </c>
      <c r="N65" s="15" t="str">
        <f aca="false">IF($J65="","",IF($J65&gt;0,$M65/$J65,""))</f>
        <v/>
      </c>
      <c r="O65" s="12"/>
      <c r="P65" s="12"/>
      <c r="Q65" s="11"/>
      <c r="R65" s="11"/>
      <c r="S65" s="12"/>
      <c r="T65" s="16" t="str">
        <f aca="false">IF($J65="","",IF($C65="",1,$C65))</f>
        <v/>
      </c>
    </row>
    <row r="66" customFormat="false" ht="15" hidden="false" customHeight="false" outlineLevel="0" collapsed="false">
      <c r="A66" s="7"/>
      <c r="B66" s="8"/>
      <c r="C66" s="9"/>
      <c r="D66" s="10"/>
      <c r="E66" s="11"/>
      <c r="F66" s="11"/>
      <c r="G66" s="8"/>
      <c r="H66" s="11"/>
      <c r="I66" s="12"/>
      <c r="J66" s="13" t="str">
        <f aca="false">IF(OR($A66="",$D66=""),"",IF($C66="",1,$C66)*$D66+N($E66)-N($F66))</f>
        <v/>
      </c>
      <c r="K66" s="13" t="str">
        <f aca="false">IF($J66="","",IF($R66&lt;&gt;"",$R66,IF($G66="",0,MAX(IFERROR(INDEX(Settings!$D$6:$D$15,MATCH($G66,Settings!$A$6:$A$15,0)),0),$J66*IFERROR(INDEX(Settings!$B$6:$B$15,MATCH($G66,Settings!$A$6:$A$15,0)),0)+IFERROR(INDEX(Settings!$C$6:$C$15,MATCH($G66,Settings!$A$6:$A$15,0)),0)))))</f>
        <v/>
      </c>
      <c r="L66" s="13" t="str">
        <f aca="false">IF($J66="","",IF($C66="",1,$C66)*IF($Q66&lt;&gt;"",$Q66,IFERROR(INDEX(Products!$D$5:$D$54,MATCH($B66,Products!$A$5:$A$54,0)),0)))</f>
        <v/>
      </c>
      <c r="M66" s="14" t="str">
        <f aca="false">IF($J66="","",$J66-$K66-N($H66)-$L66)</f>
        <v/>
      </c>
      <c r="N66" s="15" t="str">
        <f aca="false">IF($J66="","",IF($J66&gt;0,$M66/$J66,""))</f>
        <v/>
      </c>
      <c r="O66" s="12"/>
      <c r="P66" s="12"/>
      <c r="Q66" s="11"/>
      <c r="R66" s="11"/>
      <c r="S66" s="12"/>
      <c r="T66" s="16" t="str">
        <f aca="false">IF($J66="","",IF($C66="",1,$C66))</f>
        <v/>
      </c>
    </row>
    <row r="67" customFormat="false" ht="15" hidden="false" customHeight="false" outlineLevel="0" collapsed="false">
      <c r="A67" s="7"/>
      <c r="B67" s="8"/>
      <c r="C67" s="9"/>
      <c r="D67" s="10"/>
      <c r="E67" s="11"/>
      <c r="F67" s="11"/>
      <c r="G67" s="8"/>
      <c r="H67" s="11"/>
      <c r="I67" s="12"/>
      <c r="J67" s="13" t="str">
        <f aca="false">IF(OR($A67="",$D67=""),"",IF($C67="",1,$C67)*$D67+N($E67)-N($F67))</f>
        <v/>
      </c>
      <c r="K67" s="13" t="str">
        <f aca="false">IF($J67="","",IF($R67&lt;&gt;"",$R67,IF($G67="",0,MAX(IFERROR(INDEX(Settings!$D$6:$D$15,MATCH($G67,Settings!$A$6:$A$15,0)),0),$J67*IFERROR(INDEX(Settings!$B$6:$B$15,MATCH($G67,Settings!$A$6:$A$15,0)),0)+IFERROR(INDEX(Settings!$C$6:$C$15,MATCH($G67,Settings!$A$6:$A$15,0)),0)))))</f>
        <v/>
      </c>
      <c r="L67" s="13" t="str">
        <f aca="false">IF($J67="","",IF($C67="",1,$C67)*IF($Q67&lt;&gt;"",$Q67,IFERROR(INDEX(Products!$D$5:$D$54,MATCH($B67,Products!$A$5:$A$54,0)),0)))</f>
        <v/>
      </c>
      <c r="M67" s="14" t="str">
        <f aca="false">IF($J67="","",$J67-$K67-N($H67)-$L67)</f>
        <v/>
      </c>
      <c r="N67" s="15" t="str">
        <f aca="false">IF($J67="","",IF($J67&gt;0,$M67/$J67,""))</f>
        <v/>
      </c>
      <c r="O67" s="12"/>
      <c r="P67" s="12"/>
      <c r="Q67" s="11"/>
      <c r="R67" s="11"/>
      <c r="S67" s="12"/>
      <c r="T67" s="16" t="str">
        <f aca="false">IF($J67="","",IF($C67="",1,$C67))</f>
        <v/>
      </c>
    </row>
    <row r="68" customFormat="false" ht="15" hidden="false" customHeight="false" outlineLevel="0" collapsed="false">
      <c r="A68" s="7"/>
      <c r="B68" s="8"/>
      <c r="C68" s="9"/>
      <c r="D68" s="10"/>
      <c r="E68" s="11"/>
      <c r="F68" s="11"/>
      <c r="G68" s="8"/>
      <c r="H68" s="11"/>
      <c r="I68" s="12"/>
      <c r="J68" s="13" t="str">
        <f aca="false">IF(OR($A68="",$D68=""),"",IF($C68="",1,$C68)*$D68+N($E68)-N($F68))</f>
        <v/>
      </c>
      <c r="K68" s="13" t="str">
        <f aca="false">IF($J68="","",IF($R68&lt;&gt;"",$R68,IF($G68="",0,MAX(IFERROR(INDEX(Settings!$D$6:$D$15,MATCH($G68,Settings!$A$6:$A$15,0)),0),$J68*IFERROR(INDEX(Settings!$B$6:$B$15,MATCH($G68,Settings!$A$6:$A$15,0)),0)+IFERROR(INDEX(Settings!$C$6:$C$15,MATCH($G68,Settings!$A$6:$A$15,0)),0)))))</f>
        <v/>
      </c>
      <c r="L68" s="13" t="str">
        <f aca="false">IF($J68="","",IF($C68="",1,$C68)*IF($Q68&lt;&gt;"",$Q68,IFERROR(INDEX(Products!$D$5:$D$54,MATCH($B68,Products!$A$5:$A$54,0)),0)))</f>
        <v/>
      </c>
      <c r="M68" s="14" t="str">
        <f aca="false">IF($J68="","",$J68-$K68-N($H68)-$L68)</f>
        <v/>
      </c>
      <c r="N68" s="15" t="str">
        <f aca="false">IF($J68="","",IF($J68&gt;0,$M68/$J68,""))</f>
        <v/>
      </c>
      <c r="O68" s="12"/>
      <c r="P68" s="12"/>
      <c r="Q68" s="11"/>
      <c r="R68" s="11"/>
      <c r="S68" s="12"/>
      <c r="T68" s="16" t="str">
        <f aca="false">IF($J68="","",IF($C68="",1,$C68))</f>
        <v/>
      </c>
    </row>
    <row r="69" customFormat="false" ht="15" hidden="false" customHeight="false" outlineLevel="0" collapsed="false">
      <c r="A69" s="7"/>
      <c r="B69" s="8"/>
      <c r="C69" s="9"/>
      <c r="D69" s="10"/>
      <c r="E69" s="11"/>
      <c r="F69" s="11"/>
      <c r="G69" s="8"/>
      <c r="H69" s="11"/>
      <c r="I69" s="12"/>
      <c r="J69" s="13" t="str">
        <f aca="false">IF(OR($A69="",$D69=""),"",IF($C69="",1,$C69)*$D69+N($E69)-N($F69))</f>
        <v/>
      </c>
      <c r="K69" s="13" t="str">
        <f aca="false">IF($J69="","",IF($R69&lt;&gt;"",$R69,IF($G69="",0,MAX(IFERROR(INDEX(Settings!$D$6:$D$15,MATCH($G69,Settings!$A$6:$A$15,0)),0),$J69*IFERROR(INDEX(Settings!$B$6:$B$15,MATCH($G69,Settings!$A$6:$A$15,0)),0)+IFERROR(INDEX(Settings!$C$6:$C$15,MATCH($G69,Settings!$A$6:$A$15,0)),0)))))</f>
        <v/>
      </c>
      <c r="L69" s="13" t="str">
        <f aca="false">IF($J69="","",IF($C69="",1,$C69)*IF($Q69&lt;&gt;"",$Q69,IFERROR(INDEX(Products!$D$5:$D$54,MATCH($B69,Products!$A$5:$A$54,0)),0)))</f>
        <v/>
      </c>
      <c r="M69" s="14" t="str">
        <f aca="false">IF($J69="","",$J69-$K69-N($H69)-$L69)</f>
        <v/>
      </c>
      <c r="N69" s="15" t="str">
        <f aca="false">IF($J69="","",IF($J69&gt;0,$M69/$J69,""))</f>
        <v/>
      </c>
      <c r="O69" s="12"/>
      <c r="P69" s="12"/>
      <c r="Q69" s="11"/>
      <c r="R69" s="11"/>
      <c r="S69" s="12"/>
      <c r="T69" s="16" t="str">
        <f aca="false">IF($J69="","",IF($C69="",1,$C69))</f>
        <v/>
      </c>
    </row>
    <row r="70" customFormat="false" ht="15" hidden="false" customHeight="false" outlineLevel="0" collapsed="false">
      <c r="A70" s="7"/>
      <c r="B70" s="8"/>
      <c r="C70" s="9"/>
      <c r="D70" s="10"/>
      <c r="E70" s="11"/>
      <c r="F70" s="11"/>
      <c r="G70" s="8"/>
      <c r="H70" s="11"/>
      <c r="I70" s="12"/>
      <c r="J70" s="13" t="str">
        <f aca="false">IF(OR($A70="",$D70=""),"",IF($C70="",1,$C70)*$D70+N($E70)-N($F70))</f>
        <v/>
      </c>
      <c r="K70" s="13" t="str">
        <f aca="false">IF($J70="","",IF($R70&lt;&gt;"",$R70,IF($G70="",0,MAX(IFERROR(INDEX(Settings!$D$6:$D$15,MATCH($G70,Settings!$A$6:$A$15,0)),0),$J70*IFERROR(INDEX(Settings!$B$6:$B$15,MATCH($G70,Settings!$A$6:$A$15,0)),0)+IFERROR(INDEX(Settings!$C$6:$C$15,MATCH($G70,Settings!$A$6:$A$15,0)),0)))))</f>
        <v/>
      </c>
      <c r="L70" s="13" t="str">
        <f aca="false">IF($J70="","",IF($C70="",1,$C70)*IF($Q70&lt;&gt;"",$Q70,IFERROR(INDEX(Products!$D$5:$D$54,MATCH($B70,Products!$A$5:$A$54,0)),0)))</f>
        <v/>
      </c>
      <c r="M70" s="14" t="str">
        <f aca="false">IF($J70="","",$J70-$K70-N($H70)-$L70)</f>
        <v/>
      </c>
      <c r="N70" s="15" t="str">
        <f aca="false">IF($J70="","",IF($J70&gt;0,$M70/$J70,""))</f>
        <v/>
      </c>
      <c r="O70" s="12"/>
      <c r="P70" s="12"/>
      <c r="Q70" s="11"/>
      <c r="R70" s="11"/>
      <c r="S70" s="12"/>
      <c r="T70" s="16" t="str">
        <f aca="false">IF($J70="","",IF($C70="",1,$C70))</f>
        <v/>
      </c>
    </row>
    <row r="71" customFormat="false" ht="15" hidden="false" customHeight="false" outlineLevel="0" collapsed="false">
      <c r="A71" s="7"/>
      <c r="B71" s="8"/>
      <c r="C71" s="9"/>
      <c r="D71" s="10"/>
      <c r="E71" s="11"/>
      <c r="F71" s="11"/>
      <c r="G71" s="8"/>
      <c r="H71" s="11"/>
      <c r="I71" s="12"/>
      <c r="J71" s="13" t="str">
        <f aca="false">IF(OR($A71="",$D71=""),"",IF($C71="",1,$C71)*$D71+N($E71)-N($F71))</f>
        <v/>
      </c>
      <c r="K71" s="13" t="str">
        <f aca="false">IF($J71="","",IF($R71&lt;&gt;"",$R71,IF($G71="",0,MAX(IFERROR(INDEX(Settings!$D$6:$D$15,MATCH($G71,Settings!$A$6:$A$15,0)),0),$J71*IFERROR(INDEX(Settings!$B$6:$B$15,MATCH($G71,Settings!$A$6:$A$15,0)),0)+IFERROR(INDEX(Settings!$C$6:$C$15,MATCH($G71,Settings!$A$6:$A$15,0)),0)))))</f>
        <v/>
      </c>
      <c r="L71" s="13" t="str">
        <f aca="false">IF($J71="","",IF($C71="",1,$C71)*IF($Q71&lt;&gt;"",$Q71,IFERROR(INDEX(Products!$D$5:$D$54,MATCH($B71,Products!$A$5:$A$54,0)),0)))</f>
        <v/>
      </c>
      <c r="M71" s="14" t="str">
        <f aca="false">IF($J71="","",$J71-$K71-N($H71)-$L71)</f>
        <v/>
      </c>
      <c r="N71" s="15" t="str">
        <f aca="false">IF($J71="","",IF($J71&gt;0,$M71/$J71,""))</f>
        <v/>
      </c>
      <c r="O71" s="12"/>
      <c r="P71" s="12"/>
      <c r="Q71" s="11"/>
      <c r="R71" s="11"/>
      <c r="S71" s="12"/>
      <c r="T71" s="16" t="str">
        <f aca="false">IF($J71="","",IF($C71="",1,$C71))</f>
        <v/>
      </c>
    </row>
    <row r="72" customFormat="false" ht="15" hidden="false" customHeight="false" outlineLevel="0" collapsed="false">
      <c r="A72" s="7"/>
      <c r="B72" s="8"/>
      <c r="C72" s="9"/>
      <c r="D72" s="10"/>
      <c r="E72" s="11"/>
      <c r="F72" s="11"/>
      <c r="G72" s="8"/>
      <c r="H72" s="11"/>
      <c r="I72" s="12"/>
      <c r="J72" s="13" t="str">
        <f aca="false">IF(OR($A72="",$D72=""),"",IF($C72="",1,$C72)*$D72+N($E72)-N($F72))</f>
        <v/>
      </c>
      <c r="K72" s="13" t="str">
        <f aca="false">IF($J72="","",IF($R72&lt;&gt;"",$R72,IF($G72="",0,MAX(IFERROR(INDEX(Settings!$D$6:$D$15,MATCH($G72,Settings!$A$6:$A$15,0)),0),$J72*IFERROR(INDEX(Settings!$B$6:$B$15,MATCH($G72,Settings!$A$6:$A$15,0)),0)+IFERROR(INDEX(Settings!$C$6:$C$15,MATCH($G72,Settings!$A$6:$A$15,0)),0)))))</f>
        <v/>
      </c>
      <c r="L72" s="13" t="str">
        <f aca="false">IF($J72="","",IF($C72="",1,$C72)*IF($Q72&lt;&gt;"",$Q72,IFERROR(INDEX(Products!$D$5:$D$54,MATCH($B72,Products!$A$5:$A$54,0)),0)))</f>
        <v/>
      </c>
      <c r="M72" s="14" t="str">
        <f aca="false">IF($J72="","",$J72-$K72-N($H72)-$L72)</f>
        <v/>
      </c>
      <c r="N72" s="15" t="str">
        <f aca="false">IF($J72="","",IF($J72&gt;0,$M72/$J72,""))</f>
        <v/>
      </c>
      <c r="O72" s="12"/>
      <c r="P72" s="12"/>
      <c r="Q72" s="11"/>
      <c r="R72" s="11"/>
      <c r="S72" s="12"/>
      <c r="T72" s="16" t="str">
        <f aca="false">IF($J72="","",IF($C72="",1,$C72))</f>
        <v/>
      </c>
    </row>
    <row r="73" customFormat="false" ht="15" hidden="false" customHeight="false" outlineLevel="0" collapsed="false">
      <c r="A73" s="7"/>
      <c r="B73" s="8"/>
      <c r="C73" s="9"/>
      <c r="D73" s="10"/>
      <c r="E73" s="11"/>
      <c r="F73" s="11"/>
      <c r="G73" s="8"/>
      <c r="H73" s="11"/>
      <c r="I73" s="12"/>
      <c r="J73" s="13" t="str">
        <f aca="false">IF(OR($A73="",$D73=""),"",IF($C73="",1,$C73)*$D73+N($E73)-N($F73))</f>
        <v/>
      </c>
      <c r="K73" s="13" t="str">
        <f aca="false">IF($J73="","",IF($R73&lt;&gt;"",$R73,IF($G73="",0,MAX(IFERROR(INDEX(Settings!$D$6:$D$15,MATCH($G73,Settings!$A$6:$A$15,0)),0),$J73*IFERROR(INDEX(Settings!$B$6:$B$15,MATCH($G73,Settings!$A$6:$A$15,0)),0)+IFERROR(INDEX(Settings!$C$6:$C$15,MATCH($G73,Settings!$A$6:$A$15,0)),0)))))</f>
        <v/>
      </c>
      <c r="L73" s="13" t="str">
        <f aca="false">IF($J73="","",IF($C73="",1,$C73)*IF($Q73&lt;&gt;"",$Q73,IFERROR(INDEX(Products!$D$5:$D$54,MATCH($B73,Products!$A$5:$A$54,0)),0)))</f>
        <v/>
      </c>
      <c r="M73" s="14" t="str">
        <f aca="false">IF($J73="","",$J73-$K73-N($H73)-$L73)</f>
        <v/>
      </c>
      <c r="N73" s="15" t="str">
        <f aca="false">IF($J73="","",IF($J73&gt;0,$M73/$J73,""))</f>
        <v/>
      </c>
      <c r="O73" s="12"/>
      <c r="P73" s="12"/>
      <c r="Q73" s="11"/>
      <c r="R73" s="11"/>
      <c r="S73" s="12"/>
      <c r="T73" s="16" t="str">
        <f aca="false">IF($J73="","",IF($C73="",1,$C73))</f>
        <v/>
      </c>
    </row>
    <row r="74" customFormat="false" ht="15" hidden="false" customHeight="false" outlineLevel="0" collapsed="false">
      <c r="A74" s="7"/>
      <c r="B74" s="8"/>
      <c r="C74" s="9"/>
      <c r="D74" s="10"/>
      <c r="E74" s="11"/>
      <c r="F74" s="11"/>
      <c r="G74" s="8"/>
      <c r="H74" s="11"/>
      <c r="I74" s="12"/>
      <c r="J74" s="13" t="str">
        <f aca="false">IF(OR($A74="",$D74=""),"",IF($C74="",1,$C74)*$D74+N($E74)-N($F74))</f>
        <v/>
      </c>
      <c r="K74" s="13" t="str">
        <f aca="false">IF($J74="","",IF($R74&lt;&gt;"",$R74,IF($G74="",0,MAX(IFERROR(INDEX(Settings!$D$6:$D$15,MATCH($G74,Settings!$A$6:$A$15,0)),0),$J74*IFERROR(INDEX(Settings!$B$6:$B$15,MATCH($G74,Settings!$A$6:$A$15,0)),0)+IFERROR(INDEX(Settings!$C$6:$C$15,MATCH($G74,Settings!$A$6:$A$15,0)),0)))))</f>
        <v/>
      </c>
      <c r="L74" s="13" t="str">
        <f aca="false">IF($J74="","",IF($C74="",1,$C74)*IF($Q74&lt;&gt;"",$Q74,IFERROR(INDEX(Products!$D$5:$D$54,MATCH($B74,Products!$A$5:$A$54,0)),0)))</f>
        <v/>
      </c>
      <c r="M74" s="14" t="str">
        <f aca="false">IF($J74="","",$J74-$K74-N($H74)-$L74)</f>
        <v/>
      </c>
      <c r="N74" s="15" t="str">
        <f aca="false">IF($J74="","",IF($J74&gt;0,$M74/$J74,""))</f>
        <v/>
      </c>
      <c r="O74" s="12"/>
      <c r="P74" s="12"/>
      <c r="Q74" s="11"/>
      <c r="R74" s="11"/>
      <c r="S74" s="12"/>
      <c r="T74" s="16" t="str">
        <f aca="false">IF($J74="","",IF($C74="",1,$C74))</f>
        <v/>
      </c>
    </row>
    <row r="75" customFormat="false" ht="15" hidden="false" customHeight="false" outlineLevel="0" collapsed="false">
      <c r="A75" s="7"/>
      <c r="B75" s="8"/>
      <c r="C75" s="9"/>
      <c r="D75" s="10"/>
      <c r="E75" s="11"/>
      <c r="F75" s="11"/>
      <c r="G75" s="8"/>
      <c r="H75" s="11"/>
      <c r="I75" s="12"/>
      <c r="J75" s="13" t="str">
        <f aca="false">IF(OR($A75="",$D75=""),"",IF($C75="",1,$C75)*$D75+N($E75)-N($F75))</f>
        <v/>
      </c>
      <c r="K75" s="13" t="str">
        <f aca="false">IF($J75="","",IF($R75&lt;&gt;"",$R75,IF($G75="",0,MAX(IFERROR(INDEX(Settings!$D$6:$D$15,MATCH($G75,Settings!$A$6:$A$15,0)),0),$J75*IFERROR(INDEX(Settings!$B$6:$B$15,MATCH($G75,Settings!$A$6:$A$15,0)),0)+IFERROR(INDEX(Settings!$C$6:$C$15,MATCH($G75,Settings!$A$6:$A$15,0)),0)))))</f>
        <v/>
      </c>
      <c r="L75" s="13" t="str">
        <f aca="false">IF($J75="","",IF($C75="",1,$C75)*IF($Q75&lt;&gt;"",$Q75,IFERROR(INDEX(Products!$D$5:$D$54,MATCH($B75,Products!$A$5:$A$54,0)),0)))</f>
        <v/>
      </c>
      <c r="M75" s="14" t="str">
        <f aca="false">IF($J75="","",$J75-$K75-N($H75)-$L75)</f>
        <v/>
      </c>
      <c r="N75" s="15" t="str">
        <f aca="false">IF($J75="","",IF($J75&gt;0,$M75/$J75,""))</f>
        <v/>
      </c>
      <c r="O75" s="12"/>
      <c r="P75" s="12"/>
      <c r="Q75" s="11"/>
      <c r="R75" s="11"/>
      <c r="S75" s="12"/>
      <c r="T75" s="16" t="str">
        <f aca="false">IF($J75="","",IF($C75="",1,$C75))</f>
        <v/>
      </c>
    </row>
    <row r="76" customFormat="false" ht="15" hidden="false" customHeight="false" outlineLevel="0" collapsed="false">
      <c r="A76" s="7"/>
      <c r="B76" s="8"/>
      <c r="C76" s="9"/>
      <c r="D76" s="10"/>
      <c r="E76" s="11"/>
      <c r="F76" s="11"/>
      <c r="G76" s="8"/>
      <c r="H76" s="11"/>
      <c r="I76" s="12"/>
      <c r="J76" s="13" t="str">
        <f aca="false">IF(OR($A76="",$D76=""),"",IF($C76="",1,$C76)*$D76+N($E76)-N($F76))</f>
        <v/>
      </c>
      <c r="K76" s="13" t="str">
        <f aca="false">IF($J76="","",IF($R76&lt;&gt;"",$R76,IF($G76="",0,MAX(IFERROR(INDEX(Settings!$D$6:$D$15,MATCH($G76,Settings!$A$6:$A$15,0)),0),$J76*IFERROR(INDEX(Settings!$B$6:$B$15,MATCH($G76,Settings!$A$6:$A$15,0)),0)+IFERROR(INDEX(Settings!$C$6:$C$15,MATCH($G76,Settings!$A$6:$A$15,0)),0)))))</f>
        <v/>
      </c>
      <c r="L76" s="13" t="str">
        <f aca="false">IF($J76="","",IF($C76="",1,$C76)*IF($Q76&lt;&gt;"",$Q76,IFERROR(INDEX(Products!$D$5:$D$54,MATCH($B76,Products!$A$5:$A$54,0)),0)))</f>
        <v/>
      </c>
      <c r="M76" s="14" t="str">
        <f aca="false">IF($J76="","",$J76-$K76-N($H76)-$L76)</f>
        <v/>
      </c>
      <c r="N76" s="15" t="str">
        <f aca="false">IF($J76="","",IF($J76&gt;0,$M76/$J76,""))</f>
        <v/>
      </c>
      <c r="O76" s="12"/>
      <c r="P76" s="12"/>
      <c r="Q76" s="11"/>
      <c r="R76" s="11"/>
      <c r="S76" s="12"/>
      <c r="T76" s="16" t="str">
        <f aca="false">IF($J76="","",IF($C76="",1,$C76))</f>
        <v/>
      </c>
    </row>
    <row r="77" customFormat="false" ht="15" hidden="false" customHeight="false" outlineLevel="0" collapsed="false">
      <c r="A77" s="7"/>
      <c r="B77" s="8"/>
      <c r="C77" s="9"/>
      <c r="D77" s="10"/>
      <c r="E77" s="11"/>
      <c r="F77" s="11"/>
      <c r="G77" s="8"/>
      <c r="H77" s="11"/>
      <c r="I77" s="12"/>
      <c r="J77" s="13" t="str">
        <f aca="false">IF(OR($A77="",$D77=""),"",IF($C77="",1,$C77)*$D77+N($E77)-N($F77))</f>
        <v/>
      </c>
      <c r="K77" s="13" t="str">
        <f aca="false">IF($J77="","",IF($R77&lt;&gt;"",$R77,IF($G77="",0,MAX(IFERROR(INDEX(Settings!$D$6:$D$15,MATCH($G77,Settings!$A$6:$A$15,0)),0),$J77*IFERROR(INDEX(Settings!$B$6:$B$15,MATCH($G77,Settings!$A$6:$A$15,0)),0)+IFERROR(INDEX(Settings!$C$6:$C$15,MATCH($G77,Settings!$A$6:$A$15,0)),0)))))</f>
        <v/>
      </c>
      <c r="L77" s="13" t="str">
        <f aca="false">IF($J77="","",IF($C77="",1,$C77)*IF($Q77&lt;&gt;"",$Q77,IFERROR(INDEX(Products!$D$5:$D$54,MATCH($B77,Products!$A$5:$A$54,0)),0)))</f>
        <v/>
      </c>
      <c r="M77" s="14" t="str">
        <f aca="false">IF($J77="","",$J77-$K77-N($H77)-$L77)</f>
        <v/>
      </c>
      <c r="N77" s="15" t="str">
        <f aca="false">IF($J77="","",IF($J77&gt;0,$M77/$J77,""))</f>
        <v/>
      </c>
      <c r="O77" s="12"/>
      <c r="P77" s="12"/>
      <c r="Q77" s="11"/>
      <c r="R77" s="11"/>
      <c r="S77" s="12"/>
      <c r="T77" s="16" t="str">
        <f aca="false">IF($J77="","",IF($C77="",1,$C77))</f>
        <v/>
      </c>
    </row>
    <row r="78" customFormat="false" ht="15" hidden="false" customHeight="false" outlineLevel="0" collapsed="false">
      <c r="A78" s="7"/>
      <c r="B78" s="8"/>
      <c r="C78" s="9"/>
      <c r="D78" s="10"/>
      <c r="E78" s="11"/>
      <c r="F78" s="11"/>
      <c r="G78" s="8"/>
      <c r="H78" s="11"/>
      <c r="I78" s="12"/>
      <c r="J78" s="13" t="str">
        <f aca="false">IF(OR($A78="",$D78=""),"",IF($C78="",1,$C78)*$D78+N($E78)-N($F78))</f>
        <v/>
      </c>
      <c r="K78" s="13" t="str">
        <f aca="false">IF($J78="","",IF($R78&lt;&gt;"",$R78,IF($G78="",0,MAX(IFERROR(INDEX(Settings!$D$6:$D$15,MATCH($G78,Settings!$A$6:$A$15,0)),0),$J78*IFERROR(INDEX(Settings!$B$6:$B$15,MATCH($G78,Settings!$A$6:$A$15,0)),0)+IFERROR(INDEX(Settings!$C$6:$C$15,MATCH($G78,Settings!$A$6:$A$15,0)),0)))))</f>
        <v/>
      </c>
      <c r="L78" s="13" t="str">
        <f aca="false">IF($J78="","",IF($C78="",1,$C78)*IF($Q78&lt;&gt;"",$Q78,IFERROR(INDEX(Products!$D$5:$D$54,MATCH($B78,Products!$A$5:$A$54,0)),0)))</f>
        <v/>
      </c>
      <c r="M78" s="14" t="str">
        <f aca="false">IF($J78="","",$J78-$K78-N($H78)-$L78)</f>
        <v/>
      </c>
      <c r="N78" s="15" t="str">
        <f aca="false">IF($J78="","",IF($J78&gt;0,$M78/$J78,""))</f>
        <v/>
      </c>
      <c r="O78" s="12"/>
      <c r="P78" s="12"/>
      <c r="Q78" s="11"/>
      <c r="R78" s="11"/>
      <c r="S78" s="12"/>
      <c r="T78" s="16" t="str">
        <f aca="false">IF($J78="","",IF($C78="",1,$C78))</f>
        <v/>
      </c>
    </row>
    <row r="79" customFormat="false" ht="15" hidden="false" customHeight="false" outlineLevel="0" collapsed="false">
      <c r="A79" s="7"/>
      <c r="B79" s="8"/>
      <c r="C79" s="9"/>
      <c r="D79" s="10"/>
      <c r="E79" s="11"/>
      <c r="F79" s="11"/>
      <c r="G79" s="8"/>
      <c r="H79" s="11"/>
      <c r="I79" s="12"/>
      <c r="J79" s="13" t="str">
        <f aca="false">IF(OR($A79="",$D79=""),"",IF($C79="",1,$C79)*$D79+N($E79)-N($F79))</f>
        <v/>
      </c>
      <c r="K79" s="13" t="str">
        <f aca="false">IF($J79="","",IF($R79&lt;&gt;"",$R79,IF($G79="",0,MAX(IFERROR(INDEX(Settings!$D$6:$D$15,MATCH($G79,Settings!$A$6:$A$15,0)),0),$J79*IFERROR(INDEX(Settings!$B$6:$B$15,MATCH($G79,Settings!$A$6:$A$15,0)),0)+IFERROR(INDEX(Settings!$C$6:$C$15,MATCH($G79,Settings!$A$6:$A$15,0)),0)))))</f>
        <v/>
      </c>
      <c r="L79" s="13" t="str">
        <f aca="false">IF($J79="","",IF($C79="",1,$C79)*IF($Q79&lt;&gt;"",$Q79,IFERROR(INDEX(Products!$D$5:$D$54,MATCH($B79,Products!$A$5:$A$54,0)),0)))</f>
        <v/>
      </c>
      <c r="M79" s="14" t="str">
        <f aca="false">IF($J79="","",$J79-$K79-N($H79)-$L79)</f>
        <v/>
      </c>
      <c r="N79" s="15" t="str">
        <f aca="false">IF($J79="","",IF($J79&gt;0,$M79/$J79,""))</f>
        <v/>
      </c>
      <c r="O79" s="12"/>
      <c r="P79" s="12"/>
      <c r="Q79" s="11"/>
      <c r="R79" s="11"/>
      <c r="S79" s="12"/>
      <c r="T79" s="16" t="str">
        <f aca="false">IF($J79="","",IF($C79="",1,$C79))</f>
        <v/>
      </c>
    </row>
    <row r="80" customFormat="false" ht="15" hidden="false" customHeight="false" outlineLevel="0" collapsed="false">
      <c r="A80" s="7"/>
      <c r="B80" s="8"/>
      <c r="C80" s="9"/>
      <c r="D80" s="10"/>
      <c r="E80" s="11"/>
      <c r="F80" s="11"/>
      <c r="G80" s="8"/>
      <c r="H80" s="11"/>
      <c r="I80" s="12"/>
      <c r="J80" s="13" t="str">
        <f aca="false">IF(OR($A80="",$D80=""),"",IF($C80="",1,$C80)*$D80+N($E80)-N($F80))</f>
        <v/>
      </c>
      <c r="K80" s="13" t="str">
        <f aca="false">IF($J80="","",IF($R80&lt;&gt;"",$R80,IF($G80="",0,MAX(IFERROR(INDEX(Settings!$D$6:$D$15,MATCH($G80,Settings!$A$6:$A$15,0)),0),$J80*IFERROR(INDEX(Settings!$B$6:$B$15,MATCH($G80,Settings!$A$6:$A$15,0)),0)+IFERROR(INDEX(Settings!$C$6:$C$15,MATCH($G80,Settings!$A$6:$A$15,0)),0)))))</f>
        <v/>
      </c>
      <c r="L80" s="13" t="str">
        <f aca="false">IF($J80="","",IF($C80="",1,$C80)*IF($Q80&lt;&gt;"",$Q80,IFERROR(INDEX(Products!$D$5:$D$54,MATCH($B80,Products!$A$5:$A$54,0)),0)))</f>
        <v/>
      </c>
      <c r="M80" s="14" t="str">
        <f aca="false">IF($J80="","",$J80-$K80-N($H80)-$L80)</f>
        <v/>
      </c>
      <c r="N80" s="15" t="str">
        <f aca="false">IF($J80="","",IF($J80&gt;0,$M80/$J80,""))</f>
        <v/>
      </c>
      <c r="O80" s="12"/>
      <c r="P80" s="12"/>
      <c r="Q80" s="11"/>
      <c r="R80" s="11"/>
      <c r="S80" s="12"/>
      <c r="T80" s="16" t="str">
        <f aca="false">IF($J80="","",IF($C80="",1,$C80))</f>
        <v/>
      </c>
    </row>
    <row r="81" customFormat="false" ht="15" hidden="false" customHeight="false" outlineLevel="0" collapsed="false">
      <c r="A81" s="7"/>
      <c r="B81" s="8"/>
      <c r="C81" s="9"/>
      <c r="D81" s="10"/>
      <c r="E81" s="11"/>
      <c r="F81" s="11"/>
      <c r="G81" s="8"/>
      <c r="H81" s="11"/>
      <c r="I81" s="12"/>
      <c r="J81" s="13" t="str">
        <f aca="false">IF(OR($A81="",$D81=""),"",IF($C81="",1,$C81)*$D81+N($E81)-N($F81))</f>
        <v/>
      </c>
      <c r="K81" s="13" t="str">
        <f aca="false">IF($J81="","",IF($R81&lt;&gt;"",$R81,IF($G81="",0,MAX(IFERROR(INDEX(Settings!$D$6:$D$15,MATCH($G81,Settings!$A$6:$A$15,0)),0),$J81*IFERROR(INDEX(Settings!$B$6:$B$15,MATCH($G81,Settings!$A$6:$A$15,0)),0)+IFERROR(INDEX(Settings!$C$6:$C$15,MATCH($G81,Settings!$A$6:$A$15,0)),0)))))</f>
        <v/>
      </c>
      <c r="L81" s="13" t="str">
        <f aca="false">IF($J81="","",IF($C81="",1,$C81)*IF($Q81&lt;&gt;"",$Q81,IFERROR(INDEX(Products!$D$5:$D$54,MATCH($B81,Products!$A$5:$A$54,0)),0)))</f>
        <v/>
      </c>
      <c r="M81" s="14" t="str">
        <f aca="false">IF($J81="","",$J81-$K81-N($H81)-$L81)</f>
        <v/>
      </c>
      <c r="N81" s="15" t="str">
        <f aca="false">IF($J81="","",IF($J81&gt;0,$M81/$J81,""))</f>
        <v/>
      </c>
      <c r="O81" s="12"/>
      <c r="P81" s="12"/>
      <c r="Q81" s="11"/>
      <c r="R81" s="11"/>
      <c r="S81" s="12"/>
      <c r="T81" s="16" t="str">
        <f aca="false">IF($J81="","",IF($C81="",1,$C81))</f>
        <v/>
      </c>
    </row>
    <row r="82" customFormat="false" ht="15" hidden="false" customHeight="false" outlineLevel="0" collapsed="false">
      <c r="A82" s="7"/>
      <c r="B82" s="8"/>
      <c r="C82" s="9"/>
      <c r="D82" s="10"/>
      <c r="E82" s="11"/>
      <c r="F82" s="11"/>
      <c r="G82" s="8"/>
      <c r="H82" s="11"/>
      <c r="I82" s="12"/>
      <c r="J82" s="13" t="str">
        <f aca="false">IF(OR($A82="",$D82=""),"",IF($C82="",1,$C82)*$D82+N($E82)-N($F82))</f>
        <v/>
      </c>
      <c r="K82" s="13" t="str">
        <f aca="false">IF($J82="","",IF($R82&lt;&gt;"",$R82,IF($G82="",0,MAX(IFERROR(INDEX(Settings!$D$6:$D$15,MATCH($G82,Settings!$A$6:$A$15,0)),0),$J82*IFERROR(INDEX(Settings!$B$6:$B$15,MATCH($G82,Settings!$A$6:$A$15,0)),0)+IFERROR(INDEX(Settings!$C$6:$C$15,MATCH($G82,Settings!$A$6:$A$15,0)),0)))))</f>
        <v/>
      </c>
      <c r="L82" s="13" t="str">
        <f aca="false">IF($J82="","",IF($C82="",1,$C82)*IF($Q82&lt;&gt;"",$Q82,IFERROR(INDEX(Products!$D$5:$D$54,MATCH($B82,Products!$A$5:$A$54,0)),0)))</f>
        <v/>
      </c>
      <c r="M82" s="14" t="str">
        <f aca="false">IF($J82="","",$J82-$K82-N($H82)-$L82)</f>
        <v/>
      </c>
      <c r="N82" s="15" t="str">
        <f aca="false">IF($J82="","",IF($J82&gt;0,$M82/$J82,""))</f>
        <v/>
      </c>
      <c r="O82" s="12"/>
      <c r="P82" s="12"/>
      <c r="Q82" s="11"/>
      <c r="R82" s="11"/>
      <c r="S82" s="12"/>
      <c r="T82" s="16" t="str">
        <f aca="false">IF($J82="","",IF($C82="",1,$C82))</f>
        <v/>
      </c>
    </row>
    <row r="83" customFormat="false" ht="15" hidden="false" customHeight="false" outlineLevel="0" collapsed="false">
      <c r="A83" s="7"/>
      <c r="B83" s="8"/>
      <c r="C83" s="9"/>
      <c r="D83" s="10"/>
      <c r="E83" s="11"/>
      <c r="F83" s="11"/>
      <c r="G83" s="8"/>
      <c r="H83" s="11"/>
      <c r="I83" s="12"/>
      <c r="J83" s="13" t="str">
        <f aca="false">IF(OR($A83="",$D83=""),"",IF($C83="",1,$C83)*$D83+N($E83)-N($F83))</f>
        <v/>
      </c>
      <c r="K83" s="13" t="str">
        <f aca="false">IF($J83="","",IF($R83&lt;&gt;"",$R83,IF($G83="",0,MAX(IFERROR(INDEX(Settings!$D$6:$D$15,MATCH($G83,Settings!$A$6:$A$15,0)),0),$J83*IFERROR(INDEX(Settings!$B$6:$B$15,MATCH($G83,Settings!$A$6:$A$15,0)),0)+IFERROR(INDEX(Settings!$C$6:$C$15,MATCH($G83,Settings!$A$6:$A$15,0)),0)))))</f>
        <v/>
      </c>
      <c r="L83" s="13" t="str">
        <f aca="false">IF($J83="","",IF($C83="",1,$C83)*IF($Q83&lt;&gt;"",$Q83,IFERROR(INDEX(Products!$D$5:$D$54,MATCH($B83,Products!$A$5:$A$54,0)),0)))</f>
        <v/>
      </c>
      <c r="M83" s="14" t="str">
        <f aca="false">IF($J83="","",$J83-$K83-N($H83)-$L83)</f>
        <v/>
      </c>
      <c r="N83" s="15" t="str">
        <f aca="false">IF($J83="","",IF($J83&gt;0,$M83/$J83,""))</f>
        <v/>
      </c>
      <c r="O83" s="12"/>
      <c r="P83" s="12"/>
      <c r="Q83" s="11"/>
      <c r="R83" s="11"/>
      <c r="S83" s="12"/>
      <c r="T83" s="16" t="str">
        <f aca="false">IF($J83="","",IF($C83="",1,$C83))</f>
        <v/>
      </c>
    </row>
    <row r="84" customFormat="false" ht="15" hidden="false" customHeight="false" outlineLevel="0" collapsed="false">
      <c r="A84" s="7"/>
      <c r="B84" s="8"/>
      <c r="C84" s="9"/>
      <c r="D84" s="10"/>
      <c r="E84" s="11"/>
      <c r="F84" s="11"/>
      <c r="G84" s="8"/>
      <c r="H84" s="11"/>
      <c r="I84" s="12"/>
      <c r="J84" s="13" t="str">
        <f aca="false">IF(OR($A84="",$D84=""),"",IF($C84="",1,$C84)*$D84+N($E84)-N($F84))</f>
        <v/>
      </c>
      <c r="K84" s="13" t="str">
        <f aca="false">IF($J84="","",IF($R84&lt;&gt;"",$R84,IF($G84="",0,MAX(IFERROR(INDEX(Settings!$D$6:$D$15,MATCH($G84,Settings!$A$6:$A$15,0)),0),$J84*IFERROR(INDEX(Settings!$B$6:$B$15,MATCH($G84,Settings!$A$6:$A$15,0)),0)+IFERROR(INDEX(Settings!$C$6:$C$15,MATCH($G84,Settings!$A$6:$A$15,0)),0)))))</f>
        <v/>
      </c>
      <c r="L84" s="13" t="str">
        <f aca="false">IF($J84="","",IF($C84="",1,$C84)*IF($Q84&lt;&gt;"",$Q84,IFERROR(INDEX(Products!$D$5:$D$54,MATCH($B84,Products!$A$5:$A$54,0)),0)))</f>
        <v/>
      </c>
      <c r="M84" s="14" t="str">
        <f aca="false">IF($J84="","",$J84-$K84-N($H84)-$L84)</f>
        <v/>
      </c>
      <c r="N84" s="15" t="str">
        <f aca="false">IF($J84="","",IF($J84&gt;0,$M84/$J84,""))</f>
        <v/>
      </c>
      <c r="O84" s="12"/>
      <c r="P84" s="12"/>
      <c r="Q84" s="11"/>
      <c r="R84" s="11"/>
      <c r="S84" s="12"/>
      <c r="T84" s="16" t="str">
        <f aca="false">IF($J84="","",IF($C84="",1,$C84))</f>
        <v/>
      </c>
    </row>
    <row r="85" customFormat="false" ht="15" hidden="false" customHeight="false" outlineLevel="0" collapsed="false">
      <c r="A85" s="7"/>
      <c r="B85" s="8"/>
      <c r="C85" s="9"/>
      <c r="D85" s="10"/>
      <c r="E85" s="11"/>
      <c r="F85" s="11"/>
      <c r="G85" s="8"/>
      <c r="H85" s="11"/>
      <c r="I85" s="12"/>
      <c r="J85" s="13" t="str">
        <f aca="false">IF(OR($A85="",$D85=""),"",IF($C85="",1,$C85)*$D85+N($E85)-N($F85))</f>
        <v/>
      </c>
      <c r="K85" s="13" t="str">
        <f aca="false">IF($J85="","",IF($R85&lt;&gt;"",$R85,IF($G85="",0,MAX(IFERROR(INDEX(Settings!$D$6:$D$15,MATCH($G85,Settings!$A$6:$A$15,0)),0),$J85*IFERROR(INDEX(Settings!$B$6:$B$15,MATCH($G85,Settings!$A$6:$A$15,0)),0)+IFERROR(INDEX(Settings!$C$6:$C$15,MATCH($G85,Settings!$A$6:$A$15,0)),0)))))</f>
        <v/>
      </c>
      <c r="L85" s="13" t="str">
        <f aca="false">IF($J85="","",IF($C85="",1,$C85)*IF($Q85&lt;&gt;"",$Q85,IFERROR(INDEX(Products!$D$5:$D$54,MATCH($B85,Products!$A$5:$A$54,0)),0)))</f>
        <v/>
      </c>
      <c r="M85" s="14" t="str">
        <f aca="false">IF($J85="","",$J85-$K85-N($H85)-$L85)</f>
        <v/>
      </c>
      <c r="N85" s="15" t="str">
        <f aca="false">IF($J85="","",IF($J85&gt;0,$M85/$J85,""))</f>
        <v/>
      </c>
      <c r="O85" s="12"/>
      <c r="P85" s="12"/>
      <c r="Q85" s="11"/>
      <c r="R85" s="11"/>
      <c r="S85" s="12"/>
      <c r="T85" s="16" t="str">
        <f aca="false">IF($J85="","",IF($C85="",1,$C85))</f>
        <v/>
      </c>
    </row>
    <row r="86" customFormat="false" ht="15" hidden="false" customHeight="false" outlineLevel="0" collapsed="false">
      <c r="A86" s="7"/>
      <c r="B86" s="8"/>
      <c r="C86" s="9"/>
      <c r="D86" s="10"/>
      <c r="E86" s="11"/>
      <c r="F86" s="11"/>
      <c r="G86" s="8"/>
      <c r="H86" s="11"/>
      <c r="I86" s="12"/>
      <c r="J86" s="13" t="str">
        <f aca="false">IF(OR($A86="",$D86=""),"",IF($C86="",1,$C86)*$D86+N($E86)-N($F86))</f>
        <v/>
      </c>
      <c r="K86" s="13" t="str">
        <f aca="false">IF($J86="","",IF($R86&lt;&gt;"",$R86,IF($G86="",0,MAX(IFERROR(INDEX(Settings!$D$6:$D$15,MATCH($G86,Settings!$A$6:$A$15,0)),0),$J86*IFERROR(INDEX(Settings!$B$6:$B$15,MATCH($G86,Settings!$A$6:$A$15,0)),0)+IFERROR(INDEX(Settings!$C$6:$C$15,MATCH($G86,Settings!$A$6:$A$15,0)),0)))))</f>
        <v/>
      </c>
      <c r="L86" s="13" t="str">
        <f aca="false">IF($J86="","",IF($C86="",1,$C86)*IF($Q86&lt;&gt;"",$Q86,IFERROR(INDEX(Products!$D$5:$D$54,MATCH($B86,Products!$A$5:$A$54,0)),0)))</f>
        <v/>
      </c>
      <c r="M86" s="14" t="str">
        <f aca="false">IF($J86="","",$J86-$K86-N($H86)-$L86)</f>
        <v/>
      </c>
      <c r="N86" s="15" t="str">
        <f aca="false">IF($J86="","",IF($J86&gt;0,$M86/$J86,""))</f>
        <v/>
      </c>
      <c r="O86" s="12"/>
      <c r="P86" s="12"/>
      <c r="Q86" s="11"/>
      <c r="R86" s="11"/>
      <c r="S86" s="12"/>
      <c r="T86" s="16" t="str">
        <f aca="false">IF($J86="","",IF($C86="",1,$C86))</f>
        <v/>
      </c>
    </row>
    <row r="87" customFormat="false" ht="15" hidden="false" customHeight="false" outlineLevel="0" collapsed="false">
      <c r="A87" s="7"/>
      <c r="B87" s="8"/>
      <c r="C87" s="9"/>
      <c r="D87" s="10"/>
      <c r="E87" s="11"/>
      <c r="F87" s="11"/>
      <c r="G87" s="8"/>
      <c r="H87" s="11"/>
      <c r="I87" s="12"/>
      <c r="J87" s="13" t="str">
        <f aca="false">IF(OR($A87="",$D87=""),"",IF($C87="",1,$C87)*$D87+N($E87)-N($F87))</f>
        <v/>
      </c>
      <c r="K87" s="13" t="str">
        <f aca="false">IF($J87="","",IF($R87&lt;&gt;"",$R87,IF($G87="",0,MAX(IFERROR(INDEX(Settings!$D$6:$D$15,MATCH($G87,Settings!$A$6:$A$15,0)),0),$J87*IFERROR(INDEX(Settings!$B$6:$B$15,MATCH($G87,Settings!$A$6:$A$15,0)),0)+IFERROR(INDEX(Settings!$C$6:$C$15,MATCH($G87,Settings!$A$6:$A$15,0)),0)))))</f>
        <v/>
      </c>
      <c r="L87" s="13" t="str">
        <f aca="false">IF($J87="","",IF($C87="",1,$C87)*IF($Q87&lt;&gt;"",$Q87,IFERROR(INDEX(Products!$D$5:$D$54,MATCH($B87,Products!$A$5:$A$54,0)),0)))</f>
        <v/>
      </c>
      <c r="M87" s="14" t="str">
        <f aca="false">IF($J87="","",$J87-$K87-N($H87)-$L87)</f>
        <v/>
      </c>
      <c r="N87" s="15" t="str">
        <f aca="false">IF($J87="","",IF($J87&gt;0,$M87/$J87,""))</f>
        <v/>
      </c>
      <c r="O87" s="12"/>
      <c r="P87" s="12"/>
      <c r="Q87" s="11"/>
      <c r="R87" s="11"/>
      <c r="S87" s="12"/>
      <c r="T87" s="16" t="str">
        <f aca="false">IF($J87="","",IF($C87="",1,$C87))</f>
        <v/>
      </c>
    </row>
    <row r="88" customFormat="false" ht="15" hidden="false" customHeight="false" outlineLevel="0" collapsed="false">
      <c r="A88" s="7"/>
      <c r="B88" s="8"/>
      <c r="C88" s="9"/>
      <c r="D88" s="10"/>
      <c r="E88" s="11"/>
      <c r="F88" s="11"/>
      <c r="G88" s="8"/>
      <c r="H88" s="11"/>
      <c r="I88" s="12"/>
      <c r="J88" s="13" t="str">
        <f aca="false">IF(OR($A88="",$D88=""),"",IF($C88="",1,$C88)*$D88+N($E88)-N($F88))</f>
        <v/>
      </c>
      <c r="K88" s="13" t="str">
        <f aca="false">IF($J88="","",IF($R88&lt;&gt;"",$R88,IF($G88="",0,MAX(IFERROR(INDEX(Settings!$D$6:$D$15,MATCH($G88,Settings!$A$6:$A$15,0)),0),$J88*IFERROR(INDEX(Settings!$B$6:$B$15,MATCH($G88,Settings!$A$6:$A$15,0)),0)+IFERROR(INDEX(Settings!$C$6:$C$15,MATCH($G88,Settings!$A$6:$A$15,0)),0)))))</f>
        <v/>
      </c>
      <c r="L88" s="13" t="str">
        <f aca="false">IF($J88="","",IF($C88="",1,$C88)*IF($Q88&lt;&gt;"",$Q88,IFERROR(INDEX(Products!$D$5:$D$54,MATCH($B88,Products!$A$5:$A$54,0)),0)))</f>
        <v/>
      </c>
      <c r="M88" s="14" t="str">
        <f aca="false">IF($J88="","",$J88-$K88-N($H88)-$L88)</f>
        <v/>
      </c>
      <c r="N88" s="15" t="str">
        <f aca="false">IF($J88="","",IF($J88&gt;0,$M88/$J88,""))</f>
        <v/>
      </c>
      <c r="O88" s="12"/>
      <c r="P88" s="12"/>
      <c r="Q88" s="11"/>
      <c r="R88" s="11"/>
      <c r="S88" s="12"/>
      <c r="T88" s="16" t="str">
        <f aca="false">IF($J88="","",IF($C88="",1,$C88))</f>
        <v/>
      </c>
    </row>
    <row r="89" customFormat="false" ht="15" hidden="false" customHeight="false" outlineLevel="0" collapsed="false">
      <c r="A89" s="7"/>
      <c r="B89" s="8"/>
      <c r="C89" s="9"/>
      <c r="D89" s="10"/>
      <c r="E89" s="11"/>
      <c r="F89" s="11"/>
      <c r="G89" s="8"/>
      <c r="H89" s="11"/>
      <c r="I89" s="12"/>
      <c r="J89" s="13" t="str">
        <f aca="false">IF(OR($A89="",$D89=""),"",IF($C89="",1,$C89)*$D89+N($E89)-N($F89))</f>
        <v/>
      </c>
      <c r="K89" s="13" t="str">
        <f aca="false">IF($J89="","",IF($R89&lt;&gt;"",$R89,IF($G89="",0,MAX(IFERROR(INDEX(Settings!$D$6:$D$15,MATCH($G89,Settings!$A$6:$A$15,0)),0),$J89*IFERROR(INDEX(Settings!$B$6:$B$15,MATCH($G89,Settings!$A$6:$A$15,0)),0)+IFERROR(INDEX(Settings!$C$6:$C$15,MATCH($G89,Settings!$A$6:$A$15,0)),0)))))</f>
        <v/>
      </c>
      <c r="L89" s="13" t="str">
        <f aca="false">IF($J89="","",IF($C89="",1,$C89)*IF($Q89&lt;&gt;"",$Q89,IFERROR(INDEX(Products!$D$5:$D$54,MATCH($B89,Products!$A$5:$A$54,0)),0)))</f>
        <v/>
      </c>
      <c r="M89" s="14" t="str">
        <f aca="false">IF($J89="","",$J89-$K89-N($H89)-$L89)</f>
        <v/>
      </c>
      <c r="N89" s="15" t="str">
        <f aca="false">IF($J89="","",IF($J89&gt;0,$M89/$J89,""))</f>
        <v/>
      </c>
      <c r="O89" s="12"/>
      <c r="P89" s="12"/>
      <c r="Q89" s="11"/>
      <c r="R89" s="11"/>
      <c r="S89" s="12"/>
      <c r="T89" s="16" t="str">
        <f aca="false">IF($J89="","",IF($C89="",1,$C89))</f>
        <v/>
      </c>
    </row>
    <row r="90" customFormat="false" ht="15" hidden="false" customHeight="false" outlineLevel="0" collapsed="false">
      <c r="A90" s="7"/>
      <c r="B90" s="8"/>
      <c r="C90" s="9"/>
      <c r="D90" s="10"/>
      <c r="E90" s="11"/>
      <c r="F90" s="11"/>
      <c r="G90" s="8"/>
      <c r="H90" s="11"/>
      <c r="I90" s="12"/>
      <c r="J90" s="13" t="str">
        <f aca="false">IF(OR($A90="",$D90=""),"",IF($C90="",1,$C90)*$D90+N($E90)-N($F90))</f>
        <v/>
      </c>
      <c r="K90" s="13" t="str">
        <f aca="false">IF($J90="","",IF($R90&lt;&gt;"",$R90,IF($G90="",0,MAX(IFERROR(INDEX(Settings!$D$6:$D$15,MATCH($G90,Settings!$A$6:$A$15,0)),0),$J90*IFERROR(INDEX(Settings!$B$6:$B$15,MATCH($G90,Settings!$A$6:$A$15,0)),0)+IFERROR(INDEX(Settings!$C$6:$C$15,MATCH($G90,Settings!$A$6:$A$15,0)),0)))))</f>
        <v/>
      </c>
      <c r="L90" s="13" t="str">
        <f aca="false">IF($J90="","",IF($C90="",1,$C90)*IF($Q90&lt;&gt;"",$Q90,IFERROR(INDEX(Products!$D$5:$D$54,MATCH($B90,Products!$A$5:$A$54,0)),0)))</f>
        <v/>
      </c>
      <c r="M90" s="14" t="str">
        <f aca="false">IF($J90="","",$J90-$K90-N($H90)-$L90)</f>
        <v/>
      </c>
      <c r="N90" s="15" t="str">
        <f aca="false">IF($J90="","",IF($J90&gt;0,$M90/$J90,""))</f>
        <v/>
      </c>
      <c r="O90" s="12"/>
      <c r="P90" s="12"/>
      <c r="Q90" s="11"/>
      <c r="R90" s="11"/>
      <c r="S90" s="12"/>
      <c r="T90" s="16" t="str">
        <f aca="false">IF($J90="","",IF($C90="",1,$C90))</f>
        <v/>
      </c>
    </row>
    <row r="91" customFormat="false" ht="15" hidden="false" customHeight="false" outlineLevel="0" collapsed="false">
      <c r="A91" s="7"/>
      <c r="B91" s="8"/>
      <c r="C91" s="9"/>
      <c r="D91" s="10"/>
      <c r="E91" s="11"/>
      <c r="F91" s="11"/>
      <c r="G91" s="8"/>
      <c r="H91" s="11"/>
      <c r="I91" s="12"/>
      <c r="J91" s="13" t="str">
        <f aca="false">IF(OR($A91="",$D91=""),"",IF($C91="",1,$C91)*$D91+N($E91)-N($F91))</f>
        <v/>
      </c>
      <c r="K91" s="13" t="str">
        <f aca="false">IF($J91="","",IF($R91&lt;&gt;"",$R91,IF($G91="",0,MAX(IFERROR(INDEX(Settings!$D$6:$D$15,MATCH($G91,Settings!$A$6:$A$15,0)),0),$J91*IFERROR(INDEX(Settings!$B$6:$B$15,MATCH($G91,Settings!$A$6:$A$15,0)),0)+IFERROR(INDEX(Settings!$C$6:$C$15,MATCH($G91,Settings!$A$6:$A$15,0)),0)))))</f>
        <v/>
      </c>
      <c r="L91" s="13" t="str">
        <f aca="false">IF($J91="","",IF($C91="",1,$C91)*IF($Q91&lt;&gt;"",$Q91,IFERROR(INDEX(Products!$D$5:$D$54,MATCH($B91,Products!$A$5:$A$54,0)),0)))</f>
        <v/>
      </c>
      <c r="M91" s="14" t="str">
        <f aca="false">IF($J91="","",$J91-$K91-N($H91)-$L91)</f>
        <v/>
      </c>
      <c r="N91" s="15" t="str">
        <f aca="false">IF($J91="","",IF($J91&gt;0,$M91/$J91,""))</f>
        <v/>
      </c>
      <c r="O91" s="12"/>
      <c r="P91" s="12"/>
      <c r="Q91" s="11"/>
      <c r="R91" s="11"/>
      <c r="S91" s="12"/>
      <c r="T91" s="16" t="str">
        <f aca="false">IF($J91="","",IF($C91="",1,$C91))</f>
        <v/>
      </c>
    </row>
    <row r="92" customFormat="false" ht="15" hidden="false" customHeight="false" outlineLevel="0" collapsed="false">
      <c r="A92" s="7"/>
      <c r="B92" s="8"/>
      <c r="C92" s="9"/>
      <c r="D92" s="10"/>
      <c r="E92" s="11"/>
      <c r="F92" s="11"/>
      <c r="G92" s="8"/>
      <c r="H92" s="11"/>
      <c r="I92" s="12"/>
      <c r="J92" s="13" t="str">
        <f aca="false">IF(OR($A92="",$D92=""),"",IF($C92="",1,$C92)*$D92+N($E92)-N($F92))</f>
        <v/>
      </c>
      <c r="K92" s="13" t="str">
        <f aca="false">IF($J92="","",IF($R92&lt;&gt;"",$R92,IF($G92="",0,MAX(IFERROR(INDEX(Settings!$D$6:$D$15,MATCH($G92,Settings!$A$6:$A$15,0)),0),$J92*IFERROR(INDEX(Settings!$B$6:$B$15,MATCH($G92,Settings!$A$6:$A$15,0)),0)+IFERROR(INDEX(Settings!$C$6:$C$15,MATCH($G92,Settings!$A$6:$A$15,0)),0)))))</f>
        <v/>
      </c>
      <c r="L92" s="13" t="str">
        <f aca="false">IF($J92="","",IF($C92="",1,$C92)*IF($Q92&lt;&gt;"",$Q92,IFERROR(INDEX(Products!$D$5:$D$54,MATCH($B92,Products!$A$5:$A$54,0)),0)))</f>
        <v/>
      </c>
      <c r="M92" s="14" t="str">
        <f aca="false">IF($J92="","",$J92-$K92-N($H92)-$L92)</f>
        <v/>
      </c>
      <c r="N92" s="15" t="str">
        <f aca="false">IF($J92="","",IF($J92&gt;0,$M92/$J92,""))</f>
        <v/>
      </c>
      <c r="O92" s="12"/>
      <c r="P92" s="12"/>
      <c r="Q92" s="11"/>
      <c r="R92" s="11"/>
      <c r="S92" s="12"/>
      <c r="T92" s="16" t="str">
        <f aca="false">IF($J92="","",IF($C92="",1,$C92))</f>
        <v/>
      </c>
    </row>
    <row r="93" customFormat="false" ht="15" hidden="false" customHeight="false" outlineLevel="0" collapsed="false">
      <c r="A93" s="7"/>
      <c r="B93" s="8"/>
      <c r="C93" s="9"/>
      <c r="D93" s="10"/>
      <c r="E93" s="11"/>
      <c r="F93" s="11"/>
      <c r="G93" s="8"/>
      <c r="H93" s="11"/>
      <c r="I93" s="12"/>
      <c r="J93" s="13" t="str">
        <f aca="false">IF(OR($A93="",$D93=""),"",IF($C93="",1,$C93)*$D93+N($E93)-N($F93))</f>
        <v/>
      </c>
      <c r="K93" s="13" t="str">
        <f aca="false">IF($J93="","",IF($R93&lt;&gt;"",$R93,IF($G93="",0,MAX(IFERROR(INDEX(Settings!$D$6:$D$15,MATCH($G93,Settings!$A$6:$A$15,0)),0),$J93*IFERROR(INDEX(Settings!$B$6:$B$15,MATCH($G93,Settings!$A$6:$A$15,0)),0)+IFERROR(INDEX(Settings!$C$6:$C$15,MATCH($G93,Settings!$A$6:$A$15,0)),0)))))</f>
        <v/>
      </c>
      <c r="L93" s="13" t="str">
        <f aca="false">IF($J93="","",IF($C93="",1,$C93)*IF($Q93&lt;&gt;"",$Q93,IFERROR(INDEX(Products!$D$5:$D$54,MATCH($B93,Products!$A$5:$A$54,0)),0)))</f>
        <v/>
      </c>
      <c r="M93" s="14" t="str">
        <f aca="false">IF($J93="","",$J93-$K93-N($H93)-$L93)</f>
        <v/>
      </c>
      <c r="N93" s="15" t="str">
        <f aca="false">IF($J93="","",IF($J93&gt;0,$M93/$J93,""))</f>
        <v/>
      </c>
      <c r="O93" s="12"/>
      <c r="P93" s="12"/>
      <c r="Q93" s="11"/>
      <c r="R93" s="11"/>
      <c r="S93" s="12"/>
      <c r="T93" s="16" t="str">
        <f aca="false">IF($J93="","",IF($C93="",1,$C93))</f>
        <v/>
      </c>
    </row>
    <row r="94" customFormat="false" ht="15" hidden="false" customHeight="false" outlineLevel="0" collapsed="false">
      <c r="A94" s="7"/>
      <c r="B94" s="8"/>
      <c r="C94" s="9"/>
      <c r="D94" s="10"/>
      <c r="E94" s="11"/>
      <c r="F94" s="11"/>
      <c r="G94" s="8"/>
      <c r="H94" s="11"/>
      <c r="I94" s="12"/>
      <c r="J94" s="13" t="str">
        <f aca="false">IF(OR($A94="",$D94=""),"",IF($C94="",1,$C94)*$D94+N($E94)-N($F94))</f>
        <v/>
      </c>
      <c r="K94" s="13" t="str">
        <f aca="false">IF($J94="","",IF($R94&lt;&gt;"",$R94,IF($G94="",0,MAX(IFERROR(INDEX(Settings!$D$6:$D$15,MATCH($G94,Settings!$A$6:$A$15,0)),0),$J94*IFERROR(INDEX(Settings!$B$6:$B$15,MATCH($G94,Settings!$A$6:$A$15,0)),0)+IFERROR(INDEX(Settings!$C$6:$C$15,MATCH($G94,Settings!$A$6:$A$15,0)),0)))))</f>
        <v/>
      </c>
      <c r="L94" s="13" t="str">
        <f aca="false">IF($J94="","",IF($C94="",1,$C94)*IF($Q94&lt;&gt;"",$Q94,IFERROR(INDEX(Products!$D$5:$D$54,MATCH($B94,Products!$A$5:$A$54,0)),0)))</f>
        <v/>
      </c>
      <c r="M94" s="14" t="str">
        <f aca="false">IF($J94="","",$J94-$K94-N($H94)-$L94)</f>
        <v/>
      </c>
      <c r="N94" s="15" t="str">
        <f aca="false">IF($J94="","",IF($J94&gt;0,$M94/$J94,""))</f>
        <v/>
      </c>
      <c r="O94" s="12"/>
      <c r="P94" s="12"/>
      <c r="Q94" s="11"/>
      <c r="R94" s="11"/>
      <c r="S94" s="12"/>
      <c r="T94" s="16" t="str">
        <f aca="false">IF($J94="","",IF($C94="",1,$C94))</f>
        <v/>
      </c>
    </row>
    <row r="95" customFormat="false" ht="15" hidden="false" customHeight="false" outlineLevel="0" collapsed="false">
      <c r="A95" s="7"/>
      <c r="B95" s="8"/>
      <c r="C95" s="9"/>
      <c r="D95" s="10"/>
      <c r="E95" s="11"/>
      <c r="F95" s="11"/>
      <c r="G95" s="8"/>
      <c r="H95" s="11"/>
      <c r="I95" s="12"/>
      <c r="J95" s="13" t="str">
        <f aca="false">IF(OR($A95="",$D95=""),"",IF($C95="",1,$C95)*$D95+N($E95)-N($F95))</f>
        <v/>
      </c>
      <c r="K95" s="13" t="str">
        <f aca="false">IF($J95="","",IF($R95&lt;&gt;"",$R95,IF($G95="",0,MAX(IFERROR(INDEX(Settings!$D$6:$D$15,MATCH($G95,Settings!$A$6:$A$15,0)),0),$J95*IFERROR(INDEX(Settings!$B$6:$B$15,MATCH($G95,Settings!$A$6:$A$15,0)),0)+IFERROR(INDEX(Settings!$C$6:$C$15,MATCH($G95,Settings!$A$6:$A$15,0)),0)))))</f>
        <v/>
      </c>
      <c r="L95" s="13" t="str">
        <f aca="false">IF($J95="","",IF($C95="",1,$C95)*IF($Q95&lt;&gt;"",$Q95,IFERROR(INDEX(Products!$D$5:$D$54,MATCH($B95,Products!$A$5:$A$54,0)),0)))</f>
        <v/>
      </c>
      <c r="M95" s="14" t="str">
        <f aca="false">IF($J95="","",$J95-$K95-N($H95)-$L95)</f>
        <v/>
      </c>
      <c r="N95" s="15" t="str">
        <f aca="false">IF($J95="","",IF($J95&gt;0,$M95/$J95,""))</f>
        <v/>
      </c>
      <c r="O95" s="12"/>
      <c r="P95" s="12"/>
      <c r="Q95" s="11"/>
      <c r="R95" s="11"/>
      <c r="S95" s="12"/>
      <c r="T95" s="16" t="str">
        <f aca="false">IF($J95="","",IF($C95="",1,$C95))</f>
        <v/>
      </c>
    </row>
    <row r="96" customFormat="false" ht="15" hidden="false" customHeight="false" outlineLevel="0" collapsed="false">
      <c r="A96" s="7"/>
      <c r="B96" s="8"/>
      <c r="C96" s="9"/>
      <c r="D96" s="10"/>
      <c r="E96" s="11"/>
      <c r="F96" s="11"/>
      <c r="G96" s="8"/>
      <c r="H96" s="11"/>
      <c r="I96" s="12"/>
      <c r="J96" s="13" t="str">
        <f aca="false">IF(OR($A96="",$D96=""),"",IF($C96="",1,$C96)*$D96+N($E96)-N($F96))</f>
        <v/>
      </c>
      <c r="K96" s="13" t="str">
        <f aca="false">IF($J96="","",IF($R96&lt;&gt;"",$R96,IF($G96="",0,MAX(IFERROR(INDEX(Settings!$D$6:$D$15,MATCH($G96,Settings!$A$6:$A$15,0)),0),$J96*IFERROR(INDEX(Settings!$B$6:$B$15,MATCH($G96,Settings!$A$6:$A$15,0)),0)+IFERROR(INDEX(Settings!$C$6:$C$15,MATCH($G96,Settings!$A$6:$A$15,0)),0)))))</f>
        <v/>
      </c>
      <c r="L96" s="13" t="str">
        <f aca="false">IF($J96="","",IF($C96="",1,$C96)*IF($Q96&lt;&gt;"",$Q96,IFERROR(INDEX(Products!$D$5:$D$54,MATCH($B96,Products!$A$5:$A$54,0)),0)))</f>
        <v/>
      </c>
      <c r="M96" s="14" t="str">
        <f aca="false">IF($J96="","",$J96-$K96-N($H96)-$L96)</f>
        <v/>
      </c>
      <c r="N96" s="15" t="str">
        <f aca="false">IF($J96="","",IF($J96&gt;0,$M96/$J96,""))</f>
        <v/>
      </c>
      <c r="O96" s="12"/>
      <c r="P96" s="12"/>
      <c r="Q96" s="11"/>
      <c r="R96" s="11"/>
      <c r="S96" s="12"/>
      <c r="T96" s="16" t="str">
        <f aca="false">IF($J96="","",IF($C96="",1,$C96))</f>
        <v/>
      </c>
    </row>
    <row r="97" customFormat="false" ht="15" hidden="false" customHeight="false" outlineLevel="0" collapsed="false">
      <c r="A97" s="7"/>
      <c r="B97" s="8"/>
      <c r="C97" s="9"/>
      <c r="D97" s="10"/>
      <c r="E97" s="11"/>
      <c r="F97" s="11"/>
      <c r="G97" s="8"/>
      <c r="H97" s="11"/>
      <c r="I97" s="12"/>
      <c r="J97" s="13" t="str">
        <f aca="false">IF(OR($A97="",$D97=""),"",IF($C97="",1,$C97)*$D97+N($E97)-N($F97))</f>
        <v/>
      </c>
      <c r="K97" s="13" t="str">
        <f aca="false">IF($J97="","",IF($R97&lt;&gt;"",$R97,IF($G97="",0,MAX(IFERROR(INDEX(Settings!$D$6:$D$15,MATCH($G97,Settings!$A$6:$A$15,0)),0),$J97*IFERROR(INDEX(Settings!$B$6:$B$15,MATCH($G97,Settings!$A$6:$A$15,0)),0)+IFERROR(INDEX(Settings!$C$6:$C$15,MATCH($G97,Settings!$A$6:$A$15,0)),0)))))</f>
        <v/>
      </c>
      <c r="L97" s="13" t="str">
        <f aca="false">IF($J97="","",IF($C97="",1,$C97)*IF($Q97&lt;&gt;"",$Q97,IFERROR(INDEX(Products!$D$5:$D$54,MATCH($B97,Products!$A$5:$A$54,0)),0)))</f>
        <v/>
      </c>
      <c r="M97" s="14" t="str">
        <f aca="false">IF($J97="","",$J97-$K97-N($H97)-$L97)</f>
        <v/>
      </c>
      <c r="N97" s="15" t="str">
        <f aca="false">IF($J97="","",IF($J97&gt;0,$M97/$J97,""))</f>
        <v/>
      </c>
      <c r="O97" s="12"/>
      <c r="P97" s="12"/>
      <c r="Q97" s="11"/>
      <c r="R97" s="11"/>
      <c r="S97" s="12"/>
      <c r="T97" s="16" t="str">
        <f aca="false">IF($J97="","",IF($C97="",1,$C97))</f>
        <v/>
      </c>
    </row>
    <row r="98" customFormat="false" ht="15" hidden="false" customHeight="false" outlineLevel="0" collapsed="false">
      <c r="A98" s="7"/>
      <c r="B98" s="8"/>
      <c r="C98" s="9"/>
      <c r="D98" s="10"/>
      <c r="E98" s="11"/>
      <c r="F98" s="11"/>
      <c r="G98" s="8"/>
      <c r="H98" s="11"/>
      <c r="I98" s="12"/>
      <c r="J98" s="13" t="str">
        <f aca="false">IF(OR($A98="",$D98=""),"",IF($C98="",1,$C98)*$D98+N($E98)-N($F98))</f>
        <v/>
      </c>
      <c r="K98" s="13" t="str">
        <f aca="false">IF($J98="","",IF($R98&lt;&gt;"",$R98,IF($G98="",0,MAX(IFERROR(INDEX(Settings!$D$6:$D$15,MATCH($G98,Settings!$A$6:$A$15,0)),0),$J98*IFERROR(INDEX(Settings!$B$6:$B$15,MATCH($G98,Settings!$A$6:$A$15,0)),0)+IFERROR(INDEX(Settings!$C$6:$C$15,MATCH($G98,Settings!$A$6:$A$15,0)),0)))))</f>
        <v/>
      </c>
      <c r="L98" s="13" t="str">
        <f aca="false">IF($J98="","",IF($C98="",1,$C98)*IF($Q98&lt;&gt;"",$Q98,IFERROR(INDEX(Products!$D$5:$D$54,MATCH($B98,Products!$A$5:$A$54,0)),0)))</f>
        <v/>
      </c>
      <c r="M98" s="14" t="str">
        <f aca="false">IF($J98="","",$J98-$K98-N($H98)-$L98)</f>
        <v/>
      </c>
      <c r="N98" s="15" t="str">
        <f aca="false">IF($J98="","",IF($J98&gt;0,$M98/$J98,""))</f>
        <v/>
      </c>
      <c r="O98" s="12"/>
      <c r="P98" s="12"/>
      <c r="Q98" s="11"/>
      <c r="R98" s="11"/>
      <c r="S98" s="12"/>
      <c r="T98" s="16" t="str">
        <f aca="false">IF($J98="","",IF($C98="",1,$C98))</f>
        <v/>
      </c>
    </row>
    <row r="99" customFormat="false" ht="15" hidden="false" customHeight="false" outlineLevel="0" collapsed="false">
      <c r="A99" s="7"/>
      <c r="B99" s="8"/>
      <c r="C99" s="9"/>
      <c r="D99" s="10"/>
      <c r="E99" s="11"/>
      <c r="F99" s="11"/>
      <c r="G99" s="8"/>
      <c r="H99" s="11"/>
      <c r="I99" s="12"/>
      <c r="J99" s="13" t="str">
        <f aca="false">IF(OR($A99="",$D99=""),"",IF($C99="",1,$C99)*$D99+N($E99)-N($F99))</f>
        <v/>
      </c>
      <c r="K99" s="13" t="str">
        <f aca="false">IF($J99="","",IF($R99&lt;&gt;"",$R99,IF($G99="",0,MAX(IFERROR(INDEX(Settings!$D$6:$D$15,MATCH($G99,Settings!$A$6:$A$15,0)),0),$J99*IFERROR(INDEX(Settings!$B$6:$B$15,MATCH($G99,Settings!$A$6:$A$15,0)),0)+IFERROR(INDEX(Settings!$C$6:$C$15,MATCH($G99,Settings!$A$6:$A$15,0)),0)))))</f>
        <v/>
      </c>
      <c r="L99" s="13" t="str">
        <f aca="false">IF($J99="","",IF($C99="",1,$C99)*IF($Q99&lt;&gt;"",$Q99,IFERROR(INDEX(Products!$D$5:$D$54,MATCH($B99,Products!$A$5:$A$54,0)),0)))</f>
        <v/>
      </c>
      <c r="M99" s="14" t="str">
        <f aca="false">IF($J99="","",$J99-$K99-N($H99)-$L99)</f>
        <v/>
      </c>
      <c r="N99" s="15" t="str">
        <f aca="false">IF($J99="","",IF($J99&gt;0,$M99/$J99,""))</f>
        <v/>
      </c>
      <c r="O99" s="12"/>
      <c r="P99" s="12"/>
      <c r="Q99" s="11"/>
      <c r="R99" s="11"/>
      <c r="S99" s="12"/>
      <c r="T99" s="16" t="str">
        <f aca="false">IF($J99="","",IF($C99="",1,$C99))</f>
        <v/>
      </c>
    </row>
    <row r="100" customFormat="false" ht="15" hidden="false" customHeight="false" outlineLevel="0" collapsed="false">
      <c r="A100" s="7"/>
      <c r="B100" s="8"/>
      <c r="C100" s="9"/>
      <c r="D100" s="10"/>
      <c r="E100" s="11"/>
      <c r="F100" s="11"/>
      <c r="G100" s="8"/>
      <c r="H100" s="11"/>
      <c r="I100" s="12"/>
      <c r="J100" s="13" t="str">
        <f aca="false">IF(OR($A100="",$D100=""),"",IF($C100="",1,$C100)*$D100+N($E100)-N($F100))</f>
        <v/>
      </c>
      <c r="K100" s="13" t="str">
        <f aca="false">IF($J100="","",IF($R100&lt;&gt;"",$R100,IF($G100="",0,MAX(IFERROR(INDEX(Settings!$D$6:$D$15,MATCH($G100,Settings!$A$6:$A$15,0)),0),$J100*IFERROR(INDEX(Settings!$B$6:$B$15,MATCH($G100,Settings!$A$6:$A$15,0)),0)+IFERROR(INDEX(Settings!$C$6:$C$15,MATCH($G100,Settings!$A$6:$A$15,0)),0)))))</f>
        <v/>
      </c>
      <c r="L100" s="13" t="str">
        <f aca="false">IF($J100="","",IF($C100="",1,$C100)*IF($Q100&lt;&gt;"",$Q100,IFERROR(INDEX(Products!$D$5:$D$54,MATCH($B100,Products!$A$5:$A$54,0)),0)))</f>
        <v/>
      </c>
      <c r="M100" s="14" t="str">
        <f aca="false">IF($J100="","",$J100-$K100-N($H100)-$L100)</f>
        <v/>
      </c>
      <c r="N100" s="15" t="str">
        <f aca="false">IF($J100="","",IF($J100&gt;0,$M100/$J100,""))</f>
        <v/>
      </c>
      <c r="O100" s="12"/>
      <c r="P100" s="12"/>
      <c r="Q100" s="11"/>
      <c r="R100" s="11"/>
      <c r="S100" s="12"/>
      <c r="T100" s="16" t="str">
        <f aca="false">IF($J100="","",IF($C100="",1,$C100))</f>
        <v/>
      </c>
    </row>
    <row r="101" customFormat="false" ht="15" hidden="false" customHeight="false" outlineLevel="0" collapsed="false">
      <c r="A101" s="7"/>
      <c r="B101" s="8"/>
      <c r="C101" s="9"/>
      <c r="D101" s="10"/>
      <c r="E101" s="11"/>
      <c r="F101" s="11"/>
      <c r="G101" s="8"/>
      <c r="H101" s="11"/>
      <c r="I101" s="12"/>
      <c r="J101" s="13" t="str">
        <f aca="false">IF(OR($A101="",$D101=""),"",IF($C101="",1,$C101)*$D101+N($E101)-N($F101))</f>
        <v/>
      </c>
      <c r="K101" s="13" t="str">
        <f aca="false">IF($J101="","",IF($R101&lt;&gt;"",$R101,IF($G101="",0,MAX(IFERROR(INDEX(Settings!$D$6:$D$15,MATCH($G101,Settings!$A$6:$A$15,0)),0),$J101*IFERROR(INDEX(Settings!$B$6:$B$15,MATCH($G101,Settings!$A$6:$A$15,0)),0)+IFERROR(INDEX(Settings!$C$6:$C$15,MATCH($G101,Settings!$A$6:$A$15,0)),0)))))</f>
        <v/>
      </c>
      <c r="L101" s="13" t="str">
        <f aca="false">IF($J101="","",IF($C101="",1,$C101)*IF($Q101&lt;&gt;"",$Q101,IFERROR(INDEX(Products!$D$5:$D$54,MATCH($B101,Products!$A$5:$A$54,0)),0)))</f>
        <v/>
      </c>
      <c r="M101" s="14" t="str">
        <f aca="false">IF($J101="","",$J101-$K101-N($H101)-$L101)</f>
        <v/>
      </c>
      <c r="N101" s="15" t="str">
        <f aca="false">IF($J101="","",IF($J101&gt;0,$M101/$J101,""))</f>
        <v/>
      </c>
      <c r="O101" s="12"/>
      <c r="P101" s="12"/>
      <c r="Q101" s="11"/>
      <c r="R101" s="11"/>
      <c r="S101" s="12"/>
      <c r="T101" s="16" t="str">
        <f aca="false">IF($J101="","",IF($C101="",1,$C101))</f>
        <v/>
      </c>
    </row>
    <row r="102" customFormat="false" ht="15" hidden="false" customHeight="false" outlineLevel="0" collapsed="false">
      <c r="A102" s="7"/>
      <c r="B102" s="8"/>
      <c r="C102" s="9"/>
      <c r="D102" s="10"/>
      <c r="E102" s="11"/>
      <c r="F102" s="11"/>
      <c r="G102" s="8"/>
      <c r="H102" s="11"/>
      <c r="I102" s="12"/>
      <c r="J102" s="13" t="str">
        <f aca="false">IF(OR($A102="",$D102=""),"",IF($C102="",1,$C102)*$D102+N($E102)-N($F102))</f>
        <v/>
      </c>
      <c r="K102" s="13" t="str">
        <f aca="false">IF($J102="","",IF($R102&lt;&gt;"",$R102,IF($G102="",0,MAX(IFERROR(INDEX(Settings!$D$6:$D$15,MATCH($G102,Settings!$A$6:$A$15,0)),0),$J102*IFERROR(INDEX(Settings!$B$6:$B$15,MATCH($G102,Settings!$A$6:$A$15,0)),0)+IFERROR(INDEX(Settings!$C$6:$C$15,MATCH($G102,Settings!$A$6:$A$15,0)),0)))))</f>
        <v/>
      </c>
      <c r="L102" s="13" t="str">
        <f aca="false">IF($J102="","",IF($C102="",1,$C102)*IF($Q102&lt;&gt;"",$Q102,IFERROR(INDEX(Products!$D$5:$D$54,MATCH($B102,Products!$A$5:$A$54,0)),0)))</f>
        <v/>
      </c>
      <c r="M102" s="14" t="str">
        <f aca="false">IF($J102="","",$J102-$K102-N($H102)-$L102)</f>
        <v/>
      </c>
      <c r="N102" s="15" t="str">
        <f aca="false">IF($J102="","",IF($J102&gt;0,$M102/$J102,""))</f>
        <v/>
      </c>
      <c r="O102" s="12"/>
      <c r="P102" s="12"/>
      <c r="Q102" s="11"/>
      <c r="R102" s="11"/>
      <c r="S102" s="12"/>
      <c r="T102" s="16" t="str">
        <f aca="false">IF($J102="","",IF($C102="",1,$C102))</f>
        <v/>
      </c>
    </row>
    <row r="103" customFormat="false" ht="15" hidden="false" customHeight="false" outlineLevel="0" collapsed="false">
      <c r="A103" s="7"/>
      <c r="B103" s="8"/>
      <c r="C103" s="9"/>
      <c r="D103" s="10"/>
      <c r="E103" s="11"/>
      <c r="F103" s="11"/>
      <c r="G103" s="8"/>
      <c r="H103" s="11"/>
      <c r="I103" s="12"/>
      <c r="J103" s="13" t="str">
        <f aca="false">IF(OR($A103="",$D103=""),"",IF($C103="",1,$C103)*$D103+N($E103)-N($F103))</f>
        <v/>
      </c>
      <c r="K103" s="13" t="str">
        <f aca="false">IF($J103="","",IF($R103&lt;&gt;"",$R103,IF($G103="",0,MAX(IFERROR(INDEX(Settings!$D$6:$D$15,MATCH($G103,Settings!$A$6:$A$15,0)),0),$J103*IFERROR(INDEX(Settings!$B$6:$B$15,MATCH($G103,Settings!$A$6:$A$15,0)),0)+IFERROR(INDEX(Settings!$C$6:$C$15,MATCH($G103,Settings!$A$6:$A$15,0)),0)))))</f>
        <v/>
      </c>
      <c r="L103" s="13" t="str">
        <f aca="false">IF($J103="","",IF($C103="",1,$C103)*IF($Q103&lt;&gt;"",$Q103,IFERROR(INDEX(Products!$D$5:$D$54,MATCH($B103,Products!$A$5:$A$54,0)),0)))</f>
        <v/>
      </c>
      <c r="M103" s="14" t="str">
        <f aca="false">IF($J103="","",$J103-$K103-N($H103)-$L103)</f>
        <v/>
      </c>
      <c r="N103" s="15" t="str">
        <f aca="false">IF($J103="","",IF($J103&gt;0,$M103/$J103,""))</f>
        <v/>
      </c>
      <c r="O103" s="12"/>
      <c r="P103" s="12"/>
      <c r="Q103" s="11"/>
      <c r="R103" s="11"/>
      <c r="S103" s="12"/>
      <c r="T103" s="16" t="str">
        <f aca="false">IF($J103="","",IF($C103="",1,$C103))</f>
        <v/>
      </c>
    </row>
    <row r="104" customFormat="false" ht="15" hidden="false" customHeight="false" outlineLevel="0" collapsed="false">
      <c r="A104" s="7"/>
      <c r="B104" s="8"/>
      <c r="C104" s="9"/>
      <c r="D104" s="10"/>
      <c r="E104" s="11"/>
      <c r="F104" s="11"/>
      <c r="G104" s="8"/>
      <c r="H104" s="11"/>
      <c r="I104" s="12"/>
      <c r="J104" s="13" t="str">
        <f aca="false">IF(OR($A104="",$D104=""),"",IF($C104="",1,$C104)*$D104+N($E104)-N($F104))</f>
        <v/>
      </c>
      <c r="K104" s="13" t="str">
        <f aca="false">IF($J104="","",IF($R104&lt;&gt;"",$R104,IF($G104="",0,MAX(IFERROR(INDEX(Settings!$D$6:$D$15,MATCH($G104,Settings!$A$6:$A$15,0)),0),$J104*IFERROR(INDEX(Settings!$B$6:$B$15,MATCH($G104,Settings!$A$6:$A$15,0)),0)+IFERROR(INDEX(Settings!$C$6:$C$15,MATCH($G104,Settings!$A$6:$A$15,0)),0)))))</f>
        <v/>
      </c>
      <c r="L104" s="13" t="str">
        <f aca="false">IF($J104="","",IF($C104="",1,$C104)*IF($Q104&lt;&gt;"",$Q104,IFERROR(INDEX(Products!$D$5:$D$54,MATCH($B104,Products!$A$5:$A$54,0)),0)))</f>
        <v/>
      </c>
      <c r="M104" s="14" t="str">
        <f aca="false">IF($J104="","",$J104-$K104-N($H104)-$L104)</f>
        <v/>
      </c>
      <c r="N104" s="15" t="str">
        <f aca="false">IF($J104="","",IF($J104&gt;0,$M104/$J104,""))</f>
        <v/>
      </c>
      <c r="O104" s="12"/>
      <c r="P104" s="12"/>
      <c r="Q104" s="11"/>
      <c r="R104" s="11"/>
      <c r="S104" s="12"/>
      <c r="T104" s="16" t="str">
        <f aca="false">IF($J104="","",IF($C104="",1,$C104))</f>
        <v/>
      </c>
    </row>
    <row r="105" customFormat="false" ht="15" hidden="false" customHeight="false" outlineLevel="0" collapsed="false">
      <c r="A105" s="7"/>
      <c r="B105" s="8"/>
      <c r="C105" s="9"/>
      <c r="D105" s="10"/>
      <c r="E105" s="11"/>
      <c r="F105" s="11"/>
      <c r="G105" s="8"/>
      <c r="H105" s="11"/>
      <c r="I105" s="12"/>
      <c r="J105" s="13" t="str">
        <f aca="false">IF(OR($A105="",$D105=""),"",IF($C105="",1,$C105)*$D105+N($E105)-N($F105))</f>
        <v/>
      </c>
      <c r="K105" s="13" t="str">
        <f aca="false">IF($J105="","",IF($R105&lt;&gt;"",$R105,IF($G105="",0,MAX(IFERROR(INDEX(Settings!$D$6:$D$15,MATCH($G105,Settings!$A$6:$A$15,0)),0),$J105*IFERROR(INDEX(Settings!$B$6:$B$15,MATCH($G105,Settings!$A$6:$A$15,0)),0)+IFERROR(INDEX(Settings!$C$6:$C$15,MATCH($G105,Settings!$A$6:$A$15,0)),0)))))</f>
        <v/>
      </c>
      <c r="L105" s="13" t="str">
        <f aca="false">IF($J105="","",IF($C105="",1,$C105)*IF($Q105&lt;&gt;"",$Q105,IFERROR(INDEX(Products!$D$5:$D$54,MATCH($B105,Products!$A$5:$A$54,0)),0)))</f>
        <v/>
      </c>
      <c r="M105" s="14" t="str">
        <f aca="false">IF($J105="","",$J105-$K105-N($H105)-$L105)</f>
        <v/>
      </c>
      <c r="N105" s="15" t="str">
        <f aca="false">IF($J105="","",IF($J105&gt;0,$M105/$J105,""))</f>
        <v/>
      </c>
      <c r="O105" s="12"/>
      <c r="P105" s="12"/>
      <c r="Q105" s="11"/>
      <c r="R105" s="11"/>
      <c r="S105" s="12"/>
      <c r="T105" s="16" t="str">
        <f aca="false">IF($J105="","",IF($C105="",1,$C105))</f>
        <v/>
      </c>
    </row>
    <row r="106" customFormat="false" ht="15" hidden="false" customHeight="false" outlineLevel="0" collapsed="false">
      <c r="A106" s="7"/>
      <c r="B106" s="8"/>
      <c r="C106" s="9"/>
      <c r="D106" s="10"/>
      <c r="E106" s="11"/>
      <c r="F106" s="11"/>
      <c r="G106" s="8"/>
      <c r="H106" s="11"/>
      <c r="I106" s="12"/>
      <c r="J106" s="13" t="str">
        <f aca="false">IF(OR($A106="",$D106=""),"",IF($C106="",1,$C106)*$D106+N($E106)-N($F106))</f>
        <v/>
      </c>
      <c r="K106" s="13" t="str">
        <f aca="false">IF($J106="","",IF($R106&lt;&gt;"",$R106,IF($G106="",0,MAX(IFERROR(INDEX(Settings!$D$6:$D$15,MATCH($G106,Settings!$A$6:$A$15,0)),0),$J106*IFERROR(INDEX(Settings!$B$6:$B$15,MATCH($G106,Settings!$A$6:$A$15,0)),0)+IFERROR(INDEX(Settings!$C$6:$C$15,MATCH($G106,Settings!$A$6:$A$15,0)),0)))))</f>
        <v/>
      </c>
      <c r="L106" s="13" t="str">
        <f aca="false">IF($J106="","",IF($C106="",1,$C106)*IF($Q106&lt;&gt;"",$Q106,IFERROR(INDEX(Products!$D$5:$D$54,MATCH($B106,Products!$A$5:$A$54,0)),0)))</f>
        <v/>
      </c>
      <c r="M106" s="14" t="str">
        <f aca="false">IF($J106="","",$J106-$K106-N($H106)-$L106)</f>
        <v/>
      </c>
      <c r="N106" s="15" t="str">
        <f aca="false">IF($J106="","",IF($J106&gt;0,$M106/$J106,""))</f>
        <v/>
      </c>
      <c r="O106" s="12"/>
      <c r="P106" s="12"/>
      <c r="Q106" s="11"/>
      <c r="R106" s="11"/>
      <c r="S106" s="12"/>
      <c r="T106" s="16" t="str">
        <f aca="false">IF($J106="","",IF($C106="",1,$C106))</f>
        <v/>
      </c>
    </row>
    <row r="107" customFormat="false" ht="15" hidden="false" customHeight="false" outlineLevel="0" collapsed="false">
      <c r="A107" s="7"/>
      <c r="B107" s="8"/>
      <c r="C107" s="9"/>
      <c r="D107" s="10"/>
      <c r="E107" s="11"/>
      <c r="F107" s="11"/>
      <c r="G107" s="8"/>
      <c r="H107" s="11"/>
      <c r="I107" s="12"/>
      <c r="J107" s="13" t="str">
        <f aca="false">IF(OR($A107="",$D107=""),"",IF($C107="",1,$C107)*$D107+N($E107)-N($F107))</f>
        <v/>
      </c>
      <c r="K107" s="13" t="str">
        <f aca="false">IF($J107="","",IF($R107&lt;&gt;"",$R107,IF($G107="",0,MAX(IFERROR(INDEX(Settings!$D$6:$D$15,MATCH($G107,Settings!$A$6:$A$15,0)),0),$J107*IFERROR(INDEX(Settings!$B$6:$B$15,MATCH($G107,Settings!$A$6:$A$15,0)),0)+IFERROR(INDEX(Settings!$C$6:$C$15,MATCH($G107,Settings!$A$6:$A$15,0)),0)))))</f>
        <v/>
      </c>
      <c r="L107" s="13" t="str">
        <f aca="false">IF($J107="","",IF($C107="",1,$C107)*IF($Q107&lt;&gt;"",$Q107,IFERROR(INDEX(Products!$D$5:$D$54,MATCH($B107,Products!$A$5:$A$54,0)),0)))</f>
        <v/>
      </c>
      <c r="M107" s="14" t="str">
        <f aca="false">IF($J107="","",$J107-$K107-N($H107)-$L107)</f>
        <v/>
      </c>
      <c r="N107" s="15" t="str">
        <f aca="false">IF($J107="","",IF($J107&gt;0,$M107/$J107,""))</f>
        <v/>
      </c>
      <c r="O107" s="12"/>
      <c r="P107" s="12"/>
      <c r="Q107" s="11"/>
      <c r="R107" s="11"/>
      <c r="S107" s="12"/>
      <c r="T107" s="16" t="str">
        <f aca="false">IF($J107="","",IF($C107="",1,$C107))</f>
        <v/>
      </c>
    </row>
    <row r="108" customFormat="false" ht="15" hidden="false" customHeight="false" outlineLevel="0" collapsed="false">
      <c r="A108" s="7"/>
      <c r="B108" s="8"/>
      <c r="C108" s="9"/>
      <c r="D108" s="10"/>
      <c r="E108" s="11"/>
      <c r="F108" s="11"/>
      <c r="G108" s="8"/>
      <c r="H108" s="11"/>
      <c r="I108" s="12"/>
      <c r="J108" s="13" t="str">
        <f aca="false">IF(OR($A108="",$D108=""),"",IF($C108="",1,$C108)*$D108+N($E108)-N($F108))</f>
        <v/>
      </c>
      <c r="K108" s="13" t="str">
        <f aca="false">IF($J108="","",IF($R108&lt;&gt;"",$R108,IF($G108="",0,MAX(IFERROR(INDEX(Settings!$D$6:$D$15,MATCH($G108,Settings!$A$6:$A$15,0)),0),$J108*IFERROR(INDEX(Settings!$B$6:$B$15,MATCH($G108,Settings!$A$6:$A$15,0)),0)+IFERROR(INDEX(Settings!$C$6:$C$15,MATCH($G108,Settings!$A$6:$A$15,0)),0)))))</f>
        <v/>
      </c>
      <c r="L108" s="13" t="str">
        <f aca="false">IF($J108="","",IF($C108="",1,$C108)*IF($Q108&lt;&gt;"",$Q108,IFERROR(INDEX(Products!$D$5:$D$54,MATCH($B108,Products!$A$5:$A$54,0)),0)))</f>
        <v/>
      </c>
      <c r="M108" s="14" t="str">
        <f aca="false">IF($J108="","",$J108-$K108-N($H108)-$L108)</f>
        <v/>
      </c>
      <c r="N108" s="15" t="str">
        <f aca="false">IF($J108="","",IF($J108&gt;0,$M108/$J108,""))</f>
        <v/>
      </c>
      <c r="O108" s="12"/>
      <c r="P108" s="12"/>
      <c r="Q108" s="11"/>
      <c r="R108" s="11"/>
      <c r="S108" s="12"/>
      <c r="T108" s="16" t="str">
        <f aca="false">IF($J108="","",IF($C108="",1,$C108))</f>
        <v/>
      </c>
    </row>
    <row r="109" customFormat="false" ht="15" hidden="false" customHeight="false" outlineLevel="0" collapsed="false">
      <c r="A109" s="7"/>
      <c r="B109" s="8"/>
      <c r="C109" s="9"/>
      <c r="D109" s="10"/>
      <c r="E109" s="11"/>
      <c r="F109" s="11"/>
      <c r="G109" s="8"/>
      <c r="H109" s="11"/>
      <c r="I109" s="12"/>
      <c r="J109" s="13" t="str">
        <f aca="false">IF(OR($A109="",$D109=""),"",IF($C109="",1,$C109)*$D109+N($E109)-N($F109))</f>
        <v/>
      </c>
      <c r="K109" s="13" t="str">
        <f aca="false">IF($J109="","",IF($R109&lt;&gt;"",$R109,IF($G109="",0,MAX(IFERROR(INDEX(Settings!$D$6:$D$15,MATCH($G109,Settings!$A$6:$A$15,0)),0),$J109*IFERROR(INDEX(Settings!$B$6:$B$15,MATCH($G109,Settings!$A$6:$A$15,0)),0)+IFERROR(INDEX(Settings!$C$6:$C$15,MATCH($G109,Settings!$A$6:$A$15,0)),0)))))</f>
        <v/>
      </c>
      <c r="L109" s="13" t="str">
        <f aca="false">IF($J109="","",IF($C109="",1,$C109)*IF($Q109&lt;&gt;"",$Q109,IFERROR(INDEX(Products!$D$5:$D$54,MATCH($B109,Products!$A$5:$A$54,0)),0)))</f>
        <v/>
      </c>
      <c r="M109" s="14" t="str">
        <f aca="false">IF($J109="","",$J109-$K109-N($H109)-$L109)</f>
        <v/>
      </c>
      <c r="N109" s="15" t="str">
        <f aca="false">IF($J109="","",IF($J109&gt;0,$M109/$J109,""))</f>
        <v/>
      </c>
      <c r="O109" s="12"/>
      <c r="P109" s="12"/>
      <c r="Q109" s="11"/>
      <c r="R109" s="11"/>
      <c r="S109" s="12"/>
      <c r="T109" s="16" t="str">
        <f aca="false">IF($J109="","",IF($C109="",1,$C109))</f>
        <v/>
      </c>
    </row>
    <row r="110" customFormat="false" ht="15" hidden="false" customHeight="false" outlineLevel="0" collapsed="false">
      <c r="A110" s="7"/>
      <c r="B110" s="8"/>
      <c r="C110" s="9"/>
      <c r="D110" s="10"/>
      <c r="E110" s="11"/>
      <c r="F110" s="11"/>
      <c r="G110" s="8"/>
      <c r="H110" s="11"/>
      <c r="I110" s="12"/>
      <c r="J110" s="13" t="str">
        <f aca="false">IF(OR($A110="",$D110=""),"",IF($C110="",1,$C110)*$D110+N($E110)-N($F110))</f>
        <v/>
      </c>
      <c r="K110" s="13" t="str">
        <f aca="false">IF($J110="","",IF($R110&lt;&gt;"",$R110,IF($G110="",0,MAX(IFERROR(INDEX(Settings!$D$6:$D$15,MATCH($G110,Settings!$A$6:$A$15,0)),0),$J110*IFERROR(INDEX(Settings!$B$6:$B$15,MATCH($G110,Settings!$A$6:$A$15,0)),0)+IFERROR(INDEX(Settings!$C$6:$C$15,MATCH($G110,Settings!$A$6:$A$15,0)),0)))))</f>
        <v/>
      </c>
      <c r="L110" s="13" t="str">
        <f aca="false">IF($J110="","",IF($C110="",1,$C110)*IF($Q110&lt;&gt;"",$Q110,IFERROR(INDEX(Products!$D$5:$D$54,MATCH($B110,Products!$A$5:$A$54,0)),0)))</f>
        <v/>
      </c>
      <c r="M110" s="14" t="str">
        <f aca="false">IF($J110="","",$J110-$K110-N($H110)-$L110)</f>
        <v/>
      </c>
      <c r="N110" s="15" t="str">
        <f aca="false">IF($J110="","",IF($J110&gt;0,$M110/$J110,""))</f>
        <v/>
      </c>
      <c r="O110" s="12"/>
      <c r="P110" s="12"/>
      <c r="Q110" s="11"/>
      <c r="R110" s="11"/>
      <c r="S110" s="12"/>
      <c r="T110" s="16" t="str">
        <f aca="false">IF($J110="","",IF($C110="",1,$C110))</f>
        <v/>
      </c>
    </row>
    <row r="111" customFormat="false" ht="15" hidden="false" customHeight="false" outlineLevel="0" collapsed="false">
      <c r="A111" s="7"/>
      <c r="B111" s="8"/>
      <c r="C111" s="9"/>
      <c r="D111" s="10"/>
      <c r="E111" s="11"/>
      <c r="F111" s="11"/>
      <c r="G111" s="8"/>
      <c r="H111" s="11"/>
      <c r="I111" s="12"/>
      <c r="J111" s="13" t="str">
        <f aca="false">IF(OR($A111="",$D111=""),"",IF($C111="",1,$C111)*$D111+N($E111)-N($F111))</f>
        <v/>
      </c>
      <c r="K111" s="13" t="str">
        <f aca="false">IF($J111="","",IF($R111&lt;&gt;"",$R111,IF($G111="",0,MAX(IFERROR(INDEX(Settings!$D$6:$D$15,MATCH($G111,Settings!$A$6:$A$15,0)),0),$J111*IFERROR(INDEX(Settings!$B$6:$B$15,MATCH($G111,Settings!$A$6:$A$15,0)),0)+IFERROR(INDEX(Settings!$C$6:$C$15,MATCH($G111,Settings!$A$6:$A$15,0)),0)))))</f>
        <v/>
      </c>
      <c r="L111" s="13" t="str">
        <f aca="false">IF($J111="","",IF($C111="",1,$C111)*IF($Q111&lt;&gt;"",$Q111,IFERROR(INDEX(Products!$D$5:$D$54,MATCH($B111,Products!$A$5:$A$54,0)),0)))</f>
        <v/>
      </c>
      <c r="M111" s="14" t="str">
        <f aca="false">IF($J111="","",$J111-$K111-N($H111)-$L111)</f>
        <v/>
      </c>
      <c r="N111" s="15" t="str">
        <f aca="false">IF($J111="","",IF($J111&gt;0,$M111/$J111,""))</f>
        <v/>
      </c>
      <c r="O111" s="12"/>
      <c r="P111" s="12"/>
      <c r="Q111" s="11"/>
      <c r="R111" s="11"/>
      <c r="S111" s="12"/>
      <c r="T111" s="16" t="str">
        <f aca="false">IF($J111="","",IF($C111="",1,$C111))</f>
        <v/>
      </c>
    </row>
    <row r="112" customFormat="false" ht="15" hidden="false" customHeight="false" outlineLevel="0" collapsed="false">
      <c r="A112" s="7"/>
      <c r="B112" s="8"/>
      <c r="C112" s="9"/>
      <c r="D112" s="10"/>
      <c r="E112" s="11"/>
      <c r="F112" s="11"/>
      <c r="G112" s="8"/>
      <c r="H112" s="11"/>
      <c r="I112" s="12"/>
      <c r="J112" s="13" t="str">
        <f aca="false">IF(OR($A112="",$D112=""),"",IF($C112="",1,$C112)*$D112+N($E112)-N($F112))</f>
        <v/>
      </c>
      <c r="K112" s="13" t="str">
        <f aca="false">IF($J112="","",IF($R112&lt;&gt;"",$R112,IF($G112="",0,MAX(IFERROR(INDEX(Settings!$D$6:$D$15,MATCH($G112,Settings!$A$6:$A$15,0)),0),$J112*IFERROR(INDEX(Settings!$B$6:$B$15,MATCH($G112,Settings!$A$6:$A$15,0)),0)+IFERROR(INDEX(Settings!$C$6:$C$15,MATCH($G112,Settings!$A$6:$A$15,0)),0)))))</f>
        <v/>
      </c>
      <c r="L112" s="13" t="str">
        <f aca="false">IF($J112="","",IF($C112="",1,$C112)*IF($Q112&lt;&gt;"",$Q112,IFERROR(INDEX(Products!$D$5:$D$54,MATCH($B112,Products!$A$5:$A$54,0)),0)))</f>
        <v/>
      </c>
      <c r="M112" s="14" t="str">
        <f aca="false">IF($J112="","",$J112-$K112-N($H112)-$L112)</f>
        <v/>
      </c>
      <c r="N112" s="15" t="str">
        <f aca="false">IF($J112="","",IF($J112&gt;0,$M112/$J112,""))</f>
        <v/>
      </c>
      <c r="O112" s="12"/>
      <c r="P112" s="12"/>
      <c r="Q112" s="11"/>
      <c r="R112" s="11"/>
      <c r="S112" s="12"/>
      <c r="T112" s="16" t="str">
        <f aca="false">IF($J112="","",IF($C112="",1,$C112))</f>
        <v/>
      </c>
    </row>
    <row r="113" customFormat="false" ht="15" hidden="false" customHeight="false" outlineLevel="0" collapsed="false">
      <c r="A113" s="7"/>
      <c r="B113" s="8"/>
      <c r="C113" s="9"/>
      <c r="D113" s="10"/>
      <c r="E113" s="11"/>
      <c r="F113" s="11"/>
      <c r="G113" s="8"/>
      <c r="H113" s="11"/>
      <c r="I113" s="12"/>
      <c r="J113" s="13" t="str">
        <f aca="false">IF(OR($A113="",$D113=""),"",IF($C113="",1,$C113)*$D113+N($E113)-N($F113))</f>
        <v/>
      </c>
      <c r="K113" s="13" t="str">
        <f aca="false">IF($J113="","",IF($R113&lt;&gt;"",$R113,IF($G113="",0,MAX(IFERROR(INDEX(Settings!$D$6:$D$15,MATCH($G113,Settings!$A$6:$A$15,0)),0),$J113*IFERROR(INDEX(Settings!$B$6:$B$15,MATCH($G113,Settings!$A$6:$A$15,0)),0)+IFERROR(INDEX(Settings!$C$6:$C$15,MATCH($G113,Settings!$A$6:$A$15,0)),0)))))</f>
        <v/>
      </c>
      <c r="L113" s="13" t="str">
        <f aca="false">IF($J113="","",IF($C113="",1,$C113)*IF($Q113&lt;&gt;"",$Q113,IFERROR(INDEX(Products!$D$5:$D$54,MATCH($B113,Products!$A$5:$A$54,0)),0)))</f>
        <v/>
      </c>
      <c r="M113" s="14" t="str">
        <f aca="false">IF($J113="","",$J113-$K113-N($H113)-$L113)</f>
        <v/>
      </c>
      <c r="N113" s="15" t="str">
        <f aca="false">IF($J113="","",IF($J113&gt;0,$M113/$J113,""))</f>
        <v/>
      </c>
      <c r="O113" s="12"/>
      <c r="P113" s="12"/>
      <c r="Q113" s="11"/>
      <c r="R113" s="11"/>
      <c r="S113" s="12"/>
      <c r="T113" s="16" t="str">
        <f aca="false">IF($J113="","",IF($C113="",1,$C113))</f>
        <v/>
      </c>
    </row>
    <row r="114" customFormat="false" ht="15" hidden="false" customHeight="false" outlineLevel="0" collapsed="false">
      <c r="A114" s="7"/>
      <c r="B114" s="8"/>
      <c r="C114" s="9"/>
      <c r="D114" s="10"/>
      <c r="E114" s="11"/>
      <c r="F114" s="11"/>
      <c r="G114" s="8"/>
      <c r="H114" s="11"/>
      <c r="I114" s="12"/>
      <c r="J114" s="13" t="str">
        <f aca="false">IF(OR($A114="",$D114=""),"",IF($C114="",1,$C114)*$D114+N($E114)-N($F114))</f>
        <v/>
      </c>
      <c r="K114" s="13" t="str">
        <f aca="false">IF($J114="","",IF($R114&lt;&gt;"",$R114,IF($G114="",0,MAX(IFERROR(INDEX(Settings!$D$6:$D$15,MATCH($G114,Settings!$A$6:$A$15,0)),0),$J114*IFERROR(INDEX(Settings!$B$6:$B$15,MATCH($G114,Settings!$A$6:$A$15,0)),0)+IFERROR(INDEX(Settings!$C$6:$C$15,MATCH($G114,Settings!$A$6:$A$15,0)),0)))))</f>
        <v/>
      </c>
      <c r="L114" s="13" t="str">
        <f aca="false">IF($J114="","",IF($C114="",1,$C114)*IF($Q114&lt;&gt;"",$Q114,IFERROR(INDEX(Products!$D$5:$D$54,MATCH($B114,Products!$A$5:$A$54,0)),0)))</f>
        <v/>
      </c>
      <c r="M114" s="14" t="str">
        <f aca="false">IF($J114="","",$J114-$K114-N($H114)-$L114)</f>
        <v/>
      </c>
      <c r="N114" s="15" t="str">
        <f aca="false">IF($J114="","",IF($J114&gt;0,$M114/$J114,""))</f>
        <v/>
      </c>
      <c r="O114" s="12"/>
      <c r="P114" s="12"/>
      <c r="Q114" s="11"/>
      <c r="R114" s="11"/>
      <c r="S114" s="12"/>
      <c r="T114" s="16" t="str">
        <f aca="false">IF($J114="","",IF($C114="",1,$C114))</f>
        <v/>
      </c>
    </row>
    <row r="115" customFormat="false" ht="15" hidden="false" customHeight="false" outlineLevel="0" collapsed="false">
      <c r="A115" s="7"/>
      <c r="B115" s="8"/>
      <c r="C115" s="9"/>
      <c r="D115" s="10"/>
      <c r="E115" s="11"/>
      <c r="F115" s="11"/>
      <c r="G115" s="8"/>
      <c r="H115" s="11"/>
      <c r="I115" s="12"/>
      <c r="J115" s="13" t="str">
        <f aca="false">IF(OR($A115="",$D115=""),"",IF($C115="",1,$C115)*$D115+N($E115)-N($F115))</f>
        <v/>
      </c>
      <c r="K115" s="13" t="str">
        <f aca="false">IF($J115="","",IF($R115&lt;&gt;"",$R115,IF($G115="",0,MAX(IFERROR(INDEX(Settings!$D$6:$D$15,MATCH($G115,Settings!$A$6:$A$15,0)),0),$J115*IFERROR(INDEX(Settings!$B$6:$B$15,MATCH($G115,Settings!$A$6:$A$15,0)),0)+IFERROR(INDEX(Settings!$C$6:$C$15,MATCH($G115,Settings!$A$6:$A$15,0)),0)))))</f>
        <v/>
      </c>
      <c r="L115" s="13" t="str">
        <f aca="false">IF($J115="","",IF($C115="",1,$C115)*IF($Q115&lt;&gt;"",$Q115,IFERROR(INDEX(Products!$D$5:$D$54,MATCH($B115,Products!$A$5:$A$54,0)),0)))</f>
        <v/>
      </c>
      <c r="M115" s="14" t="str">
        <f aca="false">IF($J115="","",$J115-$K115-N($H115)-$L115)</f>
        <v/>
      </c>
      <c r="N115" s="15" t="str">
        <f aca="false">IF($J115="","",IF($J115&gt;0,$M115/$J115,""))</f>
        <v/>
      </c>
      <c r="O115" s="12"/>
      <c r="P115" s="12"/>
      <c r="Q115" s="11"/>
      <c r="R115" s="11"/>
      <c r="S115" s="12"/>
      <c r="T115" s="16" t="str">
        <f aca="false">IF($J115="","",IF($C115="",1,$C115))</f>
        <v/>
      </c>
    </row>
    <row r="116" customFormat="false" ht="15" hidden="false" customHeight="false" outlineLevel="0" collapsed="false">
      <c r="A116" s="7"/>
      <c r="B116" s="8"/>
      <c r="C116" s="9"/>
      <c r="D116" s="10"/>
      <c r="E116" s="11"/>
      <c r="F116" s="11"/>
      <c r="G116" s="8"/>
      <c r="H116" s="11"/>
      <c r="I116" s="12"/>
      <c r="J116" s="13" t="str">
        <f aca="false">IF(OR($A116="",$D116=""),"",IF($C116="",1,$C116)*$D116+N($E116)-N($F116))</f>
        <v/>
      </c>
      <c r="K116" s="13" t="str">
        <f aca="false">IF($J116="","",IF($R116&lt;&gt;"",$R116,IF($G116="",0,MAX(IFERROR(INDEX(Settings!$D$6:$D$15,MATCH($G116,Settings!$A$6:$A$15,0)),0),$J116*IFERROR(INDEX(Settings!$B$6:$B$15,MATCH($G116,Settings!$A$6:$A$15,0)),0)+IFERROR(INDEX(Settings!$C$6:$C$15,MATCH($G116,Settings!$A$6:$A$15,0)),0)))))</f>
        <v/>
      </c>
      <c r="L116" s="13" t="str">
        <f aca="false">IF($J116="","",IF($C116="",1,$C116)*IF($Q116&lt;&gt;"",$Q116,IFERROR(INDEX(Products!$D$5:$D$54,MATCH($B116,Products!$A$5:$A$54,0)),0)))</f>
        <v/>
      </c>
      <c r="M116" s="14" t="str">
        <f aca="false">IF($J116="","",$J116-$K116-N($H116)-$L116)</f>
        <v/>
      </c>
      <c r="N116" s="15" t="str">
        <f aca="false">IF($J116="","",IF($J116&gt;0,$M116/$J116,""))</f>
        <v/>
      </c>
      <c r="O116" s="12"/>
      <c r="P116" s="12"/>
      <c r="Q116" s="11"/>
      <c r="R116" s="11"/>
      <c r="S116" s="12"/>
      <c r="T116" s="16" t="str">
        <f aca="false">IF($J116="","",IF($C116="",1,$C116))</f>
        <v/>
      </c>
    </row>
    <row r="117" customFormat="false" ht="15" hidden="false" customHeight="false" outlineLevel="0" collapsed="false">
      <c r="A117" s="7"/>
      <c r="B117" s="8"/>
      <c r="C117" s="9"/>
      <c r="D117" s="10"/>
      <c r="E117" s="11"/>
      <c r="F117" s="11"/>
      <c r="G117" s="8"/>
      <c r="H117" s="11"/>
      <c r="I117" s="12"/>
      <c r="J117" s="13" t="str">
        <f aca="false">IF(OR($A117="",$D117=""),"",IF($C117="",1,$C117)*$D117+N($E117)-N($F117))</f>
        <v/>
      </c>
      <c r="K117" s="13" t="str">
        <f aca="false">IF($J117="","",IF($R117&lt;&gt;"",$R117,IF($G117="",0,MAX(IFERROR(INDEX(Settings!$D$6:$D$15,MATCH($G117,Settings!$A$6:$A$15,0)),0),$J117*IFERROR(INDEX(Settings!$B$6:$B$15,MATCH($G117,Settings!$A$6:$A$15,0)),0)+IFERROR(INDEX(Settings!$C$6:$C$15,MATCH($G117,Settings!$A$6:$A$15,0)),0)))))</f>
        <v/>
      </c>
      <c r="L117" s="13" t="str">
        <f aca="false">IF($J117="","",IF($C117="",1,$C117)*IF($Q117&lt;&gt;"",$Q117,IFERROR(INDEX(Products!$D$5:$D$54,MATCH($B117,Products!$A$5:$A$54,0)),0)))</f>
        <v/>
      </c>
      <c r="M117" s="14" t="str">
        <f aca="false">IF($J117="","",$J117-$K117-N($H117)-$L117)</f>
        <v/>
      </c>
      <c r="N117" s="15" t="str">
        <f aca="false">IF($J117="","",IF($J117&gt;0,$M117/$J117,""))</f>
        <v/>
      </c>
      <c r="O117" s="12"/>
      <c r="P117" s="12"/>
      <c r="Q117" s="11"/>
      <c r="R117" s="11"/>
      <c r="S117" s="12"/>
      <c r="T117" s="16" t="str">
        <f aca="false">IF($J117="","",IF($C117="",1,$C117))</f>
        <v/>
      </c>
    </row>
    <row r="118" customFormat="false" ht="15" hidden="false" customHeight="false" outlineLevel="0" collapsed="false">
      <c r="A118" s="7"/>
      <c r="B118" s="8"/>
      <c r="C118" s="9"/>
      <c r="D118" s="10"/>
      <c r="E118" s="11"/>
      <c r="F118" s="11"/>
      <c r="G118" s="8"/>
      <c r="H118" s="11"/>
      <c r="I118" s="12"/>
      <c r="J118" s="13" t="str">
        <f aca="false">IF(OR($A118="",$D118=""),"",IF($C118="",1,$C118)*$D118+N($E118)-N($F118))</f>
        <v/>
      </c>
      <c r="K118" s="13" t="str">
        <f aca="false">IF($J118="","",IF($R118&lt;&gt;"",$R118,IF($G118="",0,MAX(IFERROR(INDEX(Settings!$D$6:$D$15,MATCH($G118,Settings!$A$6:$A$15,0)),0),$J118*IFERROR(INDEX(Settings!$B$6:$B$15,MATCH($G118,Settings!$A$6:$A$15,0)),0)+IFERROR(INDEX(Settings!$C$6:$C$15,MATCH($G118,Settings!$A$6:$A$15,0)),0)))))</f>
        <v/>
      </c>
      <c r="L118" s="13" t="str">
        <f aca="false">IF($J118="","",IF($C118="",1,$C118)*IF($Q118&lt;&gt;"",$Q118,IFERROR(INDEX(Products!$D$5:$D$54,MATCH($B118,Products!$A$5:$A$54,0)),0)))</f>
        <v/>
      </c>
      <c r="M118" s="14" t="str">
        <f aca="false">IF($J118="","",$J118-$K118-N($H118)-$L118)</f>
        <v/>
      </c>
      <c r="N118" s="15" t="str">
        <f aca="false">IF($J118="","",IF($J118&gt;0,$M118/$J118,""))</f>
        <v/>
      </c>
      <c r="O118" s="12"/>
      <c r="P118" s="12"/>
      <c r="Q118" s="11"/>
      <c r="R118" s="11"/>
      <c r="S118" s="12"/>
      <c r="T118" s="16" t="str">
        <f aca="false">IF($J118="","",IF($C118="",1,$C118))</f>
        <v/>
      </c>
    </row>
    <row r="119" customFormat="false" ht="15" hidden="false" customHeight="false" outlineLevel="0" collapsed="false">
      <c r="A119" s="7"/>
      <c r="B119" s="8"/>
      <c r="C119" s="9"/>
      <c r="D119" s="10"/>
      <c r="E119" s="11"/>
      <c r="F119" s="11"/>
      <c r="G119" s="8"/>
      <c r="H119" s="11"/>
      <c r="I119" s="12"/>
      <c r="J119" s="13" t="str">
        <f aca="false">IF(OR($A119="",$D119=""),"",IF($C119="",1,$C119)*$D119+N($E119)-N($F119))</f>
        <v/>
      </c>
      <c r="K119" s="13" t="str">
        <f aca="false">IF($J119="","",IF($R119&lt;&gt;"",$R119,IF($G119="",0,MAX(IFERROR(INDEX(Settings!$D$6:$D$15,MATCH($G119,Settings!$A$6:$A$15,0)),0),$J119*IFERROR(INDEX(Settings!$B$6:$B$15,MATCH($G119,Settings!$A$6:$A$15,0)),0)+IFERROR(INDEX(Settings!$C$6:$C$15,MATCH($G119,Settings!$A$6:$A$15,0)),0)))))</f>
        <v/>
      </c>
      <c r="L119" s="13" t="str">
        <f aca="false">IF($J119="","",IF($C119="",1,$C119)*IF($Q119&lt;&gt;"",$Q119,IFERROR(INDEX(Products!$D$5:$D$54,MATCH($B119,Products!$A$5:$A$54,0)),0)))</f>
        <v/>
      </c>
      <c r="M119" s="14" t="str">
        <f aca="false">IF($J119="","",$J119-$K119-N($H119)-$L119)</f>
        <v/>
      </c>
      <c r="N119" s="15" t="str">
        <f aca="false">IF($J119="","",IF($J119&gt;0,$M119/$J119,""))</f>
        <v/>
      </c>
      <c r="O119" s="12"/>
      <c r="P119" s="12"/>
      <c r="Q119" s="11"/>
      <c r="R119" s="11"/>
      <c r="S119" s="12"/>
      <c r="T119" s="16" t="str">
        <f aca="false">IF($J119="","",IF($C119="",1,$C119))</f>
        <v/>
      </c>
    </row>
    <row r="120" customFormat="false" ht="15" hidden="false" customHeight="false" outlineLevel="0" collapsed="false">
      <c r="A120" s="7"/>
      <c r="B120" s="8"/>
      <c r="C120" s="9"/>
      <c r="D120" s="10"/>
      <c r="E120" s="11"/>
      <c r="F120" s="11"/>
      <c r="G120" s="8"/>
      <c r="H120" s="11"/>
      <c r="I120" s="12"/>
      <c r="J120" s="13" t="str">
        <f aca="false">IF(OR($A120="",$D120=""),"",IF($C120="",1,$C120)*$D120+N($E120)-N($F120))</f>
        <v/>
      </c>
      <c r="K120" s="13" t="str">
        <f aca="false">IF($J120="","",IF($R120&lt;&gt;"",$R120,IF($G120="",0,MAX(IFERROR(INDEX(Settings!$D$6:$D$15,MATCH($G120,Settings!$A$6:$A$15,0)),0),$J120*IFERROR(INDEX(Settings!$B$6:$B$15,MATCH($G120,Settings!$A$6:$A$15,0)),0)+IFERROR(INDEX(Settings!$C$6:$C$15,MATCH($G120,Settings!$A$6:$A$15,0)),0)))))</f>
        <v/>
      </c>
      <c r="L120" s="13" t="str">
        <f aca="false">IF($J120="","",IF($C120="",1,$C120)*IF($Q120&lt;&gt;"",$Q120,IFERROR(INDEX(Products!$D$5:$D$54,MATCH($B120,Products!$A$5:$A$54,0)),0)))</f>
        <v/>
      </c>
      <c r="M120" s="14" t="str">
        <f aca="false">IF($J120="","",$J120-$K120-N($H120)-$L120)</f>
        <v/>
      </c>
      <c r="N120" s="15" t="str">
        <f aca="false">IF($J120="","",IF($J120&gt;0,$M120/$J120,""))</f>
        <v/>
      </c>
      <c r="O120" s="12"/>
      <c r="P120" s="12"/>
      <c r="Q120" s="11"/>
      <c r="R120" s="11"/>
      <c r="S120" s="12"/>
      <c r="T120" s="16" t="str">
        <f aca="false">IF($J120="","",IF($C120="",1,$C120))</f>
        <v/>
      </c>
    </row>
    <row r="121" customFormat="false" ht="15" hidden="false" customHeight="false" outlineLevel="0" collapsed="false">
      <c r="A121" s="7"/>
      <c r="B121" s="8"/>
      <c r="C121" s="9"/>
      <c r="D121" s="10"/>
      <c r="E121" s="11"/>
      <c r="F121" s="11"/>
      <c r="G121" s="8"/>
      <c r="H121" s="11"/>
      <c r="I121" s="12"/>
      <c r="J121" s="13" t="str">
        <f aca="false">IF(OR($A121="",$D121=""),"",IF($C121="",1,$C121)*$D121+N($E121)-N($F121))</f>
        <v/>
      </c>
      <c r="K121" s="13" t="str">
        <f aca="false">IF($J121="","",IF($R121&lt;&gt;"",$R121,IF($G121="",0,MAX(IFERROR(INDEX(Settings!$D$6:$D$15,MATCH($G121,Settings!$A$6:$A$15,0)),0),$J121*IFERROR(INDEX(Settings!$B$6:$B$15,MATCH($G121,Settings!$A$6:$A$15,0)),0)+IFERROR(INDEX(Settings!$C$6:$C$15,MATCH($G121,Settings!$A$6:$A$15,0)),0)))))</f>
        <v/>
      </c>
      <c r="L121" s="13" t="str">
        <f aca="false">IF($J121="","",IF($C121="",1,$C121)*IF($Q121&lt;&gt;"",$Q121,IFERROR(INDEX(Products!$D$5:$D$54,MATCH($B121,Products!$A$5:$A$54,0)),0)))</f>
        <v/>
      </c>
      <c r="M121" s="14" t="str">
        <f aca="false">IF($J121="","",$J121-$K121-N($H121)-$L121)</f>
        <v/>
      </c>
      <c r="N121" s="15" t="str">
        <f aca="false">IF($J121="","",IF($J121&gt;0,$M121/$J121,""))</f>
        <v/>
      </c>
      <c r="O121" s="12"/>
      <c r="P121" s="12"/>
      <c r="Q121" s="11"/>
      <c r="R121" s="11"/>
      <c r="S121" s="12"/>
      <c r="T121" s="16" t="str">
        <f aca="false">IF($J121="","",IF($C121="",1,$C121))</f>
        <v/>
      </c>
    </row>
    <row r="122" customFormat="false" ht="15" hidden="false" customHeight="false" outlineLevel="0" collapsed="false">
      <c r="A122" s="7"/>
      <c r="B122" s="8"/>
      <c r="C122" s="9"/>
      <c r="D122" s="10"/>
      <c r="E122" s="11"/>
      <c r="F122" s="11"/>
      <c r="G122" s="8"/>
      <c r="H122" s="11"/>
      <c r="I122" s="12"/>
      <c r="J122" s="13" t="str">
        <f aca="false">IF(OR($A122="",$D122=""),"",IF($C122="",1,$C122)*$D122+N($E122)-N($F122))</f>
        <v/>
      </c>
      <c r="K122" s="13" t="str">
        <f aca="false">IF($J122="","",IF($R122&lt;&gt;"",$R122,IF($G122="",0,MAX(IFERROR(INDEX(Settings!$D$6:$D$15,MATCH($G122,Settings!$A$6:$A$15,0)),0),$J122*IFERROR(INDEX(Settings!$B$6:$B$15,MATCH($G122,Settings!$A$6:$A$15,0)),0)+IFERROR(INDEX(Settings!$C$6:$C$15,MATCH($G122,Settings!$A$6:$A$15,0)),0)))))</f>
        <v/>
      </c>
      <c r="L122" s="13" t="str">
        <f aca="false">IF($J122="","",IF($C122="",1,$C122)*IF($Q122&lt;&gt;"",$Q122,IFERROR(INDEX(Products!$D$5:$D$54,MATCH($B122,Products!$A$5:$A$54,0)),0)))</f>
        <v/>
      </c>
      <c r="M122" s="14" t="str">
        <f aca="false">IF($J122="","",$J122-$K122-N($H122)-$L122)</f>
        <v/>
      </c>
      <c r="N122" s="15" t="str">
        <f aca="false">IF($J122="","",IF($J122&gt;0,$M122/$J122,""))</f>
        <v/>
      </c>
      <c r="O122" s="12"/>
      <c r="P122" s="12"/>
      <c r="Q122" s="11"/>
      <c r="R122" s="11"/>
      <c r="S122" s="12"/>
      <c r="T122" s="16" t="str">
        <f aca="false">IF($J122="","",IF($C122="",1,$C122))</f>
        <v/>
      </c>
    </row>
    <row r="123" customFormat="false" ht="15" hidden="false" customHeight="false" outlineLevel="0" collapsed="false">
      <c r="A123" s="7"/>
      <c r="B123" s="8"/>
      <c r="C123" s="9"/>
      <c r="D123" s="10"/>
      <c r="E123" s="11"/>
      <c r="F123" s="11"/>
      <c r="G123" s="8"/>
      <c r="H123" s="11"/>
      <c r="I123" s="12"/>
      <c r="J123" s="13" t="str">
        <f aca="false">IF(OR($A123="",$D123=""),"",IF($C123="",1,$C123)*$D123+N($E123)-N($F123))</f>
        <v/>
      </c>
      <c r="K123" s="13" t="str">
        <f aca="false">IF($J123="","",IF($R123&lt;&gt;"",$R123,IF($G123="",0,MAX(IFERROR(INDEX(Settings!$D$6:$D$15,MATCH($G123,Settings!$A$6:$A$15,0)),0),$J123*IFERROR(INDEX(Settings!$B$6:$B$15,MATCH($G123,Settings!$A$6:$A$15,0)),0)+IFERROR(INDEX(Settings!$C$6:$C$15,MATCH($G123,Settings!$A$6:$A$15,0)),0)))))</f>
        <v/>
      </c>
      <c r="L123" s="13" t="str">
        <f aca="false">IF($J123="","",IF($C123="",1,$C123)*IF($Q123&lt;&gt;"",$Q123,IFERROR(INDEX(Products!$D$5:$D$54,MATCH($B123,Products!$A$5:$A$54,0)),0)))</f>
        <v/>
      </c>
      <c r="M123" s="14" t="str">
        <f aca="false">IF($J123="","",$J123-$K123-N($H123)-$L123)</f>
        <v/>
      </c>
      <c r="N123" s="15" t="str">
        <f aca="false">IF($J123="","",IF($J123&gt;0,$M123/$J123,""))</f>
        <v/>
      </c>
      <c r="O123" s="12"/>
      <c r="P123" s="12"/>
      <c r="Q123" s="11"/>
      <c r="R123" s="11"/>
      <c r="S123" s="12"/>
      <c r="T123" s="16" t="str">
        <f aca="false">IF($J123="","",IF($C123="",1,$C123))</f>
        <v/>
      </c>
    </row>
    <row r="124" customFormat="false" ht="15" hidden="false" customHeight="false" outlineLevel="0" collapsed="false">
      <c r="A124" s="7"/>
      <c r="B124" s="8"/>
      <c r="C124" s="9"/>
      <c r="D124" s="10"/>
      <c r="E124" s="11"/>
      <c r="F124" s="11"/>
      <c r="G124" s="8"/>
      <c r="H124" s="11"/>
      <c r="I124" s="12"/>
      <c r="J124" s="13" t="str">
        <f aca="false">IF(OR($A124="",$D124=""),"",IF($C124="",1,$C124)*$D124+N($E124)-N($F124))</f>
        <v/>
      </c>
      <c r="K124" s="13" t="str">
        <f aca="false">IF($J124="","",IF($R124&lt;&gt;"",$R124,IF($G124="",0,MAX(IFERROR(INDEX(Settings!$D$6:$D$15,MATCH($G124,Settings!$A$6:$A$15,0)),0),$J124*IFERROR(INDEX(Settings!$B$6:$B$15,MATCH($G124,Settings!$A$6:$A$15,0)),0)+IFERROR(INDEX(Settings!$C$6:$C$15,MATCH($G124,Settings!$A$6:$A$15,0)),0)))))</f>
        <v/>
      </c>
      <c r="L124" s="13" t="str">
        <f aca="false">IF($J124="","",IF($C124="",1,$C124)*IF($Q124&lt;&gt;"",$Q124,IFERROR(INDEX(Products!$D$5:$D$54,MATCH($B124,Products!$A$5:$A$54,0)),0)))</f>
        <v/>
      </c>
      <c r="M124" s="14" t="str">
        <f aca="false">IF($J124="","",$J124-$K124-N($H124)-$L124)</f>
        <v/>
      </c>
      <c r="N124" s="15" t="str">
        <f aca="false">IF($J124="","",IF($J124&gt;0,$M124/$J124,""))</f>
        <v/>
      </c>
      <c r="O124" s="12"/>
      <c r="P124" s="12"/>
      <c r="Q124" s="11"/>
      <c r="R124" s="11"/>
      <c r="S124" s="12"/>
      <c r="T124" s="16" t="str">
        <f aca="false">IF($J124="","",IF($C124="",1,$C124))</f>
        <v/>
      </c>
    </row>
    <row r="125" customFormat="false" ht="15" hidden="false" customHeight="false" outlineLevel="0" collapsed="false">
      <c r="A125" s="7"/>
      <c r="B125" s="8"/>
      <c r="C125" s="9"/>
      <c r="D125" s="10"/>
      <c r="E125" s="11"/>
      <c r="F125" s="11"/>
      <c r="G125" s="8"/>
      <c r="H125" s="11"/>
      <c r="I125" s="12"/>
      <c r="J125" s="13" t="str">
        <f aca="false">IF(OR($A125="",$D125=""),"",IF($C125="",1,$C125)*$D125+N($E125)-N($F125))</f>
        <v/>
      </c>
      <c r="K125" s="13" t="str">
        <f aca="false">IF($J125="","",IF($R125&lt;&gt;"",$R125,IF($G125="",0,MAX(IFERROR(INDEX(Settings!$D$6:$D$15,MATCH($G125,Settings!$A$6:$A$15,0)),0),$J125*IFERROR(INDEX(Settings!$B$6:$B$15,MATCH($G125,Settings!$A$6:$A$15,0)),0)+IFERROR(INDEX(Settings!$C$6:$C$15,MATCH($G125,Settings!$A$6:$A$15,0)),0)))))</f>
        <v/>
      </c>
      <c r="L125" s="13" t="str">
        <f aca="false">IF($J125="","",IF($C125="",1,$C125)*IF($Q125&lt;&gt;"",$Q125,IFERROR(INDEX(Products!$D$5:$D$54,MATCH($B125,Products!$A$5:$A$54,0)),0)))</f>
        <v/>
      </c>
      <c r="M125" s="14" t="str">
        <f aca="false">IF($J125="","",$J125-$K125-N($H125)-$L125)</f>
        <v/>
      </c>
      <c r="N125" s="15" t="str">
        <f aca="false">IF($J125="","",IF($J125&gt;0,$M125/$J125,""))</f>
        <v/>
      </c>
      <c r="O125" s="12"/>
      <c r="P125" s="12"/>
      <c r="Q125" s="11"/>
      <c r="R125" s="11"/>
      <c r="S125" s="12"/>
      <c r="T125" s="16" t="str">
        <f aca="false">IF($J125="","",IF($C125="",1,$C125))</f>
        <v/>
      </c>
    </row>
    <row r="126" customFormat="false" ht="15" hidden="false" customHeight="false" outlineLevel="0" collapsed="false">
      <c r="A126" s="7"/>
      <c r="B126" s="8"/>
      <c r="C126" s="9"/>
      <c r="D126" s="10"/>
      <c r="E126" s="11"/>
      <c r="F126" s="11"/>
      <c r="G126" s="8"/>
      <c r="H126" s="11"/>
      <c r="I126" s="12"/>
      <c r="J126" s="13" t="str">
        <f aca="false">IF(OR($A126="",$D126=""),"",IF($C126="",1,$C126)*$D126+N($E126)-N($F126))</f>
        <v/>
      </c>
      <c r="K126" s="13" t="str">
        <f aca="false">IF($J126="","",IF($R126&lt;&gt;"",$R126,IF($G126="",0,MAX(IFERROR(INDEX(Settings!$D$6:$D$15,MATCH($G126,Settings!$A$6:$A$15,0)),0),$J126*IFERROR(INDEX(Settings!$B$6:$B$15,MATCH($G126,Settings!$A$6:$A$15,0)),0)+IFERROR(INDEX(Settings!$C$6:$C$15,MATCH($G126,Settings!$A$6:$A$15,0)),0)))))</f>
        <v/>
      </c>
      <c r="L126" s="13" t="str">
        <f aca="false">IF($J126="","",IF($C126="",1,$C126)*IF($Q126&lt;&gt;"",$Q126,IFERROR(INDEX(Products!$D$5:$D$54,MATCH($B126,Products!$A$5:$A$54,0)),0)))</f>
        <v/>
      </c>
      <c r="M126" s="14" t="str">
        <f aca="false">IF($J126="","",$J126-$K126-N($H126)-$L126)</f>
        <v/>
      </c>
      <c r="N126" s="15" t="str">
        <f aca="false">IF($J126="","",IF($J126&gt;0,$M126/$J126,""))</f>
        <v/>
      </c>
      <c r="O126" s="12"/>
      <c r="P126" s="12"/>
      <c r="Q126" s="11"/>
      <c r="R126" s="11"/>
      <c r="S126" s="12"/>
      <c r="T126" s="16" t="str">
        <f aca="false">IF($J126="","",IF($C126="",1,$C126))</f>
        <v/>
      </c>
    </row>
    <row r="127" customFormat="false" ht="15" hidden="false" customHeight="false" outlineLevel="0" collapsed="false">
      <c r="A127" s="7"/>
      <c r="B127" s="8"/>
      <c r="C127" s="9"/>
      <c r="D127" s="10"/>
      <c r="E127" s="11"/>
      <c r="F127" s="11"/>
      <c r="G127" s="8"/>
      <c r="H127" s="11"/>
      <c r="I127" s="12"/>
      <c r="J127" s="13" t="str">
        <f aca="false">IF(OR($A127="",$D127=""),"",IF($C127="",1,$C127)*$D127+N($E127)-N($F127))</f>
        <v/>
      </c>
      <c r="K127" s="13" t="str">
        <f aca="false">IF($J127="","",IF($R127&lt;&gt;"",$R127,IF($G127="",0,MAX(IFERROR(INDEX(Settings!$D$6:$D$15,MATCH($G127,Settings!$A$6:$A$15,0)),0),$J127*IFERROR(INDEX(Settings!$B$6:$B$15,MATCH($G127,Settings!$A$6:$A$15,0)),0)+IFERROR(INDEX(Settings!$C$6:$C$15,MATCH($G127,Settings!$A$6:$A$15,0)),0)))))</f>
        <v/>
      </c>
      <c r="L127" s="13" t="str">
        <f aca="false">IF($J127="","",IF($C127="",1,$C127)*IF($Q127&lt;&gt;"",$Q127,IFERROR(INDEX(Products!$D$5:$D$54,MATCH($B127,Products!$A$5:$A$54,0)),0)))</f>
        <v/>
      </c>
      <c r="M127" s="14" t="str">
        <f aca="false">IF($J127="","",$J127-$K127-N($H127)-$L127)</f>
        <v/>
      </c>
      <c r="N127" s="15" t="str">
        <f aca="false">IF($J127="","",IF($J127&gt;0,$M127/$J127,""))</f>
        <v/>
      </c>
      <c r="O127" s="12"/>
      <c r="P127" s="12"/>
      <c r="Q127" s="11"/>
      <c r="R127" s="11"/>
      <c r="S127" s="12"/>
      <c r="T127" s="16" t="str">
        <f aca="false">IF($J127="","",IF($C127="",1,$C127))</f>
        <v/>
      </c>
    </row>
    <row r="128" customFormat="false" ht="15" hidden="false" customHeight="false" outlineLevel="0" collapsed="false">
      <c r="A128" s="7"/>
      <c r="B128" s="8"/>
      <c r="C128" s="9"/>
      <c r="D128" s="10"/>
      <c r="E128" s="11"/>
      <c r="F128" s="11"/>
      <c r="G128" s="8"/>
      <c r="H128" s="11"/>
      <c r="I128" s="12"/>
      <c r="J128" s="13" t="str">
        <f aca="false">IF(OR($A128="",$D128=""),"",IF($C128="",1,$C128)*$D128+N($E128)-N($F128))</f>
        <v/>
      </c>
      <c r="K128" s="13" t="str">
        <f aca="false">IF($J128="","",IF($R128&lt;&gt;"",$R128,IF($G128="",0,MAX(IFERROR(INDEX(Settings!$D$6:$D$15,MATCH($G128,Settings!$A$6:$A$15,0)),0),$J128*IFERROR(INDEX(Settings!$B$6:$B$15,MATCH($G128,Settings!$A$6:$A$15,0)),0)+IFERROR(INDEX(Settings!$C$6:$C$15,MATCH($G128,Settings!$A$6:$A$15,0)),0)))))</f>
        <v/>
      </c>
      <c r="L128" s="13" t="str">
        <f aca="false">IF($J128="","",IF($C128="",1,$C128)*IF($Q128&lt;&gt;"",$Q128,IFERROR(INDEX(Products!$D$5:$D$54,MATCH($B128,Products!$A$5:$A$54,0)),0)))</f>
        <v/>
      </c>
      <c r="M128" s="14" t="str">
        <f aca="false">IF($J128="","",$J128-$K128-N($H128)-$L128)</f>
        <v/>
      </c>
      <c r="N128" s="15" t="str">
        <f aca="false">IF($J128="","",IF($J128&gt;0,$M128/$J128,""))</f>
        <v/>
      </c>
      <c r="O128" s="12"/>
      <c r="P128" s="12"/>
      <c r="Q128" s="11"/>
      <c r="R128" s="11"/>
      <c r="S128" s="12"/>
      <c r="T128" s="16" t="str">
        <f aca="false">IF($J128="","",IF($C128="",1,$C128))</f>
        <v/>
      </c>
    </row>
    <row r="129" customFormat="false" ht="15" hidden="false" customHeight="false" outlineLevel="0" collapsed="false">
      <c r="A129" s="7"/>
      <c r="B129" s="8"/>
      <c r="C129" s="9"/>
      <c r="D129" s="10"/>
      <c r="E129" s="11"/>
      <c r="F129" s="11"/>
      <c r="G129" s="8"/>
      <c r="H129" s="11"/>
      <c r="I129" s="12"/>
      <c r="J129" s="13" t="str">
        <f aca="false">IF(OR($A129="",$D129=""),"",IF($C129="",1,$C129)*$D129+N($E129)-N($F129))</f>
        <v/>
      </c>
      <c r="K129" s="13" t="str">
        <f aca="false">IF($J129="","",IF($R129&lt;&gt;"",$R129,IF($G129="",0,MAX(IFERROR(INDEX(Settings!$D$6:$D$15,MATCH($G129,Settings!$A$6:$A$15,0)),0),$J129*IFERROR(INDEX(Settings!$B$6:$B$15,MATCH($G129,Settings!$A$6:$A$15,0)),0)+IFERROR(INDEX(Settings!$C$6:$C$15,MATCH($G129,Settings!$A$6:$A$15,0)),0)))))</f>
        <v/>
      </c>
      <c r="L129" s="13" t="str">
        <f aca="false">IF($J129="","",IF($C129="",1,$C129)*IF($Q129&lt;&gt;"",$Q129,IFERROR(INDEX(Products!$D$5:$D$54,MATCH($B129,Products!$A$5:$A$54,0)),0)))</f>
        <v/>
      </c>
      <c r="M129" s="14" t="str">
        <f aca="false">IF($J129="","",$J129-$K129-N($H129)-$L129)</f>
        <v/>
      </c>
      <c r="N129" s="15" t="str">
        <f aca="false">IF($J129="","",IF($J129&gt;0,$M129/$J129,""))</f>
        <v/>
      </c>
      <c r="O129" s="12"/>
      <c r="P129" s="12"/>
      <c r="Q129" s="11"/>
      <c r="R129" s="11"/>
      <c r="S129" s="12"/>
      <c r="T129" s="16" t="str">
        <f aca="false">IF($J129="","",IF($C129="",1,$C129))</f>
        <v/>
      </c>
    </row>
    <row r="130" customFormat="false" ht="15" hidden="false" customHeight="false" outlineLevel="0" collapsed="false">
      <c r="A130" s="7"/>
      <c r="B130" s="8"/>
      <c r="C130" s="9"/>
      <c r="D130" s="10"/>
      <c r="E130" s="11"/>
      <c r="F130" s="11"/>
      <c r="G130" s="8"/>
      <c r="H130" s="11"/>
      <c r="I130" s="12"/>
      <c r="J130" s="13" t="str">
        <f aca="false">IF(OR($A130="",$D130=""),"",IF($C130="",1,$C130)*$D130+N($E130)-N($F130))</f>
        <v/>
      </c>
      <c r="K130" s="13" t="str">
        <f aca="false">IF($J130="","",IF($R130&lt;&gt;"",$R130,IF($G130="",0,MAX(IFERROR(INDEX(Settings!$D$6:$D$15,MATCH($G130,Settings!$A$6:$A$15,0)),0),$J130*IFERROR(INDEX(Settings!$B$6:$B$15,MATCH($G130,Settings!$A$6:$A$15,0)),0)+IFERROR(INDEX(Settings!$C$6:$C$15,MATCH($G130,Settings!$A$6:$A$15,0)),0)))))</f>
        <v/>
      </c>
      <c r="L130" s="13" t="str">
        <f aca="false">IF($J130="","",IF($C130="",1,$C130)*IF($Q130&lt;&gt;"",$Q130,IFERROR(INDEX(Products!$D$5:$D$54,MATCH($B130,Products!$A$5:$A$54,0)),0)))</f>
        <v/>
      </c>
      <c r="M130" s="14" t="str">
        <f aca="false">IF($J130="","",$J130-$K130-N($H130)-$L130)</f>
        <v/>
      </c>
      <c r="N130" s="15" t="str">
        <f aca="false">IF($J130="","",IF($J130&gt;0,$M130/$J130,""))</f>
        <v/>
      </c>
      <c r="O130" s="12"/>
      <c r="P130" s="12"/>
      <c r="Q130" s="11"/>
      <c r="R130" s="11"/>
      <c r="S130" s="12"/>
      <c r="T130" s="16" t="str">
        <f aca="false">IF($J130="","",IF($C130="",1,$C130))</f>
        <v/>
      </c>
    </row>
    <row r="131" customFormat="false" ht="15" hidden="false" customHeight="false" outlineLevel="0" collapsed="false">
      <c r="A131" s="7"/>
      <c r="B131" s="8"/>
      <c r="C131" s="9"/>
      <c r="D131" s="10"/>
      <c r="E131" s="11"/>
      <c r="F131" s="11"/>
      <c r="G131" s="8"/>
      <c r="H131" s="11"/>
      <c r="I131" s="12"/>
      <c r="J131" s="13" t="str">
        <f aca="false">IF(OR($A131="",$D131=""),"",IF($C131="",1,$C131)*$D131+N($E131)-N($F131))</f>
        <v/>
      </c>
      <c r="K131" s="13" t="str">
        <f aca="false">IF($J131="","",IF($R131&lt;&gt;"",$R131,IF($G131="",0,MAX(IFERROR(INDEX(Settings!$D$6:$D$15,MATCH($G131,Settings!$A$6:$A$15,0)),0),$J131*IFERROR(INDEX(Settings!$B$6:$B$15,MATCH($G131,Settings!$A$6:$A$15,0)),0)+IFERROR(INDEX(Settings!$C$6:$C$15,MATCH($G131,Settings!$A$6:$A$15,0)),0)))))</f>
        <v/>
      </c>
      <c r="L131" s="13" t="str">
        <f aca="false">IF($J131="","",IF($C131="",1,$C131)*IF($Q131&lt;&gt;"",$Q131,IFERROR(INDEX(Products!$D$5:$D$54,MATCH($B131,Products!$A$5:$A$54,0)),0)))</f>
        <v/>
      </c>
      <c r="M131" s="14" t="str">
        <f aca="false">IF($J131="","",$J131-$K131-N($H131)-$L131)</f>
        <v/>
      </c>
      <c r="N131" s="15" t="str">
        <f aca="false">IF($J131="","",IF($J131&gt;0,$M131/$J131,""))</f>
        <v/>
      </c>
      <c r="O131" s="12"/>
      <c r="P131" s="12"/>
      <c r="Q131" s="11"/>
      <c r="R131" s="11"/>
      <c r="S131" s="12"/>
      <c r="T131" s="16" t="str">
        <f aca="false">IF($J131="","",IF($C131="",1,$C131))</f>
        <v/>
      </c>
    </row>
    <row r="132" customFormat="false" ht="15" hidden="false" customHeight="false" outlineLevel="0" collapsed="false">
      <c r="A132" s="7"/>
      <c r="B132" s="8"/>
      <c r="C132" s="9"/>
      <c r="D132" s="10"/>
      <c r="E132" s="11"/>
      <c r="F132" s="11"/>
      <c r="G132" s="8"/>
      <c r="H132" s="11"/>
      <c r="I132" s="12"/>
      <c r="J132" s="13" t="str">
        <f aca="false">IF(OR($A132="",$D132=""),"",IF($C132="",1,$C132)*$D132+N($E132)-N($F132))</f>
        <v/>
      </c>
      <c r="K132" s="13" t="str">
        <f aca="false">IF($J132="","",IF($R132&lt;&gt;"",$R132,IF($G132="",0,MAX(IFERROR(INDEX(Settings!$D$6:$D$15,MATCH($G132,Settings!$A$6:$A$15,0)),0),$J132*IFERROR(INDEX(Settings!$B$6:$B$15,MATCH($G132,Settings!$A$6:$A$15,0)),0)+IFERROR(INDEX(Settings!$C$6:$C$15,MATCH($G132,Settings!$A$6:$A$15,0)),0)))))</f>
        <v/>
      </c>
      <c r="L132" s="13" t="str">
        <f aca="false">IF($J132="","",IF($C132="",1,$C132)*IF($Q132&lt;&gt;"",$Q132,IFERROR(INDEX(Products!$D$5:$D$54,MATCH($B132,Products!$A$5:$A$54,0)),0)))</f>
        <v/>
      </c>
      <c r="M132" s="14" t="str">
        <f aca="false">IF($J132="","",$J132-$K132-N($H132)-$L132)</f>
        <v/>
      </c>
      <c r="N132" s="15" t="str">
        <f aca="false">IF($J132="","",IF($J132&gt;0,$M132/$J132,""))</f>
        <v/>
      </c>
      <c r="O132" s="12"/>
      <c r="P132" s="12"/>
      <c r="Q132" s="11"/>
      <c r="R132" s="11"/>
      <c r="S132" s="12"/>
      <c r="T132" s="16" t="str">
        <f aca="false">IF($J132="","",IF($C132="",1,$C132))</f>
        <v/>
      </c>
    </row>
    <row r="133" customFormat="false" ht="15" hidden="false" customHeight="false" outlineLevel="0" collapsed="false">
      <c r="A133" s="7"/>
      <c r="B133" s="8"/>
      <c r="C133" s="9"/>
      <c r="D133" s="10"/>
      <c r="E133" s="11"/>
      <c r="F133" s="11"/>
      <c r="G133" s="8"/>
      <c r="H133" s="11"/>
      <c r="I133" s="12"/>
      <c r="J133" s="13" t="str">
        <f aca="false">IF(OR($A133="",$D133=""),"",IF($C133="",1,$C133)*$D133+N($E133)-N($F133))</f>
        <v/>
      </c>
      <c r="K133" s="13" t="str">
        <f aca="false">IF($J133="","",IF($R133&lt;&gt;"",$R133,IF($G133="",0,MAX(IFERROR(INDEX(Settings!$D$6:$D$15,MATCH($G133,Settings!$A$6:$A$15,0)),0),$J133*IFERROR(INDEX(Settings!$B$6:$B$15,MATCH($G133,Settings!$A$6:$A$15,0)),0)+IFERROR(INDEX(Settings!$C$6:$C$15,MATCH($G133,Settings!$A$6:$A$15,0)),0)))))</f>
        <v/>
      </c>
      <c r="L133" s="13" t="str">
        <f aca="false">IF($J133="","",IF($C133="",1,$C133)*IF($Q133&lt;&gt;"",$Q133,IFERROR(INDEX(Products!$D$5:$D$54,MATCH($B133,Products!$A$5:$A$54,0)),0)))</f>
        <v/>
      </c>
      <c r="M133" s="14" t="str">
        <f aca="false">IF($J133="","",$J133-$K133-N($H133)-$L133)</f>
        <v/>
      </c>
      <c r="N133" s="15" t="str">
        <f aca="false">IF($J133="","",IF($J133&gt;0,$M133/$J133,""))</f>
        <v/>
      </c>
      <c r="O133" s="12"/>
      <c r="P133" s="12"/>
      <c r="Q133" s="11"/>
      <c r="R133" s="11"/>
      <c r="S133" s="12"/>
      <c r="T133" s="16" t="str">
        <f aca="false">IF($J133="","",IF($C133="",1,$C133))</f>
        <v/>
      </c>
    </row>
    <row r="134" customFormat="false" ht="15" hidden="false" customHeight="false" outlineLevel="0" collapsed="false">
      <c r="A134" s="7"/>
      <c r="B134" s="8"/>
      <c r="C134" s="9"/>
      <c r="D134" s="10"/>
      <c r="E134" s="11"/>
      <c r="F134" s="11"/>
      <c r="G134" s="8"/>
      <c r="H134" s="11"/>
      <c r="I134" s="12"/>
      <c r="J134" s="13" t="str">
        <f aca="false">IF(OR($A134="",$D134=""),"",IF($C134="",1,$C134)*$D134+N($E134)-N($F134))</f>
        <v/>
      </c>
      <c r="K134" s="13" t="str">
        <f aca="false">IF($J134="","",IF($R134&lt;&gt;"",$R134,IF($G134="",0,MAX(IFERROR(INDEX(Settings!$D$6:$D$15,MATCH($G134,Settings!$A$6:$A$15,0)),0),$J134*IFERROR(INDEX(Settings!$B$6:$B$15,MATCH($G134,Settings!$A$6:$A$15,0)),0)+IFERROR(INDEX(Settings!$C$6:$C$15,MATCH($G134,Settings!$A$6:$A$15,0)),0)))))</f>
        <v/>
      </c>
      <c r="L134" s="13" t="str">
        <f aca="false">IF($J134="","",IF($C134="",1,$C134)*IF($Q134&lt;&gt;"",$Q134,IFERROR(INDEX(Products!$D$5:$D$54,MATCH($B134,Products!$A$5:$A$54,0)),0)))</f>
        <v/>
      </c>
      <c r="M134" s="14" t="str">
        <f aca="false">IF($J134="","",$J134-$K134-N($H134)-$L134)</f>
        <v/>
      </c>
      <c r="N134" s="15" t="str">
        <f aca="false">IF($J134="","",IF($J134&gt;0,$M134/$J134,""))</f>
        <v/>
      </c>
      <c r="O134" s="12"/>
      <c r="P134" s="12"/>
      <c r="Q134" s="11"/>
      <c r="R134" s="11"/>
      <c r="S134" s="12"/>
      <c r="T134" s="16" t="str">
        <f aca="false">IF($J134="","",IF($C134="",1,$C134))</f>
        <v/>
      </c>
    </row>
    <row r="135" customFormat="false" ht="15" hidden="false" customHeight="false" outlineLevel="0" collapsed="false">
      <c r="A135" s="7"/>
      <c r="B135" s="8"/>
      <c r="C135" s="9"/>
      <c r="D135" s="10"/>
      <c r="E135" s="11"/>
      <c r="F135" s="11"/>
      <c r="G135" s="8"/>
      <c r="H135" s="11"/>
      <c r="I135" s="12"/>
      <c r="J135" s="13" t="str">
        <f aca="false">IF(OR($A135="",$D135=""),"",IF($C135="",1,$C135)*$D135+N($E135)-N($F135))</f>
        <v/>
      </c>
      <c r="K135" s="13" t="str">
        <f aca="false">IF($J135="","",IF($R135&lt;&gt;"",$R135,IF($G135="",0,MAX(IFERROR(INDEX(Settings!$D$6:$D$15,MATCH($G135,Settings!$A$6:$A$15,0)),0),$J135*IFERROR(INDEX(Settings!$B$6:$B$15,MATCH($G135,Settings!$A$6:$A$15,0)),0)+IFERROR(INDEX(Settings!$C$6:$C$15,MATCH($G135,Settings!$A$6:$A$15,0)),0)))))</f>
        <v/>
      </c>
      <c r="L135" s="13" t="str">
        <f aca="false">IF($J135="","",IF($C135="",1,$C135)*IF($Q135&lt;&gt;"",$Q135,IFERROR(INDEX(Products!$D$5:$D$54,MATCH($B135,Products!$A$5:$A$54,0)),0)))</f>
        <v/>
      </c>
      <c r="M135" s="14" t="str">
        <f aca="false">IF($J135="","",$J135-$K135-N($H135)-$L135)</f>
        <v/>
      </c>
      <c r="N135" s="15" t="str">
        <f aca="false">IF($J135="","",IF($J135&gt;0,$M135/$J135,""))</f>
        <v/>
      </c>
      <c r="O135" s="12"/>
      <c r="P135" s="12"/>
      <c r="Q135" s="11"/>
      <c r="R135" s="11"/>
      <c r="S135" s="12"/>
      <c r="T135" s="16" t="str">
        <f aca="false">IF($J135="","",IF($C135="",1,$C135))</f>
        <v/>
      </c>
    </row>
    <row r="136" customFormat="false" ht="15" hidden="false" customHeight="false" outlineLevel="0" collapsed="false">
      <c r="A136" s="7"/>
      <c r="B136" s="8"/>
      <c r="C136" s="9"/>
      <c r="D136" s="10"/>
      <c r="E136" s="11"/>
      <c r="F136" s="11"/>
      <c r="G136" s="8"/>
      <c r="H136" s="11"/>
      <c r="I136" s="12"/>
      <c r="J136" s="13" t="str">
        <f aca="false">IF(OR($A136="",$D136=""),"",IF($C136="",1,$C136)*$D136+N($E136)-N($F136))</f>
        <v/>
      </c>
      <c r="K136" s="13" t="str">
        <f aca="false">IF($J136="","",IF($R136&lt;&gt;"",$R136,IF($G136="",0,MAX(IFERROR(INDEX(Settings!$D$6:$D$15,MATCH($G136,Settings!$A$6:$A$15,0)),0),$J136*IFERROR(INDEX(Settings!$B$6:$B$15,MATCH($G136,Settings!$A$6:$A$15,0)),0)+IFERROR(INDEX(Settings!$C$6:$C$15,MATCH($G136,Settings!$A$6:$A$15,0)),0)))))</f>
        <v/>
      </c>
      <c r="L136" s="13" t="str">
        <f aca="false">IF($J136="","",IF($C136="",1,$C136)*IF($Q136&lt;&gt;"",$Q136,IFERROR(INDEX(Products!$D$5:$D$54,MATCH($B136,Products!$A$5:$A$54,0)),0)))</f>
        <v/>
      </c>
      <c r="M136" s="14" t="str">
        <f aca="false">IF($J136="","",$J136-$K136-N($H136)-$L136)</f>
        <v/>
      </c>
      <c r="N136" s="15" t="str">
        <f aca="false">IF($J136="","",IF($J136&gt;0,$M136/$J136,""))</f>
        <v/>
      </c>
      <c r="O136" s="12"/>
      <c r="P136" s="12"/>
      <c r="Q136" s="11"/>
      <c r="R136" s="11"/>
      <c r="S136" s="12"/>
      <c r="T136" s="16" t="str">
        <f aca="false">IF($J136="","",IF($C136="",1,$C136))</f>
        <v/>
      </c>
    </row>
    <row r="137" customFormat="false" ht="15" hidden="false" customHeight="false" outlineLevel="0" collapsed="false">
      <c r="A137" s="7"/>
      <c r="B137" s="8"/>
      <c r="C137" s="9"/>
      <c r="D137" s="10"/>
      <c r="E137" s="11"/>
      <c r="F137" s="11"/>
      <c r="G137" s="8"/>
      <c r="H137" s="11"/>
      <c r="I137" s="12"/>
      <c r="J137" s="13" t="str">
        <f aca="false">IF(OR($A137="",$D137=""),"",IF($C137="",1,$C137)*$D137+N($E137)-N($F137))</f>
        <v/>
      </c>
      <c r="K137" s="13" t="str">
        <f aca="false">IF($J137="","",IF($R137&lt;&gt;"",$R137,IF($G137="",0,MAX(IFERROR(INDEX(Settings!$D$6:$D$15,MATCH($G137,Settings!$A$6:$A$15,0)),0),$J137*IFERROR(INDEX(Settings!$B$6:$B$15,MATCH($G137,Settings!$A$6:$A$15,0)),0)+IFERROR(INDEX(Settings!$C$6:$C$15,MATCH($G137,Settings!$A$6:$A$15,0)),0)))))</f>
        <v/>
      </c>
      <c r="L137" s="13" t="str">
        <f aca="false">IF($J137="","",IF($C137="",1,$C137)*IF($Q137&lt;&gt;"",$Q137,IFERROR(INDEX(Products!$D$5:$D$54,MATCH($B137,Products!$A$5:$A$54,0)),0)))</f>
        <v/>
      </c>
      <c r="M137" s="14" t="str">
        <f aca="false">IF($J137="","",$J137-$K137-N($H137)-$L137)</f>
        <v/>
      </c>
      <c r="N137" s="15" t="str">
        <f aca="false">IF($J137="","",IF($J137&gt;0,$M137/$J137,""))</f>
        <v/>
      </c>
      <c r="O137" s="12"/>
      <c r="P137" s="12"/>
      <c r="Q137" s="11"/>
      <c r="R137" s="11"/>
      <c r="S137" s="12"/>
      <c r="T137" s="16" t="str">
        <f aca="false">IF($J137="","",IF($C137="",1,$C137))</f>
        <v/>
      </c>
    </row>
    <row r="138" customFormat="false" ht="15" hidden="false" customHeight="false" outlineLevel="0" collapsed="false">
      <c r="A138" s="7"/>
      <c r="B138" s="8"/>
      <c r="C138" s="9"/>
      <c r="D138" s="10"/>
      <c r="E138" s="11"/>
      <c r="F138" s="11"/>
      <c r="G138" s="8"/>
      <c r="H138" s="11"/>
      <c r="I138" s="12"/>
      <c r="J138" s="13" t="str">
        <f aca="false">IF(OR($A138="",$D138=""),"",IF($C138="",1,$C138)*$D138+N($E138)-N($F138))</f>
        <v/>
      </c>
      <c r="K138" s="13" t="str">
        <f aca="false">IF($J138="","",IF($R138&lt;&gt;"",$R138,IF($G138="",0,MAX(IFERROR(INDEX(Settings!$D$6:$D$15,MATCH($G138,Settings!$A$6:$A$15,0)),0),$J138*IFERROR(INDEX(Settings!$B$6:$B$15,MATCH($G138,Settings!$A$6:$A$15,0)),0)+IFERROR(INDEX(Settings!$C$6:$C$15,MATCH($G138,Settings!$A$6:$A$15,0)),0)))))</f>
        <v/>
      </c>
      <c r="L138" s="13" t="str">
        <f aca="false">IF($J138="","",IF($C138="",1,$C138)*IF($Q138&lt;&gt;"",$Q138,IFERROR(INDEX(Products!$D$5:$D$54,MATCH($B138,Products!$A$5:$A$54,0)),0)))</f>
        <v/>
      </c>
      <c r="M138" s="14" t="str">
        <f aca="false">IF($J138="","",$J138-$K138-N($H138)-$L138)</f>
        <v/>
      </c>
      <c r="N138" s="15" t="str">
        <f aca="false">IF($J138="","",IF($J138&gt;0,$M138/$J138,""))</f>
        <v/>
      </c>
      <c r="O138" s="12"/>
      <c r="P138" s="12"/>
      <c r="Q138" s="11"/>
      <c r="R138" s="11"/>
      <c r="S138" s="12"/>
      <c r="T138" s="16" t="str">
        <f aca="false">IF($J138="","",IF($C138="",1,$C138))</f>
        <v/>
      </c>
    </row>
    <row r="139" customFormat="false" ht="15" hidden="false" customHeight="false" outlineLevel="0" collapsed="false">
      <c r="A139" s="7"/>
      <c r="B139" s="8"/>
      <c r="C139" s="9"/>
      <c r="D139" s="10"/>
      <c r="E139" s="11"/>
      <c r="F139" s="11"/>
      <c r="G139" s="8"/>
      <c r="H139" s="11"/>
      <c r="I139" s="12"/>
      <c r="J139" s="13" t="str">
        <f aca="false">IF(OR($A139="",$D139=""),"",IF($C139="",1,$C139)*$D139+N($E139)-N($F139))</f>
        <v/>
      </c>
      <c r="K139" s="13" t="str">
        <f aca="false">IF($J139="","",IF($R139&lt;&gt;"",$R139,IF($G139="",0,MAX(IFERROR(INDEX(Settings!$D$6:$D$15,MATCH($G139,Settings!$A$6:$A$15,0)),0),$J139*IFERROR(INDEX(Settings!$B$6:$B$15,MATCH($G139,Settings!$A$6:$A$15,0)),0)+IFERROR(INDEX(Settings!$C$6:$C$15,MATCH($G139,Settings!$A$6:$A$15,0)),0)))))</f>
        <v/>
      </c>
      <c r="L139" s="13" t="str">
        <f aca="false">IF($J139="","",IF($C139="",1,$C139)*IF($Q139&lt;&gt;"",$Q139,IFERROR(INDEX(Products!$D$5:$D$54,MATCH($B139,Products!$A$5:$A$54,0)),0)))</f>
        <v/>
      </c>
      <c r="M139" s="14" t="str">
        <f aca="false">IF($J139="","",$J139-$K139-N($H139)-$L139)</f>
        <v/>
      </c>
      <c r="N139" s="15" t="str">
        <f aca="false">IF($J139="","",IF($J139&gt;0,$M139/$J139,""))</f>
        <v/>
      </c>
      <c r="O139" s="12"/>
      <c r="P139" s="12"/>
      <c r="Q139" s="11"/>
      <c r="R139" s="11"/>
      <c r="S139" s="12"/>
      <c r="T139" s="16" t="str">
        <f aca="false">IF($J139="","",IF($C139="",1,$C139))</f>
        <v/>
      </c>
    </row>
    <row r="140" customFormat="false" ht="15" hidden="false" customHeight="false" outlineLevel="0" collapsed="false">
      <c r="A140" s="7"/>
      <c r="B140" s="8"/>
      <c r="C140" s="9"/>
      <c r="D140" s="10"/>
      <c r="E140" s="11"/>
      <c r="F140" s="11"/>
      <c r="G140" s="8"/>
      <c r="H140" s="11"/>
      <c r="I140" s="12"/>
      <c r="J140" s="13" t="str">
        <f aca="false">IF(OR($A140="",$D140=""),"",IF($C140="",1,$C140)*$D140+N($E140)-N($F140))</f>
        <v/>
      </c>
      <c r="K140" s="13" t="str">
        <f aca="false">IF($J140="","",IF($R140&lt;&gt;"",$R140,IF($G140="",0,MAX(IFERROR(INDEX(Settings!$D$6:$D$15,MATCH($G140,Settings!$A$6:$A$15,0)),0),$J140*IFERROR(INDEX(Settings!$B$6:$B$15,MATCH($G140,Settings!$A$6:$A$15,0)),0)+IFERROR(INDEX(Settings!$C$6:$C$15,MATCH($G140,Settings!$A$6:$A$15,0)),0)))))</f>
        <v/>
      </c>
      <c r="L140" s="13" t="str">
        <f aca="false">IF($J140="","",IF($C140="",1,$C140)*IF($Q140&lt;&gt;"",$Q140,IFERROR(INDEX(Products!$D$5:$D$54,MATCH($B140,Products!$A$5:$A$54,0)),0)))</f>
        <v/>
      </c>
      <c r="M140" s="14" t="str">
        <f aca="false">IF($J140="","",$J140-$K140-N($H140)-$L140)</f>
        <v/>
      </c>
      <c r="N140" s="15" t="str">
        <f aca="false">IF($J140="","",IF($J140&gt;0,$M140/$J140,""))</f>
        <v/>
      </c>
      <c r="O140" s="12"/>
      <c r="P140" s="12"/>
      <c r="Q140" s="11"/>
      <c r="R140" s="11"/>
      <c r="S140" s="12"/>
      <c r="T140" s="16" t="str">
        <f aca="false">IF($J140="","",IF($C140="",1,$C140))</f>
        <v/>
      </c>
    </row>
    <row r="141" customFormat="false" ht="15" hidden="false" customHeight="false" outlineLevel="0" collapsed="false">
      <c r="A141" s="7"/>
      <c r="B141" s="8"/>
      <c r="C141" s="9"/>
      <c r="D141" s="10"/>
      <c r="E141" s="11"/>
      <c r="F141" s="11"/>
      <c r="G141" s="8"/>
      <c r="H141" s="11"/>
      <c r="I141" s="12"/>
      <c r="J141" s="13" t="str">
        <f aca="false">IF(OR($A141="",$D141=""),"",IF($C141="",1,$C141)*$D141+N($E141)-N($F141))</f>
        <v/>
      </c>
      <c r="K141" s="13" t="str">
        <f aca="false">IF($J141="","",IF($R141&lt;&gt;"",$R141,IF($G141="",0,MAX(IFERROR(INDEX(Settings!$D$6:$D$15,MATCH($G141,Settings!$A$6:$A$15,0)),0),$J141*IFERROR(INDEX(Settings!$B$6:$B$15,MATCH($G141,Settings!$A$6:$A$15,0)),0)+IFERROR(INDEX(Settings!$C$6:$C$15,MATCH($G141,Settings!$A$6:$A$15,0)),0)))))</f>
        <v/>
      </c>
      <c r="L141" s="13" t="str">
        <f aca="false">IF($J141="","",IF($C141="",1,$C141)*IF($Q141&lt;&gt;"",$Q141,IFERROR(INDEX(Products!$D$5:$D$54,MATCH($B141,Products!$A$5:$A$54,0)),0)))</f>
        <v/>
      </c>
      <c r="M141" s="14" t="str">
        <f aca="false">IF($J141="","",$J141-$K141-N($H141)-$L141)</f>
        <v/>
      </c>
      <c r="N141" s="15" t="str">
        <f aca="false">IF($J141="","",IF($J141&gt;0,$M141/$J141,""))</f>
        <v/>
      </c>
      <c r="O141" s="12"/>
      <c r="P141" s="12"/>
      <c r="Q141" s="11"/>
      <c r="R141" s="11"/>
      <c r="S141" s="12"/>
      <c r="T141" s="16" t="str">
        <f aca="false">IF($J141="","",IF($C141="",1,$C141))</f>
        <v/>
      </c>
    </row>
    <row r="142" customFormat="false" ht="15" hidden="false" customHeight="false" outlineLevel="0" collapsed="false">
      <c r="A142" s="7"/>
      <c r="B142" s="8"/>
      <c r="C142" s="9"/>
      <c r="D142" s="10"/>
      <c r="E142" s="11"/>
      <c r="F142" s="11"/>
      <c r="G142" s="8"/>
      <c r="H142" s="11"/>
      <c r="I142" s="12"/>
      <c r="J142" s="13" t="str">
        <f aca="false">IF(OR($A142="",$D142=""),"",IF($C142="",1,$C142)*$D142+N($E142)-N($F142))</f>
        <v/>
      </c>
      <c r="K142" s="13" t="str">
        <f aca="false">IF($J142="","",IF($R142&lt;&gt;"",$R142,IF($G142="",0,MAX(IFERROR(INDEX(Settings!$D$6:$D$15,MATCH($G142,Settings!$A$6:$A$15,0)),0),$J142*IFERROR(INDEX(Settings!$B$6:$B$15,MATCH($G142,Settings!$A$6:$A$15,0)),0)+IFERROR(INDEX(Settings!$C$6:$C$15,MATCH($G142,Settings!$A$6:$A$15,0)),0)))))</f>
        <v/>
      </c>
      <c r="L142" s="13" t="str">
        <f aca="false">IF($J142="","",IF($C142="",1,$C142)*IF($Q142&lt;&gt;"",$Q142,IFERROR(INDEX(Products!$D$5:$D$54,MATCH($B142,Products!$A$5:$A$54,0)),0)))</f>
        <v/>
      </c>
      <c r="M142" s="14" t="str">
        <f aca="false">IF($J142="","",$J142-$K142-N($H142)-$L142)</f>
        <v/>
      </c>
      <c r="N142" s="15" t="str">
        <f aca="false">IF($J142="","",IF($J142&gt;0,$M142/$J142,""))</f>
        <v/>
      </c>
      <c r="O142" s="12"/>
      <c r="P142" s="12"/>
      <c r="Q142" s="11"/>
      <c r="R142" s="11"/>
      <c r="S142" s="12"/>
      <c r="T142" s="16" t="str">
        <f aca="false">IF($J142="","",IF($C142="",1,$C142))</f>
        <v/>
      </c>
    </row>
    <row r="143" customFormat="false" ht="15" hidden="false" customHeight="false" outlineLevel="0" collapsed="false">
      <c r="A143" s="7"/>
      <c r="B143" s="8"/>
      <c r="C143" s="9"/>
      <c r="D143" s="10"/>
      <c r="E143" s="11"/>
      <c r="F143" s="11"/>
      <c r="G143" s="8"/>
      <c r="H143" s="11"/>
      <c r="I143" s="12"/>
      <c r="J143" s="13" t="str">
        <f aca="false">IF(OR($A143="",$D143=""),"",IF($C143="",1,$C143)*$D143+N($E143)-N($F143))</f>
        <v/>
      </c>
      <c r="K143" s="13" t="str">
        <f aca="false">IF($J143="","",IF($R143&lt;&gt;"",$R143,IF($G143="",0,MAX(IFERROR(INDEX(Settings!$D$6:$D$15,MATCH($G143,Settings!$A$6:$A$15,0)),0),$J143*IFERROR(INDEX(Settings!$B$6:$B$15,MATCH($G143,Settings!$A$6:$A$15,0)),0)+IFERROR(INDEX(Settings!$C$6:$C$15,MATCH($G143,Settings!$A$6:$A$15,0)),0)))))</f>
        <v/>
      </c>
      <c r="L143" s="13" t="str">
        <f aca="false">IF($J143="","",IF($C143="",1,$C143)*IF($Q143&lt;&gt;"",$Q143,IFERROR(INDEX(Products!$D$5:$D$54,MATCH($B143,Products!$A$5:$A$54,0)),0)))</f>
        <v/>
      </c>
      <c r="M143" s="14" t="str">
        <f aca="false">IF($J143="","",$J143-$K143-N($H143)-$L143)</f>
        <v/>
      </c>
      <c r="N143" s="15" t="str">
        <f aca="false">IF($J143="","",IF($J143&gt;0,$M143/$J143,""))</f>
        <v/>
      </c>
      <c r="O143" s="12"/>
      <c r="P143" s="12"/>
      <c r="Q143" s="11"/>
      <c r="R143" s="11"/>
      <c r="S143" s="12"/>
      <c r="T143" s="16" t="str">
        <f aca="false">IF($J143="","",IF($C143="",1,$C143))</f>
        <v/>
      </c>
    </row>
    <row r="144" customFormat="false" ht="15" hidden="false" customHeight="false" outlineLevel="0" collapsed="false">
      <c r="A144" s="7"/>
      <c r="B144" s="8"/>
      <c r="C144" s="9"/>
      <c r="D144" s="10"/>
      <c r="E144" s="11"/>
      <c r="F144" s="11"/>
      <c r="G144" s="8"/>
      <c r="H144" s="11"/>
      <c r="I144" s="12"/>
      <c r="J144" s="13" t="str">
        <f aca="false">IF(OR($A144="",$D144=""),"",IF($C144="",1,$C144)*$D144+N($E144)-N($F144))</f>
        <v/>
      </c>
      <c r="K144" s="13" t="str">
        <f aca="false">IF($J144="","",IF($R144&lt;&gt;"",$R144,IF($G144="",0,MAX(IFERROR(INDEX(Settings!$D$6:$D$15,MATCH($G144,Settings!$A$6:$A$15,0)),0),$J144*IFERROR(INDEX(Settings!$B$6:$B$15,MATCH($G144,Settings!$A$6:$A$15,0)),0)+IFERROR(INDEX(Settings!$C$6:$C$15,MATCH($G144,Settings!$A$6:$A$15,0)),0)))))</f>
        <v/>
      </c>
      <c r="L144" s="13" t="str">
        <f aca="false">IF($J144="","",IF($C144="",1,$C144)*IF($Q144&lt;&gt;"",$Q144,IFERROR(INDEX(Products!$D$5:$D$54,MATCH($B144,Products!$A$5:$A$54,0)),0)))</f>
        <v/>
      </c>
      <c r="M144" s="14" t="str">
        <f aca="false">IF($J144="","",$J144-$K144-N($H144)-$L144)</f>
        <v/>
      </c>
      <c r="N144" s="15" t="str">
        <f aca="false">IF($J144="","",IF($J144&gt;0,$M144/$J144,""))</f>
        <v/>
      </c>
      <c r="O144" s="12"/>
      <c r="P144" s="12"/>
      <c r="Q144" s="11"/>
      <c r="R144" s="11"/>
      <c r="S144" s="12"/>
      <c r="T144" s="16" t="str">
        <f aca="false">IF($J144="","",IF($C144="",1,$C144))</f>
        <v/>
      </c>
    </row>
    <row r="145" customFormat="false" ht="15" hidden="false" customHeight="false" outlineLevel="0" collapsed="false">
      <c r="A145" s="7"/>
      <c r="B145" s="8"/>
      <c r="C145" s="9"/>
      <c r="D145" s="10"/>
      <c r="E145" s="11"/>
      <c r="F145" s="11"/>
      <c r="G145" s="8"/>
      <c r="H145" s="11"/>
      <c r="I145" s="12"/>
      <c r="J145" s="13" t="str">
        <f aca="false">IF(OR($A145="",$D145=""),"",IF($C145="",1,$C145)*$D145+N($E145)-N($F145))</f>
        <v/>
      </c>
      <c r="K145" s="13" t="str">
        <f aca="false">IF($J145="","",IF($R145&lt;&gt;"",$R145,IF($G145="",0,MAX(IFERROR(INDEX(Settings!$D$6:$D$15,MATCH($G145,Settings!$A$6:$A$15,0)),0),$J145*IFERROR(INDEX(Settings!$B$6:$B$15,MATCH($G145,Settings!$A$6:$A$15,0)),0)+IFERROR(INDEX(Settings!$C$6:$C$15,MATCH($G145,Settings!$A$6:$A$15,0)),0)))))</f>
        <v/>
      </c>
      <c r="L145" s="13" t="str">
        <f aca="false">IF($J145="","",IF($C145="",1,$C145)*IF($Q145&lt;&gt;"",$Q145,IFERROR(INDEX(Products!$D$5:$D$54,MATCH($B145,Products!$A$5:$A$54,0)),0)))</f>
        <v/>
      </c>
      <c r="M145" s="14" t="str">
        <f aca="false">IF($J145="","",$J145-$K145-N($H145)-$L145)</f>
        <v/>
      </c>
      <c r="N145" s="15" t="str">
        <f aca="false">IF($J145="","",IF($J145&gt;0,$M145/$J145,""))</f>
        <v/>
      </c>
      <c r="O145" s="12"/>
      <c r="P145" s="12"/>
      <c r="Q145" s="11"/>
      <c r="R145" s="11"/>
      <c r="S145" s="12"/>
      <c r="T145" s="16" t="str">
        <f aca="false">IF($J145="","",IF($C145="",1,$C145))</f>
        <v/>
      </c>
    </row>
    <row r="146" customFormat="false" ht="15" hidden="false" customHeight="false" outlineLevel="0" collapsed="false">
      <c r="A146" s="7"/>
      <c r="B146" s="8"/>
      <c r="C146" s="9"/>
      <c r="D146" s="10"/>
      <c r="E146" s="11"/>
      <c r="F146" s="11"/>
      <c r="G146" s="8"/>
      <c r="H146" s="11"/>
      <c r="I146" s="12"/>
      <c r="J146" s="13" t="str">
        <f aca="false">IF(OR($A146="",$D146=""),"",IF($C146="",1,$C146)*$D146+N($E146)-N($F146))</f>
        <v/>
      </c>
      <c r="K146" s="13" t="str">
        <f aca="false">IF($J146="","",IF($R146&lt;&gt;"",$R146,IF($G146="",0,MAX(IFERROR(INDEX(Settings!$D$6:$D$15,MATCH($G146,Settings!$A$6:$A$15,0)),0),$J146*IFERROR(INDEX(Settings!$B$6:$B$15,MATCH($G146,Settings!$A$6:$A$15,0)),0)+IFERROR(INDEX(Settings!$C$6:$C$15,MATCH($G146,Settings!$A$6:$A$15,0)),0)))))</f>
        <v/>
      </c>
      <c r="L146" s="13" t="str">
        <f aca="false">IF($J146="","",IF($C146="",1,$C146)*IF($Q146&lt;&gt;"",$Q146,IFERROR(INDEX(Products!$D$5:$D$54,MATCH($B146,Products!$A$5:$A$54,0)),0)))</f>
        <v/>
      </c>
      <c r="M146" s="14" t="str">
        <f aca="false">IF($J146="","",$J146-$K146-N($H146)-$L146)</f>
        <v/>
      </c>
      <c r="N146" s="15" t="str">
        <f aca="false">IF($J146="","",IF($J146&gt;0,$M146/$J146,""))</f>
        <v/>
      </c>
      <c r="O146" s="12"/>
      <c r="P146" s="12"/>
      <c r="Q146" s="11"/>
      <c r="R146" s="11"/>
      <c r="S146" s="12"/>
      <c r="T146" s="16" t="str">
        <f aca="false">IF($J146="","",IF($C146="",1,$C146))</f>
        <v/>
      </c>
    </row>
    <row r="147" customFormat="false" ht="15" hidden="false" customHeight="false" outlineLevel="0" collapsed="false">
      <c r="A147" s="7"/>
      <c r="B147" s="8"/>
      <c r="C147" s="9"/>
      <c r="D147" s="10"/>
      <c r="E147" s="11"/>
      <c r="F147" s="11"/>
      <c r="G147" s="8"/>
      <c r="H147" s="11"/>
      <c r="I147" s="12"/>
      <c r="J147" s="13" t="str">
        <f aca="false">IF(OR($A147="",$D147=""),"",IF($C147="",1,$C147)*$D147+N($E147)-N($F147))</f>
        <v/>
      </c>
      <c r="K147" s="13" t="str">
        <f aca="false">IF($J147="","",IF($R147&lt;&gt;"",$R147,IF($G147="",0,MAX(IFERROR(INDEX(Settings!$D$6:$D$15,MATCH($G147,Settings!$A$6:$A$15,0)),0),$J147*IFERROR(INDEX(Settings!$B$6:$B$15,MATCH($G147,Settings!$A$6:$A$15,0)),0)+IFERROR(INDEX(Settings!$C$6:$C$15,MATCH($G147,Settings!$A$6:$A$15,0)),0)))))</f>
        <v/>
      </c>
      <c r="L147" s="13" t="str">
        <f aca="false">IF($J147="","",IF($C147="",1,$C147)*IF($Q147&lt;&gt;"",$Q147,IFERROR(INDEX(Products!$D$5:$D$54,MATCH($B147,Products!$A$5:$A$54,0)),0)))</f>
        <v/>
      </c>
      <c r="M147" s="14" t="str">
        <f aca="false">IF($J147="","",$J147-$K147-N($H147)-$L147)</f>
        <v/>
      </c>
      <c r="N147" s="15" t="str">
        <f aca="false">IF($J147="","",IF($J147&gt;0,$M147/$J147,""))</f>
        <v/>
      </c>
      <c r="O147" s="12"/>
      <c r="P147" s="12"/>
      <c r="Q147" s="11"/>
      <c r="R147" s="11"/>
      <c r="S147" s="12"/>
      <c r="T147" s="16" t="str">
        <f aca="false">IF($J147="","",IF($C147="",1,$C147))</f>
        <v/>
      </c>
    </row>
    <row r="148" customFormat="false" ht="15" hidden="false" customHeight="false" outlineLevel="0" collapsed="false">
      <c r="A148" s="7"/>
      <c r="B148" s="8"/>
      <c r="C148" s="9"/>
      <c r="D148" s="10"/>
      <c r="E148" s="11"/>
      <c r="F148" s="11"/>
      <c r="G148" s="8"/>
      <c r="H148" s="11"/>
      <c r="I148" s="12"/>
      <c r="J148" s="13" t="str">
        <f aca="false">IF(OR($A148="",$D148=""),"",IF($C148="",1,$C148)*$D148+N($E148)-N($F148))</f>
        <v/>
      </c>
      <c r="K148" s="13" t="str">
        <f aca="false">IF($J148="","",IF($R148&lt;&gt;"",$R148,IF($G148="",0,MAX(IFERROR(INDEX(Settings!$D$6:$D$15,MATCH($G148,Settings!$A$6:$A$15,0)),0),$J148*IFERROR(INDEX(Settings!$B$6:$B$15,MATCH($G148,Settings!$A$6:$A$15,0)),0)+IFERROR(INDEX(Settings!$C$6:$C$15,MATCH($G148,Settings!$A$6:$A$15,0)),0)))))</f>
        <v/>
      </c>
      <c r="L148" s="13" t="str">
        <f aca="false">IF($J148="","",IF($C148="",1,$C148)*IF($Q148&lt;&gt;"",$Q148,IFERROR(INDEX(Products!$D$5:$D$54,MATCH($B148,Products!$A$5:$A$54,0)),0)))</f>
        <v/>
      </c>
      <c r="M148" s="14" t="str">
        <f aca="false">IF($J148="","",$J148-$K148-N($H148)-$L148)</f>
        <v/>
      </c>
      <c r="N148" s="15" t="str">
        <f aca="false">IF($J148="","",IF($J148&gt;0,$M148/$J148,""))</f>
        <v/>
      </c>
      <c r="O148" s="12"/>
      <c r="P148" s="12"/>
      <c r="Q148" s="11"/>
      <c r="R148" s="11"/>
      <c r="S148" s="12"/>
      <c r="T148" s="16" t="str">
        <f aca="false">IF($J148="","",IF($C148="",1,$C148))</f>
        <v/>
      </c>
    </row>
    <row r="149" customFormat="false" ht="15" hidden="false" customHeight="false" outlineLevel="0" collapsed="false">
      <c r="A149" s="7"/>
      <c r="B149" s="8"/>
      <c r="C149" s="9"/>
      <c r="D149" s="10"/>
      <c r="E149" s="11"/>
      <c r="F149" s="11"/>
      <c r="G149" s="8"/>
      <c r="H149" s="11"/>
      <c r="I149" s="12"/>
      <c r="J149" s="13" t="str">
        <f aca="false">IF(OR($A149="",$D149=""),"",IF($C149="",1,$C149)*$D149+N($E149)-N($F149))</f>
        <v/>
      </c>
      <c r="K149" s="13" t="str">
        <f aca="false">IF($J149="","",IF($R149&lt;&gt;"",$R149,IF($G149="",0,MAX(IFERROR(INDEX(Settings!$D$6:$D$15,MATCH($G149,Settings!$A$6:$A$15,0)),0),$J149*IFERROR(INDEX(Settings!$B$6:$B$15,MATCH($G149,Settings!$A$6:$A$15,0)),0)+IFERROR(INDEX(Settings!$C$6:$C$15,MATCH($G149,Settings!$A$6:$A$15,0)),0)))))</f>
        <v/>
      </c>
      <c r="L149" s="13" t="str">
        <f aca="false">IF($J149="","",IF($C149="",1,$C149)*IF($Q149&lt;&gt;"",$Q149,IFERROR(INDEX(Products!$D$5:$D$54,MATCH($B149,Products!$A$5:$A$54,0)),0)))</f>
        <v/>
      </c>
      <c r="M149" s="14" t="str">
        <f aca="false">IF($J149="","",$J149-$K149-N($H149)-$L149)</f>
        <v/>
      </c>
      <c r="N149" s="15" t="str">
        <f aca="false">IF($J149="","",IF($J149&gt;0,$M149/$J149,""))</f>
        <v/>
      </c>
      <c r="O149" s="12"/>
      <c r="P149" s="12"/>
      <c r="Q149" s="11"/>
      <c r="R149" s="11"/>
      <c r="S149" s="12"/>
      <c r="T149" s="16" t="str">
        <f aca="false">IF($J149="","",IF($C149="",1,$C149))</f>
        <v/>
      </c>
    </row>
    <row r="150" customFormat="false" ht="15" hidden="false" customHeight="false" outlineLevel="0" collapsed="false">
      <c r="A150" s="7"/>
      <c r="B150" s="8"/>
      <c r="C150" s="9"/>
      <c r="D150" s="10"/>
      <c r="E150" s="11"/>
      <c r="F150" s="11"/>
      <c r="G150" s="8"/>
      <c r="H150" s="11"/>
      <c r="I150" s="12"/>
      <c r="J150" s="13" t="str">
        <f aca="false">IF(OR($A150="",$D150=""),"",IF($C150="",1,$C150)*$D150+N($E150)-N($F150))</f>
        <v/>
      </c>
      <c r="K150" s="13" t="str">
        <f aca="false">IF($J150="","",IF($R150&lt;&gt;"",$R150,IF($G150="",0,MAX(IFERROR(INDEX(Settings!$D$6:$D$15,MATCH($G150,Settings!$A$6:$A$15,0)),0),$J150*IFERROR(INDEX(Settings!$B$6:$B$15,MATCH($G150,Settings!$A$6:$A$15,0)),0)+IFERROR(INDEX(Settings!$C$6:$C$15,MATCH($G150,Settings!$A$6:$A$15,0)),0)))))</f>
        <v/>
      </c>
      <c r="L150" s="13" t="str">
        <f aca="false">IF($J150="","",IF($C150="",1,$C150)*IF($Q150&lt;&gt;"",$Q150,IFERROR(INDEX(Products!$D$5:$D$54,MATCH($B150,Products!$A$5:$A$54,0)),0)))</f>
        <v/>
      </c>
      <c r="M150" s="14" t="str">
        <f aca="false">IF($J150="","",$J150-$K150-N($H150)-$L150)</f>
        <v/>
      </c>
      <c r="N150" s="15" t="str">
        <f aca="false">IF($J150="","",IF($J150&gt;0,$M150/$J150,""))</f>
        <v/>
      </c>
      <c r="O150" s="12"/>
      <c r="P150" s="12"/>
      <c r="Q150" s="11"/>
      <c r="R150" s="11"/>
      <c r="S150" s="12"/>
      <c r="T150" s="16" t="str">
        <f aca="false">IF($J150="","",IF($C150="",1,$C150))</f>
        <v/>
      </c>
    </row>
    <row r="151" customFormat="false" ht="15" hidden="false" customHeight="false" outlineLevel="0" collapsed="false">
      <c r="A151" s="7"/>
      <c r="B151" s="8"/>
      <c r="C151" s="9"/>
      <c r="D151" s="10"/>
      <c r="E151" s="11"/>
      <c r="F151" s="11"/>
      <c r="G151" s="8"/>
      <c r="H151" s="11"/>
      <c r="I151" s="12"/>
      <c r="J151" s="13" t="str">
        <f aca="false">IF(OR($A151="",$D151=""),"",IF($C151="",1,$C151)*$D151+N($E151)-N($F151))</f>
        <v/>
      </c>
      <c r="K151" s="13" t="str">
        <f aca="false">IF($J151="","",IF($R151&lt;&gt;"",$R151,IF($G151="",0,MAX(IFERROR(INDEX(Settings!$D$6:$D$15,MATCH($G151,Settings!$A$6:$A$15,0)),0),$J151*IFERROR(INDEX(Settings!$B$6:$B$15,MATCH($G151,Settings!$A$6:$A$15,0)),0)+IFERROR(INDEX(Settings!$C$6:$C$15,MATCH($G151,Settings!$A$6:$A$15,0)),0)))))</f>
        <v/>
      </c>
      <c r="L151" s="13" t="str">
        <f aca="false">IF($J151="","",IF($C151="",1,$C151)*IF($Q151&lt;&gt;"",$Q151,IFERROR(INDEX(Products!$D$5:$D$54,MATCH($B151,Products!$A$5:$A$54,0)),0)))</f>
        <v/>
      </c>
      <c r="M151" s="14" t="str">
        <f aca="false">IF($J151="","",$J151-$K151-N($H151)-$L151)</f>
        <v/>
      </c>
      <c r="N151" s="15" t="str">
        <f aca="false">IF($J151="","",IF($J151&gt;0,$M151/$J151,""))</f>
        <v/>
      </c>
      <c r="O151" s="12"/>
      <c r="P151" s="12"/>
      <c r="Q151" s="11"/>
      <c r="R151" s="11"/>
      <c r="S151" s="12"/>
      <c r="T151" s="16" t="str">
        <f aca="false">IF($J151="","",IF($C151="",1,$C151))</f>
        <v/>
      </c>
    </row>
    <row r="152" customFormat="false" ht="15" hidden="false" customHeight="false" outlineLevel="0" collapsed="false">
      <c r="A152" s="7"/>
      <c r="B152" s="8"/>
      <c r="C152" s="9"/>
      <c r="D152" s="10"/>
      <c r="E152" s="11"/>
      <c r="F152" s="11"/>
      <c r="G152" s="8"/>
      <c r="H152" s="11"/>
      <c r="I152" s="12"/>
      <c r="J152" s="13" t="str">
        <f aca="false">IF(OR($A152="",$D152=""),"",IF($C152="",1,$C152)*$D152+N($E152)-N($F152))</f>
        <v/>
      </c>
      <c r="K152" s="13" t="str">
        <f aca="false">IF($J152="","",IF($R152&lt;&gt;"",$R152,IF($G152="",0,MAX(IFERROR(INDEX(Settings!$D$6:$D$15,MATCH($G152,Settings!$A$6:$A$15,0)),0),$J152*IFERROR(INDEX(Settings!$B$6:$B$15,MATCH($G152,Settings!$A$6:$A$15,0)),0)+IFERROR(INDEX(Settings!$C$6:$C$15,MATCH($G152,Settings!$A$6:$A$15,0)),0)))))</f>
        <v/>
      </c>
      <c r="L152" s="13" t="str">
        <f aca="false">IF($J152="","",IF($C152="",1,$C152)*IF($Q152&lt;&gt;"",$Q152,IFERROR(INDEX(Products!$D$5:$D$54,MATCH($B152,Products!$A$5:$A$54,0)),0)))</f>
        <v/>
      </c>
      <c r="M152" s="14" t="str">
        <f aca="false">IF($J152="","",$J152-$K152-N($H152)-$L152)</f>
        <v/>
      </c>
      <c r="N152" s="15" t="str">
        <f aca="false">IF($J152="","",IF($J152&gt;0,$M152/$J152,""))</f>
        <v/>
      </c>
      <c r="O152" s="12"/>
      <c r="P152" s="12"/>
      <c r="Q152" s="11"/>
      <c r="R152" s="11"/>
      <c r="S152" s="12"/>
      <c r="T152" s="16" t="str">
        <f aca="false">IF($J152="","",IF($C152="",1,$C152))</f>
        <v/>
      </c>
    </row>
    <row r="153" customFormat="false" ht="15" hidden="false" customHeight="false" outlineLevel="0" collapsed="false">
      <c r="A153" s="7"/>
      <c r="B153" s="8"/>
      <c r="C153" s="9"/>
      <c r="D153" s="10"/>
      <c r="E153" s="11"/>
      <c r="F153" s="11"/>
      <c r="G153" s="8"/>
      <c r="H153" s="11"/>
      <c r="I153" s="12"/>
      <c r="J153" s="13" t="str">
        <f aca="false">IF(OR($A153="",$D153=""),"",IF($C153="",1,$C153)*$D153+N($E153)-N($F153))</f>
        <v/>
      </c>
      <c r="K153" s="13" t="str">
        <f aca="false">IF($J153="","",IF($R153&lt;&gt;"",$R153,IF($G153="",0,MAX(IFERROR(INDEX(Settings!$D$6:$D$15,MATCH($G153,Settings!$A$6:$A$15,0)),0),$J153*IFERROR(INDEX(Settings!$B$6:$B$15,MATCH($G153,Settings!$A$6:$A$15,0)),0)+IFERROR(INDEX(Settings!$C$6:$C$15,MATCH($G153,Settings!$A$6:$A$15,0)),0)))))</f>
        <v/>
      </c>
      <c r="L153" s="13" t="str">
        <f aca="false">IF($J153="","",IF($C153="",1,$C153)*IF($Q153&lt;&gt;"",$Q153,IFERROR(INDEX(Products!$D$5:$D$54,MATCH($B153,Products!$A$5:$A$54,0)),0)))</f>
        <v/>
      </c>
      <c r="M153" s="14" t="str">
        <f aca="false">IF($J153="","",$J153-$K153-N($H153)-$L153)</f>
        <v/>
      </c>
      <c r="N153" s="15" t="str">
        <f aca="false">IF($J153="","",IF($J153&gt;0,$M153/$J153,""))</f>
        <v/>
      </c>
      <c r="O153" s="12"/>
      <c r="P153" s="12"/>
      <c r="Q153" s="11"/>
      <c r="R153" s="11"/>
      <c r="S153" s="12"/>
      <c r="T153" s="16" t="str">
        <f aca="false">IF($J153="","",IF($C153="",1,$C153))</f>
        <v/>
      </c>
    </row>
    <row r="154" customFormat="false" ht="15" hidden="false" customHeight="false" outlineLevel="0" collapsed="false">
      <c r="A154" s="7"/>
      <c r="B154" s="8"/>
      <c r="C154" s="9"/>
      <c r="D154" s="10"/>
      <c r="E154" s="11"/>
      <c r="F154" s="11"/>
      <c r="G154" s="8"/>
      <c r="H154" s="11"/>
      <c r="I154" s="12"/>
      <c r="J154" s="13" t="str">
        <f aca="false">IF(OR($A154="",$D154=""),"",IF($C154="",1,$C154)*$D154+N($E154)-N($F154))</f>
        <v/>
      </c>
      <c r="K154" s="13" t="str">
        <f aca="false">IF($J154="","",IF($R154&lt;&gt;"",$R154,IF($G154="",0,MAX(IFERROR(INDEX(Settings!$D$6:$D$15,MATCH($G154,Settings!$A$6:$A$15,0)),0),$J154*IFERROR(INDEX(Settings!$B$6:$B$15,MATCH($G154,Settings!$A$6:$A$15,0)),0)+IFERROR(INDEX(Settings!$C$6:$C$15,MATCH($G154,Settings!$A$6:$A$15,0)),0)))))</f>
        <v/>
      </c>
      <c r="L154" s="13" t="str">
        <f aca="false">IF($J154="","",IF($C154="",1,$C154)*IF($Q154&lt;&gt;"",$Q154,IFERROR(INDEX(Products!$D$5:$D$54,MATCH($B154,Products!$A$5:$A$54,0)),0)))</f>
        <v/>
      </c>
      <c r="M154" s="14" t="str">
        <f aca="false">IF($J154="","",$J154-$K154-N($H154)-$L154)</f>
        <v/>
      </c>
      <c r="N154" s="15" t="str">
        <f aca="false">IF($J154="","",IF($J154&gt;0,$M154/$J154,""))</f>
        <v/>
      </c>
      <c r="O154" s="12"/>
      <c r="P154" s="12"/>
      <c r="Q154" s="11"/>
      <c r="R154" s="11"/>
      <c r="S154" s="12"/>
      <c r="T154" s="16" t="str">
        <f aca="false">IF($J154="","",IF($C154="",1,$C154))</f>
        <v/>
      </c>
    </row>
    <row r="155" customFormat="false" ht="15" hidden="false" customHeight="false" outlineLevel="0" collapsed="false">
      <c r="A155" s="7"/>
      <c r="B155" s="8"/>
      <c r="C155" s="9"/>
      <c r="D155" s="10"/>
      <c r="E155" s="11"/>
      <c r="F155" s="11"/>
      <c r="G155" s="8"/>
      <c r="H155" s="11"/>
      <c r="I155" s="12"/>
      <c r="J155" s="13" t="str">
        <f aca="false">IF(OR($A155="",$D155=""),"",IF($C155="",1,$C155)*$D155+N($E155)-N($F155))</f>
        <v/>
      </c>
      <c r="K155" s="13" t="str">
        <f aca="false">IF($J155="","",IF($R155&lt;&gt;"",$R155,IF($G155="",0,MAX(IFERROR(INDEX(Settings!$D$6:$D$15,MATCH($G155,Settings!$A$6:$A$15,0)),0),$J155*IFERROR(INDEX(Settings!$B$6:$B$15,MATCH($G155,Settings!$A$6:$A$15,0)),0)+IFERROR(INDEX(Settings!$C$6:$C$15,MATCH($G155,Settings!$A$6:$A$15,0)),0)))))</f>
        <v/>
      </c>
      <c r="L155" s="13" t="str">
        <f aca="false">IF($J155="","",IF($C155="",1,$C155)*IF($Q155&lt;&gt;"",$Q155,IFERROR(INDEX(Products!$D$5:$D$54,MATCH($B155,Products!$A$5:$A$54,0)),0)))</f>
        <v/>
      </c>
      <c r="M155" s="14" t="str">
        <f aca="false">IF($J155="","",$J155-$K155-N($H155)-$L155)</f>
        <v/>
      </c>
      <c r="N155" s="15" t="str">
        <f aca="false">IF($J155="","",IF($J155&gt;0,$M155/$J155,""))</f>
        <v/>
      </c>
      <c r="O155" s="12"/>
      <c r="P155" s="12"/>
      <c r="Q155" s="11"/>
      <c r="R155" s="11"/>
      <c r="S155" s="12"/>
      <c r="T155" s="16" t="str">
        <f aca="false">IF($J155="","",IF($C155="",1,$C155))</f>
        <v/>
      </c>
    </row>
    <row r="156" customFormat="false" ht="15" hidden="false" customHeight="false" outlineLevel="0" collapsed="false">
      <c r="A156" s="7"/>
      <c r="B156" s="8"/>
      <c r="C156" s="9"/>
      <c r="D156" s="10"/>
      <c r="E156" s="11"/>
      <c r="F156" s="11"/>
      <c r="G156" s="8"/>
      <c r="H156" s="11"/>
      <c r="I156" s="12"/>
      <c r="J156" s="13" t="str">
        <f aca="false">IF(OR($A156="",$D156=""),"",IF($C156="",1,$C156)*$D156+N($E156)-N($F156))</f>
        <v/>
      </c>
      <c r="K156" s="13" t="str">
        <f aca="false">IF($J156="","",IF($R156&lt;&gt;"",$R156,IF($G156="",0,MAX(IFERROR(INDEX(Settings!$D$6:$D$15,MATCH($G156,Settings!$A$6:$A$15,0)),0),$J156*IFERROR(INDEX(Settings!$B$6:$B$15,MATCH($G156,Settings!$A$6:$A$15,0)),0)+IFERROR(INDEX(Settings!$C$6:$C$15,MATCH($G156,Settings!$A$6:$A$15,0)),0)))))</f>
        <v/>
      </c>
      <c r="L156" s="13" t="str">
        <f aca="false">IF($J156="","",IF($C156="",1,$C156)*IF($Q156&lt;&gt;"",$Q156,IFERROR(INDEX(Products!$D$5:$D$54,MATCH($B156,Products!$A$5:$A$54,0)),0)))</f>
        <v/>
      </c>
      <c r="M156" s="14" t="str">
        <f aca="false">IF($J156="","",$J156-$K156-N($H156)-$L156)</f>
        <v/>
      </c>
      <c r="N156" s="15" t="str">
        <f aca="false">IF($J156="","",IF($J156&gt;0,$M156/$J156,""))</f>
        <v/>
      </c>
      <c r="O156" s="12"/>
      <c r="P156" s="12"/>
      <c r="Q156" s="11"/>
      <c r="R156" s="11"/>
      <c r="S156" s="12"/>
      <c r="T156" s="16" t="str">
        <f aca="false">IF($J156="","",IF($C156="",1,$C156))</f>
        <v/>
      </c>
    </row>
    <row r="157" customFormat="false" ht="15" hidden="false" customHeight="false" outlineLevel="0" collapsed="false">
      <c r="A157" s="7"/>
      <c r="B157" s="8"/>
      <c r="C157" s="9"/>
      <c r="D157" s="10"/>
      <c r="E157" s="11"/>
      <c r="F157" s="11"/>
      <c r="G157" s="8"/>
      <c r="H157" s="11"/>
      <c r="I157" s="12"/>
      <c r="J157" s="13" t="str">
        <f aca="false">IF(OR($A157="",$D157=""),"",IF($C157="",1,$C157)*$D157+N($E157)-N($F157))</f>
        <v/>
      </c>
      <c r="K157" s="13" t="str">
        <f aca="false">IF($J157="","",IF($R157&lt;&gt;"",$R157,IF($G157="",0,MAX(IFERROR(INDEX(Settings!$D$6:$D$15,MATCH($G157,Settings!$A$6:$A$15,0)),0),$J157*IFERROR(INDEX(Settings!$B$6:$B$15,MATCH($G157,Settings!$A$6:$A$15,0)),0)+IFERROR(INDEX(Settings!$C$6:$C$15,MATCH($G157,Settings!$A$6:$A$15,0)),0)))))</f>
        <v/>
      </c>
      <c r="L157" s="13" t="str">
        <f aca="false">IF($J157="","",IF($C157="",1,$C157)*IF($Q157&lt;&gt;"",$Q157,IFERROR(INDEX(Products!$D$5:$D$54,MATCH($B157,Products!$A$5:$A$54,0)),0)))</f>
        <v/>
      </c>
      <c r="M157" s="14" t="str">
        <f aca="false">IF($J157="","",$J157-$K157-N($H157)-$L157)</f>
        <v/>
      </c>
      <c r="N157" s="15" t="str">
        <f aca="false">IF($J157="","",IF($J157&gt;0,$M157/$J157,""))</f>
        <v/>
      </c>
      <c r="O157" s="12"/>
      <c r="P157" s="12"/>
      <c r="Q157" s="11"/>
      <c r="R157" s="11"/>
      <c r="S157" s="12"/>
      <c r="T157" s="16" t="str">
        <f aca="false">IF($J157="","",IF($C157="",1,$C157))</f>
        <v/>
      </c>
    </row>
    <row r="158" customFormat="false" ht="15" hidden="false" customHeight="false" outlineLevel="0" collapsed="false">
      <c r="A158" s="7"/>
      <c r="B158" s="8"/>
      <c r="C158" s="9"/>
      <c r="D158" s="10"/>
      <c r="E158" s="11"/>
      <c r="F158" s="11"/>
      <c r="G158" s="8"/>
      <c r="H158" s="11"/>
      <c r="I158" s="12"/>
      <c r="J158" s="13" t="str">
        <f aca="false">IF(OR($A158="",$D158=""),"",IF($C158="",1,$C158)*$D158+N($E158)-N($F158))</f>
        <v/>
      </c>
      <c r="K158" s="13" t="str">
        <f aca="false">IF($J158="","",IF($R158&lt;&gt;"",$R158,IF($G158="",0,MAX(IFERROR(INDEX(Settings!$D$6:$D$15,MATCH($G158,Settings!$A$6:$A$15,0)),0),$J158*IFERROR(INDEX(Settings!$B$6:$B$15,MATCH($G158,Settings!$A$6:$A$15,0)),0)+IFERROR(INDEX(Settings!$C$6:$C$15,MATCH($G158,Settings!$A$6:$A$15,0)),0)))))</f>
        <v/>
      </c>
      <c r="L158" s="13" t="str">
        <f aca="false">IF($J158="","",IF($C158="",1,$C158)*IF($Q158&lt;&gt;"",$Q158,IFERROR(INDEX(Products!$D$5:$D$54,MATCH($B158,Products!$A$5:$A$54,0)),0)))</f>
        <v/>
      </c>
      <c r="M158" s="14" t="str">
        <f aca="false">IF($J158="","",$J158-$K158-N($H158)-$L158)</f>
        <v/>
      </c>
      <c r="N158" s="15" t="str">
        <f aca="false">IF($J158="","",IF($J158&gt;0,$M158/$J158,""))</f>
        <v/>
      </c>
      <c r="O158" s="12"/>
      <c r="P158" s="12"/>
      <c r="Q158" s="11"/>
      <c r="R158" s="11"/>
      <c r="S158" s="12"/>
      <c r="T158" s="16" t="str">
        <f aca="false">IF($J158="","",IF($C158="",1,$C158))</f>
        <v/>
      </c>
    </row>
    <row r="159" customFormat="false" ht="15" hidden="false" customHeight="false" outlineLevel="0" collapsed="false">
      <c r="A159" s="7"/>
      <c r="B159" s="8"/>
      <c r="C159" s="9"/>
      <c r="D159" s="10"/>
      <c r="E159" s="11"/>
      <c r="F159" s="11"/>
      <c r="G159" s="8"/>
      <c r="H159" s="11"/>
      <c r="I159" s="12"/>
      <c r="J159" s="13" t="str">
        <f aca="false">IF(OR($A159="",$D159=""),"",IF($C159="",1,$C159)*$D159+N($E159)-N($F159))</f>
        <v/>
      </c>
      <c r="K159" s="13" t="str">
        <f aca="false">IF($J159="","",IF($R159&lt;&gt;"",$R159,IF($G159="",0,MAX(IFERROR(INDEX(Settings!$D$6:$D$15,MATCH($G159,Settings!$A$6:$A$15,0)),0),$J159*IFERROR(INDEX(Settings!$B$6:$B$15,MATCH($G159,Settings!$A$6:$A$15,0)),0)+IFERROR(INDEX(Settings!$C$6:$C$15,MATCH($G159,Settings!$A$6:$A$15,0)),0)))))</f>
        <v/>
      </c>
      <c r="L159" s="13" t="str">
        <f aca="false">IF($J159="","",IF($C159="",1,$C159)*IF($Q159&lt;&gt;"",$Q159,IFERROR(INDEX(Products!$D$5:$D$54,MATCH($B159,Products!$A$5:$A$54,0)),0)))</f>
        <v/>
      </c>
      <c r="M159" s="14" t="str">
        <f aca="false">IF($J159="","",$J159-$K159-N($H159)-$L159)</f>
        <v/>
      </c>
      <c r="N159" s="15" t="str">
        <f aca="false">IF($J159="","",IF($J159&gt;0,$M159/$J159,""))</f>
        <v/>
      </c>
      <c r="O159" s="12"/>
      <c r="P159" s="12"/>
      <c r="Q159" s="11"/>
      <c r="R159" s="11"/>
      <c r="S159" s="12"/>
      <c r="T159" s="16" t="str">
        <f aca="false">IF($J159="","",IF($C159="",1,$C159))</f>
        <v/>
      </c>
    </row>
    <row r="160" customFormat="false" ht="15" hidden="false" customHeight="false" outlineLevel="0" collapsed="false">
      <c r="A160" s="7"/>
      <c r="B160" s="8"/>
      <c r="C160" s="9"/>
      <c r="D160" s="10"/>
      <c r="E160" s="11"/>
      <c r="F160" s="11"/>
      <c r="G160" s="8"/>
      <c r="H160" s="11"/>
      <c r="I160" s="12"/>
      <c r="J160" s="13" t="str">
        <f aca="false">IF(OR($A160="",$D160=""),"",IF($C160="",1,$C160)*$D160+N($E160)-N($F160))</f>
        <v/>
      </c>
      <c r="K160" s="13" t="str">
        <f aca="false">IF($J160="","",IF($R160&lt;&gt;"",$R160,IF($G160="",0,MAX(IFERROR(INDEX(Settings!$D$6:$D$15,MATCH($G160,Settings!$A$6:$A$15,0)),0),$J160*IFERROR(INDEX(Settings!$B$6:$B$15,MATCH($G160,Settings!$A$6:$A$15,0)),0)+IFERROR(INDEX(Settings!$C$6:$C$15,MATCH($G160,Settings!$A$6:$A$15,0)),0)))))</f>
        <v/>
      </c>
      <c r="L160" s="13" t="str">
        <f aca="false">IF($J160="","",IF($C160="",1,$C160)*IF($Q160&lt;&gt;"",$Q160,IFERROR(INDEX(Products!$D$5:$D$54,MATCH($B160,Products!$A$5:$A$54,0)),0)))</f>
        <v/>
      </c>
      <c r="M160" s="14" t="str">
        <f aca="false">IF($J160="","",$J160-$K160-N($H160)-$L160)</f>
        <v/>
      </c>
      <c r="N160" s="15" t="str">
        <f aca="false">IF($J160="","",IF($J160&gt;0,$M160/$J160,""))</f>
        <v/>
      </c>
      <c r="O160" s="12"/>
      <c r="P160" s="12"/>
      <c r="Q160" s="11"/>
      <c r="R160" s="11"/>
      <c r="S160" s="12"/>
      <c r="T160" s="16" t="str">
        <f aca="false">IF($J160="","",IF($C160="",1,$C160))</f>
        <v/>
      </c>
    </row>
    <row r="161" customFormat="false" ht="15" hidden="false" customHeight="false" outlineLevel="0" collapsed="false">
      <c r="A161" s="7"/>
      <c r="B161" s="8"/>
      <c r="C161" s="9"/>
      <c r="D161" s="10"/>
      <c r="E161" s="11"/>
      <c r="F161" s="11"/>
      <c r="G161" s="8"/>
      <c r="H161" s="11"/>
      <c r="I161" s="12"/>
      <c r="J161" s="13" t="str">
        <f aca="false">IF(OR($A161="",$D161=""),"",IF($C161="",1,$C161)*$D161+N($E161)-N($F161))</f>
        <v/>
      </c>
      <c r="K161" s="13" t="str">
        <f aca="false">IF($J161="","",IF($R161&lt;&gt;"",$R161,IF($G161="",0,MAX(IFERROR(INDEX(Settings!$D$6:$D$15,MATCH($G161,Settings!$A$6:$A$15,0)),0),$J161*IFERROR(INDEX(Settings!$B$6:$B$15,MATCH($G161,Settings!$A$6:$A$15,0)),0)+IFERROR(INDEX(Settings!$C$6:$C$15,MATCH($G161,Settings!$A$6:$A$15,0)),0)))))</f>
        <v/>
      </c>
      <c r="L161" s="13" t="str">
        <f aca="false">IF($J161="","",IF($C161="",1,$C161)*IF($Q161&lt;&gt;"",$Q161,IFERROR(INDEX(Products!$D$5:$D$54,MATCH($B161,Products!$A$5:$A$54,0)),0)))</f>
        <v/>
      </c>
      <c r="M161" s="14" t="str">
        <f aca="false">IF($J161="","",$J161-$K161-N($H161)-$L161)</f>
        <v/>
      </c>
      <c r="N161" s="15" t="str">
        <f aca="false">IF($J161="","",IF($J161&gt;0,$M161/$J161,""))</f>
        <v/>
      </c>
      <c r="O161" s="12"/>
      <c r="P161" s="12"/>
      <c r="Q161" s="11"/>
      <c r="R161" s="11"/>
      <c r="S161" s="12"/>
      <c r="T161" s="16" t="str">
        <f aca="false">IF($J161="","",IF($C161="",1,$C161))</f>
        <v/>
      </c>
    </row>
    <row r="162" customFormat="false" ht="15" hidden="false" customHeight="false" outlineLevel="0" collapsed="false">
      <c r="A162" s="7"/>
      <c r="B162" s="8"/>
      <c r="C162" s="9"/>
      <c r="D162" s="10"/>
      <c r="E162" s="11"/>
      <c r="F162" s="11"/>
      <c r="G162" s="8"/>
      <c r="H162" s="11"/>
      <c r="I162" s="12"/>
      <c r="J162" s="13" t="str">
        <f aca="false">IF(OR($A162="",$D162=""),"",IF($C162="",1,$C162)*$D162+N($E162)-N($F162))</f>
        <v/>
      </c>
      <c r="K162" s="13" t="str">
        <f aca="false">IF($J162="","",IF($R162&lt;&gt;"",$R162,IF($G162="",0,MAX(IFERROR(INDEX(Settings!$D$6:$D$15,MATCH($G162,Settings!$A$6:$A$15,0)),0),$J162*IFERROR(INDEX(Settings!$B$6:$B$15,MATCH($G162,Settings!$A$6:$A$15,0)),0)+IFERROR(INDEX(Settings!$C$6:$C$15,MATCH($G162,Settings!$A$6:$A$15,0)),0)))))</f>
        <v/>
      </c>
      <c r="L162" s="13" t="str">
        <f aca="false">IF($J162="","",IF($C162="",1,$C162)*IF($Q162&lt;&gt;"",$Q162,IFERROR(INDEX(Products!$D$5:$D$54,MATCH($B162,Products!$A$5:$A$54,0)),0)))</f>
        <v/>
      </c>
      <c r="M162" s="14" t="str">
        <f aca="false">IF($J162="","",$J162-$K162-N($H162)-$L162)</f>
        <v/>
      </c>
      <c r="N162" s="15" t="str">
        <f aca="false">IF($J162="","",IF($J162&gt;0,$M162/$J162,""))</f>
        <v/>
      </c>
      <c r="O162" s="12"/>
      <c r="P162" s="12"/>
      <c r="Q162" s="11"/>
      <c r="R162" s="11"/>
      <c r="S162" s="12"/>
      <c r="T162" s="16" t="str">
        <f aca="false">IF($J162="","",IF($C162="",1,$C162))</f>
        <v/>
      </c>
    </row>
    <row r="163" customFormat="false" ht="15" hidden="false" customHeight="false" outlineLevel="0" collapsed="false">
      <c r="A163" s="7"/>
      <c r="B163" s="8"/>
      <c r="C163" s="9"/>
      <c r="D163" s="10"/>
      <c r="E163" s="11"/>
      <c r="F163" s="11"/>
      <c r="G163" s="8"/>
      <c r="H163" s="11"/>
      <c r="I163" s="12"/>
      <c r="J163" s="13" t="str">
        <f aca="false">IF(OR($A163="",$D163=""),"",IF($C163="",1,$C163)*$D163+N($E163)-N($F163))</f>
        <v/>
      </c>
      <c r="K163" s="13" t="str">
        <f aca="false">IF($J163="","",IF($R163&lt;&gt;"",$R163,IF($G163="",0,MAX(IFERROR(INDEX(Settings!$D$6:$D$15,MATCH($G163,Settings!$A$6:$A$15,0)),0),$J163*IFERROR(INDEX(Settings!$B$6:$B$15,MATCH($G163,Settings!$A$6:$A$15,0)),0)+IFERROR(INDEX(Settings!$C$6:$C$15,MATCH($G163,Settings!$A$6:$A$15,0)),0)))))</f>
        <v/>
      </c>
      <c r="L163" s="13" t="str">
        <f aca="false">IF($J163="","",IF($C163="",1,$C163)*IF($Q163&lt;&gt;"",$Q163,IFERROR(INDEX(Products!$D$5:$D$54,MATCH($B163,Products!$A$5:$A$54,0)),0)))</f>
        <v/>
      </c>
      <c r="M163" s="14" t="str">
        <f aca="false">IF($J163="","",$J163-$K163-N($H163)-$L163)</f>
        <v/>
      </c>
      <c r="N163" s="15" t="str">
        <f aca="false">IF($J163="","",IF($J163&gt;0,$M163/$J163,""))</f>
        <v/>
      </c>
      <c r="O163" s="12"/>
      <c r="P163" s="12"/>
      <c r="Q163" s="11"/>
      <c r="R163" s="11"/>
      <c r="S163" s="12"/>
      <c r="T163" s="16" t="str">
        <f aca="false">IF($J163="","",IF($C163="",1,$C163))</f>
        <v/>
      </c>
    </row>
    <row r="164" customFormat="false" ht="15" hidden="false" customHeight="false" outlineLevel="0" collapsed="false">
      <c r="A164" s="7"/>
      <c r="B164" s="8"/>
      <c r="C164" s="9"/>
      <c r="D164" s="10"/>
      <c r="E164" s="11"/>
      <c r="F164" s="11"/>
      <c r="G164" s="8"/>
      <c r="H164" s="11"/>
      <c r="I164" s="12"/>
      <c r="J164" s="13" t="str">
        <f aca="false">IF(OR($A164="",$D164=""),"",IF($C164="",1,$C164)*$D164+N($E164)-N($F164))</f>
        <v/>
      </c>
      <c r="K164" s="13" t="str">
        <f aca="false">IF($J164="","",IF($R164&lt;&gt;"",$R164,IF($G164="",0,MAX(IFERROR(INDEX(Settings!$D$6:$D$15,MATCH($G164,Settings!$A$6:$A$15,0)),0),$J164*IFERROR(INDEX(Settings!$B$6:$B$15,MATCH($G164,Settings!$A$6:$A$15,0)),0)+IFERROR(INDEX(Settings!$C$6:$C$15,MATCH($G164,Settings!$A$6:$A$15,0)),0)))))</f>
        <v/>
      </c>
      <c r="L164" s="13" t="str">
        <f aca="false">IF($J164="","",IF($C164="",1,$C164)*IF($Q164&lt;&gt;"",$Q164,IFERROR(INDEX(Products!$D$5:$D$54,MATCH($B164,Products!$A$5:$A$54,0)),0)))</f>
        <v/>
      </c>
      <c r="M164" s="14" t="str">
        <f aca="false">IF($J164="","",$J164-$K164-N($H164)-$L164)</f>
        <v/>
      </c>
      <c r="N164" s="15" t="str">
        <f aca="false">IF($J164="","",IF($J164&gt;0,$M164/$J164,""))</f>
        <v/>
      </c>
      <c r="O164" s="12"/>
      <c r="P164" s="12"/>
      <c r="Q164" s="11"/>
      <c r="R164" s="11"/>
      <c r="S164" s="12"/>
      <c r="T164" s="16" t="str">
        <f aca="false">IF($J164="","",IF($C164="",1,$C164))</f>
        <v/>
      </c>
    </row>
    <row r="165" customFormat="false" ht="15" hidden="false" customHeight="false" outlineLevel="0" collapsed="false">
      <c r="A165" s="7"/>
      <c r="B165" s="8"/>
      <c r="C165" s="9"/>
      <c r="D165" s="10"/>
      <c r="E165" s="11"/>
      <c r="F165" s="11"/>
      <c r="G165" s="8"/>
      <c r="H165" s="11"/>
      <c r="I165" s="12"/>
      <c r="J165" s="13" t="str">
        <f aca="false">IF(OR($A165="",$D165=""),"",IF($C165="",1,$C165)*$D165+N($E165)-N($F165))</f>
        <v/>
      </c>
      <c r="K165" s="13" t="str">
        <f aca="false">IF($J165="","",IF($R165&lt;&gt;"",$R165,IF($G165="",0,MAX(IFERROR(INDEX(Settings!$D$6:$D$15,MATCH($G165,Settings!$A$6:$A$15,0)),0),$J165*IFERROR(INDEX(Settings!$B$6:$B$15,MATCH($G165,Settings!$A$6:$A$15,0)),0)+IFERROR(INDEX(Settings!$C$6:$C$15,MATCH($G165,Settings!$A$6:$A$15,0)),0)))))</f>
        <v/>
      </c>
      <c r="L165" s="13" t="str">
        <f aca="false">IF($J165="","",IF($C165="",1,$C165)*IF($Q165&lt;&gt;"",$Q165,IFERROR(INDEX(Products!$D$5:$D$54,MATCH($B165,Products!$A$5:$A$54,0)),0)))</f>
        <v/>
      </c>
      <c r="M165" s="14" t="str">
        <f aca="false">IF($J165="","",$J165-$K165-N($H165)-$L165)</f>
        <v/>
      </c>
      <c r="N165" s="15" t="str">
        <f aca="false">IF($J165="","",IF($J165&gt;0,$M165/$J165,""))</f>
        <v/>
      </c>
      <c r="O165" s="12"/>
      <c r="P165" s="12"/>
      <c r="Q165" s="11"/>
      <c r="R165" s="11"/>
      <c r="S165" s="12"/>
      <c r="T165" s="16" t="str">
        <f aca="false">IF($J165="","",IF($C165="",1,$C165))</f>
        <v/>
      </c>
    </row>
    <row r="166" customFormat="false" ht="15" hidden="false" customHeight="false" outlineLevel="0" collapsed="false">
      <c r="A166" s="7"/>
      <c r="B166" s="8"/>
      <c r="C166" s="9"/>
      <c r="D166" s="10"/>
      <c r="E166" s="11"/>
      <c r="F166" s="11"/>
      <c r="G166" s="8"/>
      <c r="H166" s="11"/>
      <c r="I166" s="12"/>
      <c r="J166" s="13" t="str">
        <f aca="false">IF(OR($A166="",$D166=""),"",IF($C166="",1,$C166)*$D166+N($E166)-N($F166))</f>
        <v/>
      </c>
      <c r="K166" s="13" t="str">
        <f aca="false">IF($J166="","",IF($R166&lt;&gt;"",$R166,IF($G166="",0,MAX(IFERROR(INDEX(Settings!$D$6:$D$15,MATCH($G166,Settings!$A$6:$A$15,0)),0),$J166*IFERROR(INDEX(Settings!$B$6:$B$15,MATCH($G166,Settings!$A$6:$A$15,0)),0)+IFERROR(INDEX(Settings!$C$6:$C$15,MATCH($G166,Settings!$A$6:$A$15,0)),0)))))</f>
        <v/>
      </c>
      <c r="L166" s="13" t="str">
        <f aca="false">IF($J166="","",IF($C166="",1,$C166)*IF($Q166&lt;&gt;"",$Q166,IFERROR(INDEX(Products!$D$5:$D$54,MATCH($B166,Products!$A$5:$A$54,0)),0)))</f>
        <v/>
      </c>
      <c r="M166" s="14" t="str">
        <f aca="false">IF($J166="","",$J166-$K166-N($H166)-$L166)</f>
        <v/>
      </c>
      <c r="N166" s="15" t="str">
        <f aca="false">IF($J166="","",IF($J166&gt;0,$M166/$J166,""))</f>
        <v/>
      </c>
      <c r="O166" s="12"/>
      <c r="P166" s="12"/>
      <c r="Q166" s="11"/>
      <c r="R166" s="11"/>
      <c r="S166" s="12"/>
      <c r="T166" s="16" t="str">
        <f aca="false">IF($J166="","",IF($C166="",1,$C166))</f>
        <v/>
      </c>
    </row>
    <row r="167" customFormat="false" ht="15" hidden="false" customHeight="false" outlineLevel="0" collapsed="false">
      <c r="A167" s="7"/>
      <c r="B167" s="8"/>
      <c r="C167" s="9"/>
      <c r="D167" s="10"/>
      <c r="E167" s="11"/>
      <c r="F167" s="11"/>
      <c r="G167" s="8"/>
      <c r="H167" s="11"/>
      <c r="I167" s="12"/>
      <c r="J167" s="13" t="str">
        <f aca="false">IF(OR($A167="",$D167=""),"",IF($C167="",1,$C167)*$D167+N($E167)-N($F167))</f>
        <v/>
      </c>
      <c r="K167" s="13" t="str">
        <f aca="false">IF($J167="","",IF($R167&lt;&gt;"",$R167,IF($G167="",0,MAX(IFERROR(INDEX(Settings!$D$6:$D$15,MATCH($G167,Settings!$A$6:$A$15,0)),0),$J167*IFERROR(INDEX(Settings!$B$6:$B$15,MATCH($G167,Settings!$A$6:$A$15,0)),0)+IFERROR(INDEX(Settings!$C$6:$C$15,MATCH($G167,Settings!$A$6:$A$15,0)),0)))))</f>
        <v/>
      </c>
      <c r="L167" s="13" t="str">
        <f aca="false">IF($J167="","",IF($C167="",1,$C167)*IF($Q167&lt;&gt;"",$Q167,IFERROR(INDEX(Products!$D$5:$D$54,MATCH($B167,Products!$A$5:$A$54,0)),0)))</f>
        <v/>
      </c>
      <c r="M167" s="14" t="str">
        <f aca="false">IF($J167="","",$J167-$K167-N($H167)-$L167)</f>
        <v/>
      </c>
      <c r="N167" s="15" t="str">
        <f aca="false">IF($J167="","",IF($J167&gt;0,$M167/$J167,""))</f>
        <v/>
      </c>
      <c r="O167" s="12"/>
      <c r="P167" s="12"/>
      <c r="Q167" s="11"/>
      <c r="R167" s="11"/>
      <c r="S167" s="12"/>
      <c r="T167" s="16" t="str">
        <f aca="false">IF($J167="","",IF($C167="",1,$C167))</f>
        <v/>
      </c>
    </row>
    <row r="168" customFormat="false" ht="15" hidden="false" customHeight="false" outlineLevel="0" collapsed="false">
      <c r="A168" s="7"/>
      <c r="B168" s="8"/>
      <c r="C168" s="9"/>
      <c r="D168" s="10"/>
      <c r="E168" s="11"/>
      <c r="F168" s="11"/>
      <c r="G168" s="8"/>
      <c r="H168" s="11"/>
      <c r="I168" s="12"/>
      <c r="J168" s="13" t="str">
        <f aca="false">IF(OR($A168="",$D168=""),"",IF($C168="",1,$C168)*$D168+N($E168)-N($F168))</f>
        <v/>
      </c>
      <c r="K168" s="13" t="str">
        <f aca="false">IF($J168="","",IF($R168&lt;&gt;"",$R168,IF($G168="",0,MAX(IFERROR(INDEX(Settings!$D$6:$D$15,MATCH($G168,Settings!$A$6:$A$15,0)),0),$J168*IFERROR(INDEX(Settings!$B$6:$B$15,MATCH($G168,Settings!$A$6:$A$15,0)),0)+IFERROR(INDEX(Settings!$C$6:$C$15,MATCH($G168,Settings!$A$6:$A$15,0)),0)))))</f>
        <v/>
      </c>
      <c r="L168" s="13" t="str">
        <f aca="false">IF($J168="","",IF($C168="",1,$C168)*IF($Q168&lt;&gt;"",$Q168,IFERROR(INDEX(Products!$D$5:$D$54,MATCH($B168,Products!$A$5:$A$54,0)),0)))</f>
        <v/>
      </c>
      <c r="M168" s="14" t="str">
        <f aca="false">IF($J168="","",$J168-$K168-N($H168)-$L168)</f>
        <v/>
      </c>
      <c r="N168" s="15" t="str">
        <f aca="false">IF($J168="","",IF($J168&gt;0,$M168/$J168,""))</f>
        <v/>
      </c>
      <c r="O168" s="12"/>
      <c r="P168" s="12"/>
      <c r="Q168" s="11"/>
      <c r="R168" s="11"/>
      <c r="S168" s="12"/>
      <c r="T168" s="16" t="str">
        <f aca="false">IF($J168="","",IF($C168="",1,$C168))</f>
        <v/>
      </c>
    </row>
    <row r="169" customFormat="false" ht="15" hidden="false" customHeight="false" outlineLevel="0" collapsed="false">
      <c r="A169" s="7"/>
      <c r="B169" s="8"/>
      <c r="C169" s="9"/>
      <c r="D169" s="10"/>
      <c r="E169" s="11"/>
      <c r="F169" s="11"/>
      <c r="G169" s="8"/>
      <c r="H169" s="11"/>
      <c r="I169" s="12"/>
      <c r="J169" s="13" t="str">
        <f aca="false">IF(OR($A169="",$D169=""),"",IF($C169="",1,$C169)*$D169+N($E169)-N($F169))</f>
        <v/>
      </c>
      <c r="K169" s="13" t="str">
        <f aca="false">IF($J169="","",IF($R169&lt;&gt;"",$R169,IF($G169="",0,MAX(IFERROR(INDEX(Settings!$D$6:$D$15,MATCH($G169,Settings!$A$6:$A$15,0)),0),$J169*IFERROR(INDEX(Settings!$B$6:$B$15,MATCH($G169,Settings!$A$6:$A$15,0)),0)+IFERROR(INDEX(Settings!$C$6:$C$15,MATCH($G169,Settings!$A$6:$A$15,0)),0)))))</f>
        <v/>
      </c>
      <c r="L169" s="13" t="str">
        <f aca="false">IF($J169="","",IF($C169="",1,$C169)*IF($Q169&lt;&gt;"",$Q169,IFERROR(INDEX(Products!$D$5:$D$54,MATCH($B169,Products!$A$5:$A$54,0)),0)))</f>
        <v/>
      </c>
      <c r="M169" s="14" t="str">
        <f aca="false">IF($J169="","",$J169-$K169-N($H169)-$L169)</f>
        <v/>
      </c>
      <c r="N169" s="15" t="str">
        <f aca="false">IF($J169="","",IF($J169&gt;0,$M169/$J169,""))</f>
        <v/>
      </c>
      <c r="O169" s="12"/>
      <c r="P169" s="12"/>
      <c r="Q169" s="11"/>
      <c r="R169" s="11"/>
      <c r="S169" s="12"/>
      <c r="T169" s="16" t="str">
        <f aca="false">IF($J169="","",IF($C169="",1,$C169))</f>
        <v/>
      </c>
    </row>
    <row r="170" customFormat="false" ht="15" hidden="false" customHeight="false" outlineLevel="0" collapsed="false">
      <c r="A170" s="7"/>
      <c r="B170" s="8"/>
      <c r="C170" s="9"/>
      <c r="D170" s="10"/>
      <c r="E170" s="11"/>
      <c r="F170" s="11"/>
      <c r="G170" s="8"/>
      <c r="H170" s="11"/>
      <c r="I170" s="12"/>
      <c r="J170" s="13" t="str">
        <f aca="false">IF(OR($A170="",$D170=""),"",IF($C170="",1,$C170)*$D170+N($E170)-N($F170))</f>
        <v/>
      </c>
      <c r="K170" s="13" t="str">
        <f aca="false">IF($J170="","",IF($R170&lt;&gt;"",$R170,IF($G170="",0,MAX(IFERROR(INDEX(Settings!$D$6:$D$15,MATCH($G170,Settings!$A$6:$A$15,0)),0),$J170*IFERROR(INDEX(Settings!$B$6:$B$15,MATCH($G170,Settings!$A$6:$A$15,0)),0)+IFERROR(INDEX(Settings!$C$6:$C$15,MATCH($G170,Settings!$A$6:$A$15,0)),0)))))</f>
        <v/>
      </c>
      <c r="L170" s="13" t="str">
        <f aca="false">IF($J170="","",IF($C170="",1,$C170)*IF($Q170&lt;&gt;"",$Q170,IFERROR(INDEX(Products!$D$5:$D$54,MATCH($B170,Products!$A$5:$A$54,0)),0)))</f>
        <v/>
      </c>
      <c r="M170" s="14" t="str">
        <f aca="false">IF($J170="","",$J170-$K170-N($H170)-$L170)</f>
        <v/>
      </c>
      <c r="N170" s="15" t="str">
        <f aca="false">IF($J170="","",IF($J170&gt;0,$M170/$J170,""))</f>
        <v/>
      </c>
      <c r="O170" s="12"/>
      <c r="P170" s="12"/>
      <c r="Q170" s="11"/>
      <c r="R170" s="11"/>
      <c r="S170" s="12"/>
      <c r="T170" s="16" t="str">
        <f aca="false">IF($J170="","",IF($C170="",1,$C170))</f>
        <v/>
      </c>
    </row>
    <row r="171" customFormat="false" ht="15" hidden="false" customHeight="false" outlineLevel="0" collapsed="false">
      <c r="A171" s="7"/>
      <c r="B171" s="8"/>
      <c r="C171" s="9"/>
      <c r="D171" s="10"/>
      <c r="E171" s="11"/>
      <c r="F171" s="11"/>
      <c r="G171" s="8"/>
      <c r="H171" s="11"/>
      <c r="I171" s="12"/>
      <c r="J171" s="13" t="str">
        <f aca="false">IF(OR($A171="",$D171=""),"",IF($C171="",1,$C171)*$D171+N($E171)-N($F171))</f>
        <v/>
      </c>
      <c r="K171" s="13" t="str">
        <f aca="false">IF($J171="","",IF($R171&lt;&gt;"",$R171,IF($G171="",0,MAX(IFERROR(INDEX(Settings!$D$6:$D$15,MATCH($G171,Settings!$A$6:$A$15,0)),0),$J171*IFERROR(INDEX(Settings!$B$6:$B$15,MATCH($G171,Settings!$A$6:$A$15,0)),0)+IFERROR(INDEX(Settings!$C$6:$C$15,MATCH($G171,Settings!$A$6:$A$15,0)),0)))))</f>
        <v/>
      </c>
      <c r="L171" s="13" t="str">
        <f aca="false">IF($J171="","",IF($C171="",1,$C171)*IF($Q171&lt;&gt;"",$Q171,IFERROR(INDEX(Products!$D$5:$D$54,MATCH($B171,Products!$A$5:$A$54,0)),0)))</f>
        <v/>
      </c>
      <c r="M171" s="14" t="str">
        <f aca="false">IF($J171="","",$J171-$K171-N($H171)-$L171)</f>
        <v/>
      </c>
      <c r="N171" s="15" t="str">
        <f aca="false">IF($J171="","",IF($J171&gt;0,$M171/$J171,""))</f>
        <v/>
      </c>
      <c r="O171" s="12"/>
      <c r="P171" s="12"/>
      <c r="Q171" s="11"/>
      <c r="R171" s="11"/>
      <c r="S171" s="12"/>
      <c r="T171" s="16" t="str">
        <f aca="false">IF($J171="","",IF($C171="",1,$C171))</f>
        <v/>
      </c>
    </row>
    <row r="172" customFormat="false" ht="15" hidden="false" customHeight="false" outlineLevel="0" collapsed="false">
      <c r="A172" s="7"/>
      <c r="B172" s="8"/>
      <c r="C172" s="9"/>
      <c r="D172" s="10"/>
      <c r="E172" s="11"/>
      <c r="F172" s="11"/>
      <c r="G172" s="8"/>
      <c r="H172" s="11"/>
      <c r="I172" s="12"/>
      <c r="J172" s="13" t="str">
        <f aca="false">IF(OR($A172="",$D172=""),"",IF($C172="",1,$C172)*$D172+N($E172)-N($F172))</f>
        <v/>
      </c>
      <c r="K172" s="13" t="str">
        <f aca="false">IF($J172="","",IF($R172&lt;&gt;"",$R172,IF($G172="",0,MAX(IFERROR(INDEX(Settings!$D$6:$D$15,MATCH($G172,Settings!$A$6:$A$15,0)),0),$J172*IFERROR(INDEX(Settings!$B$6:$B$15,MATCH($G172,Settings!$A$6:$A$15,0)),0)+IFERROR(INDEX(Settings!$C$6:$C$15,MATCH($G172,Settings!$A$6:$A$15,0)),0)))))</f>
        <v/>
      </c>
      <c r="L172" s="13" t="str">
        <f aca="false">IF($J172="","",IF($C172="",1,$C172)*IF($Q172&lt;&gt;"",$Q172,IFERROR(INDEX(Products!$D$5:$D$54,MATCH($B172,Products!$A$5:$A$54,0)),0)))</f>
        <v/>
      </c>
      <c r="M172" s="14" t="str">
        <f aca="false">IF($J172="","",$J172-$K172-N($H172)-$L172)</f>
        <v/>
      </c>
      <c r="N172" s="15" t="str">
        <f aca="false">IF($J172="","",IF($J172&gt;0,$M172/$J172,""))</f>
        <v/>
      </c>
      <c r="O172" s="12"/>
      <c r="P172" s="12"/>
      <c r="Q172" s="11"/>
      <c r="R172" s="11"/>
      <c r="S172" s="12"/>
      <c r="T172" s="16" t="str">
        <f aca="false">IF($J172="","",IF($C172="",1,$C172))</f>
        <v/>
      </c>
    </row>
    <row r="173" customFormat="false" ht="15" hidden="false" customHeight="false" outlineLevel="0" collapsed="false">
      <c r="A173" s="7"/>
      <c r="B173" s="8"/>
      <c r="C173" s="9"/>
      <c r="D173" s="10"/>
      <c r="E173" s="11"/>
      <c r="F173" s="11"/>
      <c r="G173" s="8"/>
      <c r="H173" s="11"/>
      <c r="I173" s="12"/>
      <c r="J173" s="13" t="str">
        <f aca="false">IF(OR($A173="",$D173=""),"",IF($C173="",1,$C173)*$D173+N($E173)-N($F173))</f>
        <v/>
      </c>
      <c r="K173" s="13" t="str">
        <f aca="false">IF($J173="","",IF($R173&lt;&gt;"",$R173,IF($G173="",0,MAX(IFERROR(INDEX(Settings!$D$6:$D$15,MATCH($G173,Settings!$A$6:$A$15,0)),0),$J173*IFERROR(INDEX(Settings!$B$6:$B$15,MATCH($G173,Settings!$A$6:$A$15,0)),0)+IFERROR(INDEX(Settings!$C$6:$C$15,MATCH($G173,Settings!$A$6:$A$15,0)),0)))))</f>
        <v/>
      </c>
      <c r="L173" s="13" t="str">
        <f aca="false">IF($J173="","",IF($C173="",1,$C173)*IF($Q173&lt;&gt;"",$Q173,IFERROR(INDEX(Products!$D$5:$D$54,MATCH($B173,Products!$A$5:$A$54,0)),0)))</f>
        <v/>
      </c>
      <c r="M173" s="14" t="str">
        <f aca="false">IF($J173="","",$J173-$K173-N($H173)-$L173)</f>
        <v/>
      </c>
      <c r="N173" s="15" t="str">
        <f aca="false">IF($J173="","",IF($J173&gt;0,$M173/$J173,""))</f>
        <v/>
      </c>
      <c r="O173" s="12"/>
      <c r="P173" s="12"/>
      <c r="Q173" s="11"/>
      <c r="R173" s="11"/>
      <c r="S173" s="12"/>
      <c r="T173" s="16" t="str">
        <f aca="false">IF($J173="","",IF($C173="",1,$C173))</f>
        <v/>
      </c>
    </row>
    <row r="174" customFormat="false" ht="15" hidden="false" customHeight="false" outlineLevel="0" collapsed="false">
      <c r="A174" s="7"/>
      <c r="B174" s="8"/>
      <c r="C174" s="9"/>
      <c r="D174" s="10"/>
      <c r="E174" s="11"/>
      <c r="F174" s="11"/>
      <c r="G174" s="8"/>
      <c r="H174" s="11"/>
      <c r="I174" s="12"/>
      <c r="J174" s="13" t="str">
        <f aca="false">IF(OR($A174="",$D174=""),"",IF($C174="",1,$C174)*$D174+N($E174)-N($F174))</f>
        <v/>
      </c>
      <c r="K174" s="13" t="str">
        <f aca="false">IF($J174="","",IF($R174&lt;&gt;"",$R174,IF($G174="",0,MAX(IFERROR(INDEX(Settings!$D$6:$D$15,MATCH($G174,Settings!$A$6:$A$15,0)),0),$J174*IFERROR(INDEX(Settings!$B$6:$B$15,MATCH($G174,Settings!$A$6:$A$15,0)),0)+IFERROR(INDEX(Settings!$C$6:$C$15,MATCH($G174,Settings!$A$6:$A$15,0)),0)))))</f>
        <v/>
      </c>
      <c r="L174" s="13" t="str">
        <f aca="false">IF($J174="","",IF($C174="",1,$C174)*IF($Q174&lt;&gt;"",$Q174,IFERROR(INDEX(Products!$D$5:$D$54,MATCH($B174,Products!$A$5:$A$54,0)),0)))</f>
        <v/>
      </c>
      <c r="M174" s="14" t="str">
        <f aca="false">IF($J174="","",$J174-$K174-N($H174)-$L174)</f>
        <v/>
      </c>
      <c r="N174" s="15" t="str">
        <f aca="false">IF($J174="","",IF($J174&gt;0,$M174/$J174,""))</f>
        <v/>
      </c>
      <c r="O174" s="12"/>
      <c r="P174" s="12"/>
      <c r="Q174" s="11"/>
      <c r="R174" s="11"/>
      <c r="S174" s="12"/>
      <c r="T174" s="16" t="str">
        <f aca="false">IF($J174="","",IF($C174="",1,$C174))</f>
        <v/>
      </c>
    </row>
    <row r="175" customFormat="false" ht="15" hidden="false" customHeight="false" outlineLevel="0" collapsed="false">
      <c r="A175" s="7"/>
      <c r="B175" s="8"/>
      <c r="C175" s="9"/>
      <c r="D175" s="10"/>
      <c r="E175" s="11"/>
      <c r="F175" s="11"/>
      <c r="G175" s="8"/>
      <c r="H175" s="11"/>
      <c r="I175" s="12"/>
      <c r="J175" s="13" t="str">
        <f aca="false">IF(OR($A175="",$D175=""),"",IF($C175="",1,$C175)*$D175+N($E175)-N($F175))</f>
        <v/>
      </c>
      <c r="K175" s="13" t="str">
        <f aca="false">IF($J175="","",IF($R175&lt;&gt;"",$R175,IF($G175="",0,MAX(IFERROR(INDEX(Settings!$D$6:$D$15,MATCH($G175,Settings!$A$6:$A$15,0)),0),$J175*IFERROR(INDEX(Settings!$B$6:$B$15,MATCH($G175,Settings!$A$6:$A$15,0)),0)+IFERROR(INDEX(Settings!$C$6:$C$15,MATCH($G175,Settings!$A$6:$A$15,0)),0)))))</f>
        <v/>
      </c>
      <c r="L175" s="13" t="str">
        <f aca="false">IF($J175="","",IF($C175="",1,$C175)*IF($Q175&lt;&gt;"",$Q175,IFERROR(INDEX(Products!$D$5:$D$54,MATCH($B175,Products!$A$5:$A$54,0)),0)))</f>
        <v/>
      </c>
      <c r="M175" s="14" t="str">
        <f aca="false">IF($J175="","",$J175-$K175-N($H175)-$L175)</f>
        <v/>
      </c>
      <c r="N175" s="15" t="str">
        <f aca="false">IF($J175="","",IF($J175&gt;0,$M175/$J175,""))</f>
        <v/>
      </c>
      <c r="O175" s="12"/>
      <c r="P175" s="12"/>
      <c r="Q175" s="11"/>
      <c r="R175" s="11"/>
      <c r="S175" s="12"/>
      <c r="T175" s="16" t="str">
        <f aca="false">IF($J175="","",IF($C175="",1,$C175))</f>
        <v/>
      </c>
    </row>
    <row r="176" customFormat="false" ht="15" hidden="false" customHeight="false" outlineLevel="0" collapsed="false">
      <c r="A176" s="7"/>
      <c r="B176" s="8"/>
      <c r="C176" s="9"/>
      <c r="D176" s="10"/>
      <c r="E176" s="11"/>
      <c r="F176" s="11"/>
      <c r="G176" s="8"/>
      <c r="H176" s="11"/>
      <c r="I176" s="12"/>
      <c r="J176" s="13" t="str">
        <f aca="false">IF(OR($A176="",$D176=""),"",IF($C176="",1,$C176)*$D176+N($E176)-N($F176))</f>
        <v/>
      </c>
      <c r="K176" s="13" t="str">
        <f aca="false">IF($J176="","",IF($R176&lt;&gt;"",$R176,IF($G176="",0,MAX(IFERROR(INDEX(Settings!$D$6:$D$15,MATCH($G176,Settings!$A$6:$A$15,0)),0),$J176*IFERROR(INDEX(Settings!$B$6:$B$15,MATCH($G176,Settings!$A$6:$A$15,0)),0)+IFERROR(INDEX(Settings!$C$6:$C$15,MATCH($G176,Settings!$A$6:$A$15,0)),0)))))</f>
        <v/>
      </c>
      <c r="L176" s="13" t="str">
        <f aca="false">IF($J176="","",IF($C176="",1,$C176)*IF($Q176&lt;&gt;"",$Q176,IFERROR(INDEX(Products!$D$5:$D$54,MATCH($B176,Products!$A$5:$A$54,0)),0)))</f>
        <v/>
      </c>
      <c r="M176" s="14" t="str">
        <f aca="false">IF($J176="","",$J176-$K176-N($H176)-$L176)</f>
        <v/>
      </c>
      <c r="N176" s="15" t="str">
        <f aca="false">IF($J176="","",IF($J176&gt;0,$M176/$J176,""))</f>
        <v/>
      </c>
      <c r="O176" s="12"/>
      <c r="P176" s="12"/>
      <c r="Q176" s="11"/>
      <c r="R176" s="11"/>
      <c r="S176" s="12"/>
      <c r="T176" s="16" t="str">
        <f aca="false">IF($J176="","",IF($C176="",1,$C176))</f>
        <v/>
      </c>
    </row>
    <row r="177" customFormat="false" ht="15" hidden="false" customHeight="false" outlineLevel="0" collapsed="false">
      <c r="A177" s="7"/>
      <c r="B177" s="8"/>
      <c r="C177" s="9"/>
      <c r="D177" s="10"/>
      <c r="E177" s="11"/>
      <c r="F177" s="11"/>
      <c r="G177" s="8"/>
      <c r="H177" s="11"/>
      <c r="I177" s="12"/>
      <c r="J177" s="13" t="str">
        <f aca="false">IF(OR($A177="",$D177=""),"",IF($C177="",1,$C177)*$D177+N($E177)-N($F177))</f>
        <v/>
      </c>
      <c r="K177" s="13" t="str">
        <f aca="false">IF($J177="","",IF($R177&lt;&gt;"",$R177,IF($G177="",0,MAX(IFERROR(INDEX(Settings!$D$6:$D$15,MATCH($G177,Settings!$A$6:$A$15,0)),0),$J177*IFERROR(INDEX(Settings!$B$6:$B$15,MATCH($G177,Settings!$A$6:$A$15,0)),0)+IFERROR(INDEX(Settings!$C$6:$C$15,MATCH($G177,Settings!$A$6:$A$15,0)),0)))))</f>
        <v/>
      </c>
      <c r="L177" s="13" t="str">
        <f aca="false">IF($J177="","",IF($C177="",1,$C177)*IF($Q177&lt;&gt;"",$Q177,IFERROR(INDEX(Products!$D$5:$D$54,MATCH($B177,Products!$A$5:$A$54,0)),0)))</f>
        <v/>
      </c>
      <c r="M177" s="14" t="str">
        <f aca="false">IF($J177="","",$J177-$K177-N($H177)-$L177)</f>
        <v/>
      </c>
      <c r="N177" s="15" t="str">
        <f aca="false">IF($J177="","",IF($J177&gt;0,$M177/$J177,""))</f>
        <v/>
      </c>
      <c r="O177" s="12"/>
      <c r="P177" s="12"/>
      <c r="Q177" s="11"/>
      <c r="R177" s="11"/>
      <c r="S177" s="12"/>
      <c r="T177" s="16" t="str">
        <f aca="false">IF($J177="","",IF($C177="",1,$C177))</f>
        <v/>
      </c>
    </row>
    <row r="178" customFormat="false" ht="15" hidden="false" customHeight="false" outlineLevel="0" collapsed="false">
      <c r="A178" s="7"/>
      <c r="B178" s="8"/>
      <c r="C178" s="9"/>
      <c r="D178" s="10"/>
      <c r="E178" s="11"/>
      <c r="F178" s="11"/>
      <c r="G178" s="8"/>
      <c r="H178" s="11"/>
      <c r="I178" s="12"/>
      <c r="J178" s="13" t="str">
        <f aca="false">IF(OR($A178="",$D178=""),"",IF($C178="",1,$C178)*$D178+N($E178)-N($F178))</f>
        <v/>
      </c>
      <c r="K178" s="13" t="str">
        <f aca="false">IF($J178="","",IF($R178&lt;&gt;"",$R178,IF($G178="",0,MAX(IFERROR(INDEX(Settings!$D$6:$D$15,MATCH($G178,Settings!$A$6:$A$15,0)),0),$J178*IFERROR(INDEX(Settings!$B$6:$B$15,MATCH($G178,Settings!$A$6:$A$15,0)),0)+IFERROR(INDEX(Settings!$C$6:$C$15,MATCH($G178,Settings!$A$6:$A$15,0)),0)))))</f>
        <v/>
      </c>
      <c r="L178" s="13" t="str">
        <f aca="false">IF($J178="","",IF($C178="",1,$C178)*IF($Q178&lt;&gt;"",$Q178,IFERROR(INDEX(Products!$D$5:$D$54,MATCH($B178,Products!$A$5:$A$54,0)),0)))</f>
        <v/>
      </c>
      <c r="M178" s="14" t="str">
        <f aca="false">IF($J178="","",$J178-$K178-N($H178)-$L178)</f>
        <v/>
      </c>
      <c r="N178" s="15" t="str">
        <f aca="false">IF($J178="","",IF($J178&gt;0,$M178/$J178,""))</f>
        <v/>
      </c>
      <c r="O178" s="12"/>
      <c r="P178" s="12"/>
      <c r="Q178" s="11"/>
      <c r="R178" s="11"/>
      <c r="S178" s="12"/>
      <c r="T178" s="16" t="str">
        <f aca="false">IF($J178="","",IF($C178="",1,$C178))</f>
        <v/>
      </c>
    </row>
    <row r="179" customFormat="false" ht="15" hidden="false" customHeight="false" outlineLevel="0" collapsed="false">
      <c r="A179" s="7"/>
      <c r="B179" s="8"/>
      <c r="C179" s="9"/>
      <c r="D179" s="10"/>
      <c r="E179" s="11"/>
      <c r="F179" s="11"/>
      <c r="G179" s="8"/>
      <c r="H179" s="11"/>
      <c r="I179" s="12"/>
      <c r="J179" s="13" t="str">
        <f aca="false">IF(OR($A179="",$D179=""),"",IF($C179="",1,$C179)*$D179+N($E179)-N($F179))</f>
        <v/>
      </c>
      <c r="K179" s="13" t="str">
        <f aca="false">IF($J179="","",IF($R179&lt;&gt;"",$R179,IF($G179="",0,MAX(IFERROR(INDEX(Settings!$D$6:$D$15,MATCH($G179,Settings!$A$6:$A$15,0)),0),$J179*IFERROR(INDEX(Settings!$B$6:$B$15,MATCH($G179,Settings!$A$6:$A$15,0)),0)+IFERROR(INDEX(Settings!$C$6:$C$15,MATCH($G179,Settings!$A$6:$A$15,0)),0)))))</f>
        <v/>
      </c>
      <c r="L179" s="13" t="str">
        <f aca="false">IF($J179="","",IF($C179="",1,$C179)*IF($Q179&lt;&gt;"",$Q179,IFERROR(INDEX(Products!$D$5:$D$54,MATCH($B179,Products!$A$5:$A$54,0)),0)))</f>
        <v/>
      </c>
      <c r="M179" s="14" t="str">
        <f aca="false">IF($J179="","",$J179-$K179-N($H179)-$L179)</f>
        <v/>
      </c>
      <c r="N179" s="15" t="str">
        <f aca="false">IF($J179="","",IF($J179&gt;0,$M179/$J179,""))</f>
        <v/>
      </c>
      <c r="O179" s="12"/>
      <c r="P179" s="12"/>
      <c r="Q179" s="11"/>
      <c r="R179" s="11"/>
      <c r="S179" s="12"/>
      <c r="T179" s="16" t="str">
        <f aca="false">IF($J179="","",IF($C179="",1,$C179))</f>
        <v/>
      </c>
    </row>
    <row r="180" customFormat="false" ht="15" hidden="false" customHeight="false" outlineLevel="0" collapsed="false">
      <c r="A180" s="7"/>
      <c r="B180" s="8"/>
      <c r="C180" s="9"/>
      <c r="D180" s="10"/>
      <c r="E180" s="11"/>
      <c r="F180" s="11"/>
      <c r="G180" s="8"/>
      <c r="H180" s="11"/>
      <c r="I180" s="12"/>
      <c r="J180" s="13" t="str">
        <f aca="false">IF(OR($A180="",$D180=""),"",IF($C180="",1,$C180)*$D180+N($E180)-N($F180))</f>
        <v/>
      </c>
      <c r="K180" s="13" t="str">
        <f aca="false">IF($J180="","",IF($R180&lt;&gt;"",$R180,IF($G180="",0,MAX(IFERROR(INDEX(Settings!$D$6:$D$15,MATCH($G180,Settings!$A$6:$A$15,0)),0),$J180*IFERROR(INDEX(Settings!$B$6:$B$15,MATCH($G180,Settings!$A$6:$A$15,0)),0)+IFERROR(INDEX(Settings!$C$6:$C$15,MATCH($G180,Settings!$A$6:$A$15,0)),0)))))</f>
        <v/>
      </c>
      <c r="L180" s="13" t="str">
        <f aca="false">IF($J180="","",IF($C180="",1,$C180)*IF($Q180&lt;&gt;"",$Q180,IFERROR(INDEX(Products!$D$5:$D$54,MATCH($B180,Products!$A$5:$A$54,0)),0)))</f>
        <v/>
      </c>
      <c r="M180" s="14" t="str">
        <f aca="false">IF($J180="","",$J180-$K180-N($H180)-$L180)</f>
        <v/>
      </c>
      <c r="N180" s="15" t="str">
        <f aca="false">IF($J180="","",IF($J180&gt;0,$M180/$J180,""))</f>
        <v/>
      </c>
      <c r="O180" s="12"/>
      <c r="P180" s="12"/>
      <c r="Q180" s="11"/>
      <c r="R180" s="11"/>
      <c r="S180" s="12"/>
      <c r="T180" s="16" t="str">
        <f aca="false">IF($J180="","",IF($C180="",1,$C180))</f>
        <v/>
      </c>
    </row>
    <row r="181" customFormat="false" ht="15" hidden="false" customHeight="false" outlineLevel="0" collapsed="false">
      <c r="A181" s="7"/>
      <c r="B181" s="8"/>
      <c r="C181" s="9"/>
      <c r="D181" s="10"/>
      <c r="E181" s="11"/>
      <c r="F181" s="11"/>
      <c r="G181" s="8"/>
      <c r="H181" s="11"/>
      <c r="I181" s="12"/>
      <c r="J181" s="13" t="str">
        <f aca="false">IF(OR($A181="",$D181=""),"",IF($C181="",1,$C181)*$D181+N($E181)-N($F181))</f>
        <v/>
      </c>
      <c r="K181" s="13" t="str">
        <f aca="false">IF($J181="","",IF($R181&lt;&gt;"",$R181,IF($G181="",0,MAX(IFERROR(INDEX(Settings!$D$6:$D$15,MATCH($G181,Settings!$A$6:$A$15,0)),0),$J181*IFERROR(INDEX(Settings!$B$6:$B$15,MATCH($G181,Settings!$A$6:$A$15,0)),0)+IFERROR(INDEX(Settings!$C$6:$C$15,MATCH($G181,Settings!$A$6:$A$15,0)),0)))))</f>
        <v/>
      </c>
      <c r="L181" s="13" t="str">
        <f aca="false">IF($J181="","",IF($C181="",1,$C181)*IF($Q181&lt;&gt;"",$Q181,IFERROR(INDEX(Products!$D$5:$D$54,MATCH($B181,Products!$A$5:$A$54,0)),0)))</f>
        <v/>
      </c>
      <c r="M181" s="14" t="str">
        <f aca="false">IF($J181="","",$J181-$K181-N($H181)-$L181)</f>
        <v/>
      </c>
      <c r="N181" s="15" t="str">
        <f aca="false">IF($J181="","",IF($J181&gt;0,$M181/$J181,""))</f>
        <v/>
      </c>
      <c r="O181" s="12"/>
      <c r="P181" s="12"/>
      <c r="Q181" s="11"/>
      <c r="R181" s="11"/>
      <c r="S181" s="12"/>
      <c r="T181" s="16" t="str">
        <f aca="false">IF($J181="","",IF($C181="",1,$C181))</f>
        <v/>
      </c>
    </row>
    <row r="182" customFormat="false" ht="15" hidden="false" customHeight="false" outlineLevel="0" collapsed="false">
      <c r="A182" s="7"/>
      <c r="B182" s="8"/>
      <c r="C182" s="9"/>
      <c r="D182" s="10"/>
      <c r="E182" s="11"/>
      <c r="F182" s="11"/>
      <c r="G182" s="8"/>
      <c r="H182" s="11"/>
      <c r="I182" s="12"/>
      <c r="J182" s="13" t="str">
        <f aca="false">IF(OR($A182="",$D182=""),"",IF($C182="",1,$C182)*$D182+N($E182)-N($F182))</f>
        <v/>
      </c>
      <c r="K182" s="13" t="str">
        <f aca="false">IF($J182="","",IF($R182&lt;&gt;"",$R182,IF($G182="",0,MAX(IFERROR(INDEX(Settings!$D$6:$D$15,MATCH($G182,Settings!$A$6:$A$15,0)),0),$J182*IFERROR(INDEX(Settings!$B$6:$B$15,MATCH($G182,Settings!$A$6:$A$15,0)),0)+IFERROR(INDEX(Settings!$C$6:$C$15,MATCH($G182,Settings!$A$6:$A$15,0)),0)))))</f>
        <v/>
      </c>
      <c r="L182" s="13" t="str">
        <f aca="false">IF($J182="","",IF($C182="",1,$C182)*IF($Q182&lt;&gt;"",$Q182,IFERROR(INDEX(Products!$D$5:$D$54,MATCH($B182,Products!$A$5:$A$54,0)),0)))</f>
        <v/>
      </c>
      <c r="M182" s="14" t="str">
        <f aca="false">IF($J182="","",$J182-$K182-N($H182)-$L182)</f>
        <v/>
      </c>
      <c r="N182" s="15" t="str">
        <f aca="false">IF($J182="","",IF($J182&gt;0,$M182/$J182,""))</f>
        <v/>
      </c>
      <c r="O182" s="12"/>
      <c r="P182" s="12"/>
      <c r="Q182" s="11"/>
      <c r="R182" s="11"/>
      <c r="S182" s="12"/>
      <c r="T182" s="16" t="str">
        <f aca="false">IF($J182="","",IF($C182="",1,$C182))</f>
        <v/>
      </c>
    </row>
    <row r="183" customFormat="false" ht="15" hidden="false" customHeight="false" outlineLevel="0" collapsed="false">
      <c r="A183" s="7"/>
      <c r="B183" s="8"/>
      <c r="C183" s="9"/>
      <c r="D183" s="10"/>
      <c r="E183" s="11"/>
      <c r="F183" s="11"/>
      <c r="G183" s="8"/>
      <c r="H183" s="11"/>
      <c r="I183" s="12"/>
      <c r="J183" s="13" t="str">
        <f aca="false">IF(OR($A183="",$D183=""),"",IF($C183="",1,$C183)*$D183+N($E183)-N($F183))</f>
        <v/>
      </c>
      <c r="K183" s="13" t="str">
        <f aca="false">IF($J183="","",IF($R183&lt;&gt;"",$R183,IF($G183="",0,MAX(IFERROR(INDEX(Settings!$D$6:$D$15,MATCH($G183,Settings!$A$6:$A$15,0)),0),$J183*IFERROR(INDEX(Settings!$B$6:$B$15,MATCH($G183,Settings!$A$6:$A$15,0)),0)+IFERROR(INDEX(Settings!$C$6:$C$15,MATCH($G183,Settings!$A$6:$A$15,0)),0)))))</f>
        <v/>
      </c>
      <c r="L183" s="13" t="str">
        <f aca="false">IF($J183="","",IF($C183="",1,$C183)*IF($Q183&lt;&gt;"",$Q183,IFERROR(INDEX(Products!$D$5:$D$54,MATCH($B183,Products!$A$5:$A$54,0)),0)))</f>
        <v/>
      </c>
      <c r="M183" s="14" t="str">
        <f aca="false">IF($J183="","",$J183-$K183-N($H183)-$L183)</f>
        <v/>
      </c>
      <c r="N183" s="15" t="str">
        <f aca="false">IF($J183="","",IF($J183&gt;0,$M183/$J183,""))</f>
        <v/>
      </c>
      <c r="O183" s="12"/>
      <c r="P183" s="12"/>
      <c r="Q183" s="11"/>
      <c r="R183" s="11"/>
      <c r="S183" s="12"/>
      <c r="T183" s="16" t="str">
        <f aca="false">IF($J183="","",IF($C183="",1,$C183))</f>
        <v/>
      </c>
    </row>
    <row r="184" customFormat="false" ht="15" hidden="false" customHeight="false" outlineLevel="0" collapsed="false">
      <c r="A184" s="7"/>
      <c r="B184" s="8"/>
      <c r="C184" s="9"/>
      <c r="D184" s="10"/>
      <c r="E184" s="11"/>
      <c r="F184" s="11"/>
      <c r="G184" s="8"/>
      <c r="H184" s="11"/>
      <c r="I184" s="12"/>
      <c r="J184" s="13" t="str">
        <f aca="false">IF(OR($A184="",$D184=""),"",IF($C184="",1,$C184)*$D184+N($E184)-N($F184))</f>
        <v/>
      </c>
      <c r="K184" s="13" t="str">
        <f aca="false">IF($J184="","",IF($R184&lt;&gt;"",$R184,IF($G184="",0,MAX(IFERROR(INDEX(Settings!$D$6:$D$15,MATCH($G184,Settings!$A$6:$A$15,0)),0),$J184*IFERROR(INDEX(Settings!$B$6:$B$15,MATCH($G184,Settings!$A$6:$A$15,0)),0)+IFERROR(INDEX(Settings!$C$6:$C$15,MATCH($G184,Settings!$A$6:$A$15,0)),0)))))</f>
        <v/>
      </c>
      <c r="L184" s="13" t="str">
        <f aca="false">IF($J184="","",IF($C184="",1,$C184)*IF($Q184&lt;&gt;"",$Q184,IFERROR(INDEX(Products!$D$5:$D$54,MATCH($B184,Products!$A$5:$A$54,0)),0)))</f>
        <v/>
      </c>
      <c r="M184" s="14" t="str">
        <f aca="false">IF($J184="","",$J184-$K184-N($H184)-$L184)</f>
        <v/>
      </c>
      <c r="N184" s="15" t="str">
        <f aca="false">IF($J184="","",IF($J184&gt;0,$M184/$J184,""))</f>
        <v/>
      </c>
      <c r="O184" s="12"/>
      <c r="P184" s="12"/>
      <c r="Q184" s="11"/>
      <c r="R184" s="11"/>
      <c r="S184" s="12"/>
      <c r="T184" s="16" t="str">
        <f aca="false">IF($J184="","",IF($C184="",1,$C184))</f>
        <v/>
      </c>
    </row>
    <row r="185" customFormat="false" ht="15" hidden="false" customHeight="false" outlineLevel="0" collapsed="false">
      <c r="A185" s="7"/>
      <c r="B185" s="8"/>
      <c r="C185" s="9"/>
      <c r="D185" s="10"/>
      <c r="E185" s="11"/>
      <c r="F185" s="11"/>
      <c r="G185" s="8"/>
      <c r="H185" s="11"/>
      <c r="I185" s="12"/>
      <c r="J185" s="13" t="str">
        <f aca="false">IF(OR($A185="",$D185=""),"",IF($C185="",1,$C185)*$D185+N($E185)-N($F185))</f>
        <v/>
      </c>
      <c r="K185" s="13" t="str">
        <f aca="false">IF($J185="","",IF($R185&lt;&gt;"",$R185,IF($G185="",0,MAX(IFERROR(INDEX(Settings!$D$6:$D$15,MATCH($G185,Settings!$A$6:$A$15,0)),0),$J185*IFERROR(INDEX(Settings!$B$6:$B$15,MATCH($G185,Settings!$A$6:$A$15,0)),0)+IFERROR(INDEX(Settings!$C$6:$C$15,MATCH($G185,Settings!$A$6:$A$15,0)),0)))))</f>
        <v/>
      </c>
      <c r="L185" s="13" t="str">
        <f aca="false">IF($J185="","",IF($C185="",1,$C185)*IF($Q185&lt;&gt;"",$Q185,IFERROR(INDEX(Products!$D$5:$D$54,MATCH($B185,Products!$A$5:$A$54,0)),0)))</f>
        <v/>
      </c>
      <c r="M185" s="14" t="str">
        <f aca="false">IF($J185="","",$J185-$K185-N($H185)-$L185)</f>
        <v/>
      </c>
      <c r="N185" s="15" t="str">
        <f aca="false">IF($J185="","",IF($J185&gt;0,$M185/$J185,""))</f>
        <v/>
      </c>
      <c r="O185" s="12"/>
      <c r="P185" s="12"/>
      <c r="Q185" s="11"/>
      <c r="R185" s="11"/>
      <c r="S185" s="12"/>
      <c r="T185" s="16" t="str">
        <f aca="false">IF($J185="","",IF($C185="",1,$C185))</f>
        <v/>
      </c>
    </row>
    <row r="186" customFormat="false" ht="15" hidden="false" customHeight="false" outlineLevel="0" collapsed="false">
      <c r="A186" s="7"/>
      <c r="B186" s="8"/>
      <c r="C186" s="9"/>
      <c r="D186" s="10"/>
      <c r="E186" s="11"/>
      <c r="F186" s="11"/>
      <c r="G186" s="8"/>
      <c r="H186" s="11"/>
      <c r="I186" s="12"/>
      <c r="J186" s="13" t="str">
        <f aca="false">IF(OR($A186="",$D186=""),"",IF($C186="",1,$C186)*$D186+N($E186)-N($F186))</f>
        <v/>
      </c>
      <c r="K186" s="13" t="str">
        <f aca="false">IF($J186="","",IF($R186&lt;&gt;"",$R186,IF($G186="",0,MAX(IFERROR(INDEX(Settings!$D$6:$D$15,MATCH($G186,Settings!$A$6:$A$15,0)),0),$J186*IFERROR(INDEX(Settings!$B$6:$B$15,MATCH($G186,Settings!$A$6:$A$15,0)),0)+IFERROR(INDEX(Settings!$C$6:$C$15,MATCH($G186,Settings!$A$6:$A$15,0)),0)))))</f>
        <v/>
      </c>
      <c r="L186" s="13" t="str">
        <f aca="false">IF($J186="","",IF($C186="",1,$C186)*IF($Q186&lt;&gt;"",$Q186,IFERROR(INDEX(Products!$D$5:$D$54,MATCH($B186,Products!$A$5:$A$54,0)),0)))</f>
        <v/>
      </c>
      <c r="M186" s="14" t="str">
        <f aca="false">IF($J186="","",$J186-$K186-N($H186)-$L186)</f>
        <v/>
      </c>
      <c r="N186" s="15" t="str">
        <f aca="false">IF($J186="","",IF($J186&gt;0,$M186/$J186,""))</f>
        <v/>
      </c>
      <c r="O186" s="12"/>
      <c r="P186" s="12"/>
      <c r="Q186" s="11"/>
      <c r="R186" s="11"/>
      <c r="S186" s="12"/>
      <c r="T186" s="16" t="str">
        <f aca="false">IF($J186="","",IF($C186="",1,$C186))</f>
        <v/>
      </c>
    </row>
    <row r="187" customFormat="false" ht="15" hidden="false" customHeight="false" outlineLevel="0" collapsed="false">
      <c r="A187" s="7"/>
      <c r="B187" s="8"/>
      <c r="C187" s="9"/>
      <c r="D187" s="10"/>
      <c r="E187" s="11"/>
      <c r="F187" s="11"/>
      <c r="G187" s="8"/>
      <c r="H187" s="11"/>
      <c r="I187" s="12"/>
      <c r="J187" s="13" t="str">
        <f aca="false">IF(OR($A187="",$D187=""),"",IF($C187="",1,$C187)*$D187+N($E187)-N($F187))</f>
        <v/>
      </c>
      <c r="K187" s="13" t="str">
        <f aca="false">IF($J187="","",IF($R187&lt;&gt;"",$R187,IF($G187="",0,MAX(IFERROR(INDEX(Settings!$D$6:$D$15,MATCH($G187,Settings!$A$6:$A$15,0)),0),$J187*IFERROR(INDEX(Settings!$B$6:$B$15,MATCH($G187,Settings!$A$6:$A$15,0)),0)+IFERROR(INDEX(Settings!$C$6:$C$15,MATCH($G187,Settings!$A$6:$A$15,0)),0)))))</f>
        <v/>
      </c>
      <c r="L187" s="13" t="str">
        <f aca="false">IF($J187="","",IF($C187="",1,$C187)*IF($Q187&lt;&gt;"",$Q187,IFERROR(INDEX(Products!$D$5:$D$54,MATCH($B187,Products!$A$5:$A$54,0)),0)))</f>
        <v/>
      </c>
      <c r="M187" s="14" t="str">
        <f aca="false">IF($J187="","",$J187-$K187-N($H187)-$L187)</f>
        <v/>
      </c>
      <c r="N187" s="15" t="str">
        <f aca="false">IF($J187="","",IF($J187&gt;0,$M187/$J187,""))</f>
        <v/>
      </c>
      <c r="O187" s="12"/>
      <c r="P187" s="12"/>
      <c r="Q187" s="11"/>
      <c r="R187" s="11"/>
      <c r="S187" s="12"/>
      <c r="T187" s="16" t="str">
        <f aca="false">IF($J187="","",IF($C187="",1,$C187))</f>
        <v/>
      </c>
    </row>
    <row r="188" customFormat="false" ht="15" hidden="false" customHeight="false" outlineLevel="0" collapsed="false">
      <c r="A188" s="7"/>
      <c r="B188" s="8"/>
      <c r="C188" s="9"/>
      <c r="D188" s="10"/>
      <c r="E188" s="11"/>
      <c r="F188" s="11"/>
      <c r="G188" s="8"/>
      <c r="H188" s="11"/>
      <c r="I188" s="12"/>
      <c r="J188" s="13" t="str">
        <f aca="false">IF(OR($A188="",$D188=""),"",IF($C188="",1,$C188)*$D188+N($E188)-N($F188))</f>
        <v/>
      </c>
      <c r="K188" s="13" t="str">
        <f aca="false">IF($J188="","",IF($R188&lt;&gt;"",$R188,IF($G188="",0,MAX(IFERROR(INDEX(Settings!$D$6:$D$15,MATCH($G188,Settings!$A$6:$A$15,0)),0),$J188*IFERROR(INDEX(Settings!$B$6:$B$15,MATCH($G188,Settings!$A$6:$A$15,0)),0)+IFERROR(INDEX(Settings!$C$6:$C$15,MATCH($G188,Settings!$A$6:$A$15,0)),0)))))</f>
        <v/>
      </c>
      <c r="L188" s="13" t="str">
        <f aca="false">IF($J188="","",IF($C188="",1,$C188)*IF($Q188&lt;&gt;"",$Q188,IFERROR(INDEX(Products!$D$5:$D$54,MATCH($B188,Products!$A$5:$A$54,0)),0)))</f>
        <v/>
      </c>
      <c r="M188" s="14" t="str">
        <f aca="false">IF($J188="","",$J188-$K188-N($H188)-$L188)</f>
        <v/>
      </c>
      <c r="N188" s="15" t="str">
        <f aca="false">IF($J188="","",IF($J188&gt;0,$M188/$J188,""))</f>
        <v/>
      </c>
      <c r="O188" s="12"/>
      <c r="P188" s="12"/>
      <c r="Q188" s="11"/>
      <c r="R188" s="11"/>
      <c r="S188" s="12"/>
      <c r="T188" s="16" t="str">
        <f aca="false">IF($J188="","",IF($C188="",1,$C188))</f>
        <v/>
      </c>
    </row>
    <row r="189" customFormat="false" ht="15" hidden="false" customHeight="false" outlineLevel="0" collapsed="false">
      <c r="A189" s="7"/>
      <c r="B189" s="8"/>
      <c r="C189" s="9"/>
      <c r="D189" s="10"/>
      <c r="E189" s="11"/>
      <c r="F189" s="11"/>
      <c r="G189" s="8"/>
      <c r="H189" s="11"/>
      <c r="I189" s="12"/>
      <c r="J189" s="13" t="str">
        <f aca="false">IF(OR($A189="",$D189=""),"",IF($C189="",1,$C189)*$D189+N($E189)-N($F189))</f>
        <v/>
      </c>
      <c r="K189" s="13" t="str">
        <f aca="false">IF($J189="","",IF($R189&lt;&gt;"",$R189,IF($G189="",0,MAX(IFERROR(INDEX(Settings!$D$6:$D$15,MATCH($G189,Settings!$A$6:$A$15,0)),0),$J189*IFERROR(INDEX(Settings!$B$6:$B$15,MATCH($G189,Settings!$A$6:$A$15,0)),0)+IFERROR(INDEX(Settings!$C$6:$C$15,MATCH($G189,Settings!$A$6:$A$15,0)),0)))))</f>
        <v/>
      </c>
      <c r="L189" s="13" t="str">
        <f aca="false">IF($J189="","",IF($C189="",1,$C189)*IF($Q189&lt;&gt;"",$Q189,IFERROR(INDEX(Products!$D$5:$D$54,MATCH($B189,Products!$A$5:$A$54,0)),0)))</f>
        <v/>
      </c>
      <c r="M189" s="14" t="str">
        <f aca="false">IF($J189="","",$J189-$K189-N($H189)-$L189)</f>
        <v/>
      </c>
      <c r="N189" s="15" t="str">
        <f aca="false">IF($J189="","",IF($J189&gt;0,$M189/$J189,""))</f>
        <v/>
      </c>
      <c r="O189" s="12"/>
      <c r="P189" s="12"/>
      <c r="Q189" s="11"/>
      <c r="R189" s="11"/>
      <c r="S189" s="12"/>
      <c r="T189" s="16" t="str">
        <f aca="false">IF($J189="","",IF($C189="",1,$C189))</f>
        <v/>
      </c>
    </row>
    <row r="190" customFormat="false" ht="15" hidden="false" customHeight="false" outlineLevel="0" collapsed="false">
      <c r="A190" s="7"/>
      <c r="B190" s="8"/>
      <c r="C190" s="9"/>
      <c r="D190" s="10"/>
      <c r="E190" s="11"/>
      <c r="F190" s="11"/>
      <c r="G190" s="8"/>
      <c r="H190" s="11"/>
      <c r="I190" s="12"/>
      <c r="J190" s="13" t="str">
        <f aca="false">IF(OR($A190="",$D190=""),"",IF($C190="",1,$C190)*$D190+N($E190)-N($F190))</f>
        <v/>
      </c>
      <c r="K190" s="13" t="str">
        <f aca="false">IF($J190="","",IF($R190&lt;&gt;"",$R190,IF($G190="",0,MAX(IFERROR(INDEX(Settings!$D$6:$D$15,MATCH($G190,Settings!$A$6:$A$15,0)),0),$J190*IFERROR(INDEX(Settings!$B$6:$B$15,MATCH($G190,Settings!$A$6:$A$15,0)),0)+IFERROR(INDEX(Settings!$C$6:$C$15,MATCH($G190,Settings!$A$6:$A$15,0)),0)))))</f>
        <v/>
      </c>
      <c r="L190" s="13" t="str">
        <f aca="false">IF($J190="","",IF($C190="",1,$C190)*IF($Q190&lt;&gt;"",$Q190,IFERROR(INDEX(Products!$D$5:$D$54,MATCH($B190,Products!$A$5:$A$54,0)),0)))</f>
        <v/>
      </c>
      <c r="M190" s="14" t="str">
        <f aca="false">IF($J190="","",$J190-$K190-N($H190)-$L190)</f>
        <v/>
      </c>
      <c r="N190" s="15" t="str">
        <f aca="false">IF($J190="","",IF($J190&gt;0,$M190/$J190,""))</f>
        <v/>
      </c>
      <c r="O190" s="12"/>
      <c r="P190" s="12"/>
      <c r="Q190" s="11"/>
      <c r="R190" s="11"/>
      <c r="S190" s="12"/>
      <c r="T190" s="16" t="str">
        <f aca="false">IF($J190="","",IF($C190="",1,$C190))</f>
        <v/>
      </c>
    </row>
    <row r="191" customFormat="false" ht="15" hidden="false" customHeight="false" outlineLevel="0" collapsed="false">
      <c r="A191" s="7"/>
      <c r="B191" s="8"/>
      <c r="C191" s="9"/>
      <c r="D191" s="10"/>
      <c r="E191" s="11"/>
      <c r="F191" s="11"/>
      <c r="G191" s="8"/>
      <c r="H191" s="11"/>
      <c r="I191" s="12"/>
      <c r="J191" s="13" t="str">
        <f aca="false">IF(OR($A191="",$D191=""),"",IF($C191="",1,$C191)*$D191+N($E191)-N($F191))</f>
        <v/>
      </c>
      <c r="K191" s="13" t="str">
        <f aca="false">IF($J191="","",IF($R191&lt;&gt;"",$R191,IF($G191="",0,MAX(IFERROR(INDEX(Settings!$D$6:$D$15,MATCH($G191,Settings!$A$6:$A$15,0)),0),$J191*IFERROR(INDEX(Settings!$B$6:$B$15,MATCH($G191,Settings!$A$6:$A$15,0)),0)+IFERROR(INDEX(Settings!$C$6:$C$15,MATCH($G191,Settings!$A$6:$A$15,0)),0)))))</f>
        <v/>
      </c>
      <c r="L191" s="13" t="str">
        <f aca="false">IF($J191="","",IF($C191="",1,$C191)*IF($Q191&lt;&gt;"",$Q191,IFERROR(INDEX(Products!$D$5:$D$54,MATCH($B191,Products!$A$5:$A$54,0)),0)))</f>
        <v/>
      </c>
      <c r="M191" s="14" t="str">
        <f aca="false">IF($J191="","",$J191-$K191-N($H191)-$L191)</f>
        <v/>
      </c>
      <c r="N191" s="15" t="str">
        <f aca="false">IF($J191="","",IF($J191&gt;0,$M191/$J191,""))</f>
        <v/>
      </c>
      <c r="O191" s="12"/>
      <c r="P191" s="12"/>
      <c r="Q191" s="11"/>
      <c r="R191" s="11"/>
      <c r="S191" s="12"/>
      <c r="T191" s="16" t="str">
        <f aca="false">IF($J191="","",IF($C191="",1,$C191))</f>
        <v/>
      </c>
    </row>
    <row r="192" customFormat="false" ht="15" hidden="false" customHeight="false" outlineLevel="0" collapsed="false">
      <c r="A192" s="7"/>
      <c r="B192" s="8"/>
      <c r="C192" s="9"/>
      <c r="D192" s="10"/>
      <c r="E192" s="11"/>
      <c r="F192" s="11"/>
      <c r="G192" s="8"/>
      <c r="H192" s="11"/>
      <c r="I192" s="12"/>
      <c r="J192" s="13" t="str">
        <f aca="false">IF(OR($A192="",$D192=""),"",IF($C192="",1,$C192)*$D192+N($E192)-N($F192))</f>
        <v/>
      </c>
      <c r="K192" s="13" t="str">
        <f aca="false">IF($J192="","",IF($R192&lt;&gt;"",$R192,IF($G192="",0,MAX(IFERROR(INDEX(Settings!$D$6:$D$15,MATCH($G192,Settings!$A$6:$A$15,0)),0),$J192*IFERROR(INDEX(Settings!$B$6:$B$15,MATCH($G192,Settings!$A$6:$A$15,0)),0)+IFERROR(INDEX(Settings!$C$6:$C$15,MATCH($G192,Settings!$A$6:$A$15,0)),0)))))</f>
        <v/>
      </c>
      <c r="L192" s="13" t="str">
        <f aca="false">IF($J192="","",IF($C192="",1,$C192)*IF($Q192&lt;&gt;"",$Q192,IFERROR(INDEX(Products!$D$5:$D$54,MATCH($B192,Products!$A$5:$A$54,0)),0)))</f>
        <v/>
      </c>
      <c r="M192" s="14" t="str">
        <f aca="false">IF($J192="","",$J192-$K192-N($H192)-$L192)</f>
        <v/>
      </c>
      <c r="N192" s="15" t="str">
        <f aca="false">IF($J192="","",IF($J192&gt;0,$M192/$J192,""))</f>
        <v/>
      </c>
      <c r="O192" s="12"/>
      <c r="P192" s="12"/>
      <c r="Q192" s="11"/>
      <c r="R192" s="11"/>
      <c r="S192" s="12"/>
      <c r="T192" s="16" t="str">
        <f aca="false">IF($J192="","",IF($C192="",1,$C192))</f>
        <v/>
      </c>
    </row>
    <row r="193" customFormat="false" ht="15" hidden="false" customHeight="false" outlineLevel="0" collapsed="false">
      <c r="A193" s="7"/>
      <c r="B193" s="8"/>
      <c r="C193" s="9"/>
      <c r="D193" s="10"/>
      <c r="E193" s="11"/>
      <c r="F193" s="11"/>
      <c r="G193" s="8"/>
      <c r="H193" s="11"/>
      <c r="I193" s="12"/>
      <c r="J193" s="13" t="str">
        <f aca="false">IF(OR($A193="",$D193=""),"",IF($C193="",1,$C193)*$D193+N($E193)-N($F193))</f>
        <v/>
      </c>
      <c r="K193" s="13" t="str">
        <f aca="false">IF($J193="","",IF($R193&lt;&gt;"",$R193,IF($G193="",0,MAX(IFERROR(INDEX(Settings!$D$6:$D$15,MATCH($G193,Settings!$A$6:$A$15,0)),0),$J193*IFERROR(INDEX(Settings!$B$6:$B$15,MATCH($G193,Settings!$A$6:$A$15,0)),0)+IFERROR(INDEX(Settings!$C$6:$C$15,MATCH($G193,Settings!$A$6:$A$15,0)),0)))))</f>
        <v/>
      </c>
      <c r="L193" s="13" t="str">
        <f aca="false">IF($J193="","",IF($C193="",1,$C193)*IF($Q193&lt;&gt;"",$Q193,IFERROR(INDEX(Products!$D$5:$D$54,MATCH($B193,Products!$A$5:$A$54,0)),0)))</f>
        <v/>
      </c>
      <c r="M193" s="14" t="str">
        <f aca="false">IF($J193="","",$J193-$K193-N($H193)-$L193)</f>
        <v/>
      </c>
      <c r="N193" s="15" t="str">
        <f aca="false">IF($J193="","",IF($J193&gt;0,$M193/$J193,""))</f>
        <v/>
      </c>
      <c r="O193" s="12"/>
      <c r="P193" s="12"/>
      <c r="Q193" s="11"/>
      <c r="R193" s="11"/>
      <c r="S193" s="12"/>
      <c r="T193" s="16" t="str">
        <f aca="false">IF($J193="","",IF($C193="",1,$C193))</f>
        <v/>
      </c>
    </row>
    <row r="194" customFormat="false" ht="15" hidden="false" customHeight="false" outlineLevel="0" collapsed="false">
      <c r="A194" s="7"/>
      <c r="B194" s="8"/>
      <c r="C194" s="9"/>
      <c r="D194" s="10"/>
      <c r="E194" s="11"/>
      <c r="F194" s="11"/>
      <c r="G194" s="8"/>
      <c r="H194" s="11"/>
      <c r="I194" s="12"/>
      <c r="J194" s="13" t="str">
        <f aca="false">IF(OR($A194="",$D194=""),"",IF($C194="",1,$C194)*$D194+N($E194)-N($F194))</f>
        <v/>
      </c>
      <c r="K194" s="13" t="str">
        <f aca="false">IF($J194="","",IF($R194&lt;&gt;"",$R194,IF($G194="",0,MAX(IFERROR(INDEX(Settings!$D$6:$D$15,MATCH($G194,Settings!$A$6:$A$15,0)),0),$J194*IFERROR(INDEX(Settings!$B$6:$B$15,MATCH($G194,Settings!$A$6:$A$15,0)),0)+IFERROR(INDEX(Settings!$C$6:$C$15,MATCH($G194,Settings!$A$6:$A$15,0)),0)))))</f>
        <v/>
      </c>
      <c r="L194" s="13" t="str">
        <f aca="false">IF($J194="","",IF($C194="",1,$C194)*IF($Q194&lt;&gt;"",$Q194,IFERROR(INDEX(Products!$D$5:$D$54,MATCH($B194,Products!$A$5:$A$54,0)),0)))</f>
        <v/>
      </c>
      <c r="M194" s="14" t="str">
        <f aca="false">IF($J194="","",$J194-$K194-N($H194)-$L194)</f>
        <v/>
      </c>
      <c r="N194" s="15" t="str">
        <f aca="false">IF($J194="","",IF($J194&gt;0,$M194/$J194,""))</f>
        <v/>
      </c>
      <c r="O194" s="12"/>
      <c r="P194" s="12"/>
      <c r="Q194" s="11"/>
      <c r="R194" s="11"/>
      <c r="S194" s="12"/>
      <c r="T194" s="16" t="str">
        <f aca="false">IF($J194="","",IF($C194="",1,$C194))</f>
        <v/>
      </c>
    </row>
    <row r="195" customFormat="false" ht="15" hidden="false" customHeight="false" outlineLevel="0" collapsed="false">
      <c r="A195" s="7"/>
      <c r="B195" s="8"/>
      <c r="C195" s="9"/>
      <c r="D195" s="10"/>
      <c r="E195" s="11"/>
      <c r="F195" s="11"/>
      <c r="G195" s="8"/>
      <c r="H195" s="11"/>
      <c r="I195" s="12"/>
      <c r="J195" s="13" t="str">
        <f aca="false">IF(OR($A195="",$D195=""),"",IF($C195="",1,$C195)*$D195+N($E195)-N($F195))</f>
        <v/>
      </c>
      <c r="K195" s="13" t="str">
        <f aca="false">IF($J195="","",IF($R195&lt;&gt;"",$R195,IF($G195="",0,MAX(IFERROR(INDEX(Settings!$D$6:$D$15,MATCH($G195,Settings!$A$6:$A$15,0)),0),$J195*IFERROR(INDEX(Settings!$B$6:$B$15,MATCH($G195,Settings!$A$6:$A$15,0)),0)+IFERROR(INDEX(Settings!$C$6:$C$15,MATCH($G195,Settings!$A$6:$A$15,0)),0)))))</f>
        <v/>
      </c>
      <c r="L195" s="13" t="str">
        <f aca="false">IF($J195="","",IF($C195="",1,$C195)*IF($Q195&lt;&gt;"",$Q195,IFERROR(INDEX(Products!$D$5:$D$54,MATCH($B195,Products!$A$5:$A$54,0)),0)))</f>
        <v/>
      </c>
      <c r="M195" s="14" t="str">
        <f aca="false">IF($J195="","",$J195-$K195-N($H195)-$L195)</f>
        <v/>
      </c>
      <c r="N195" s="15" t="str">
        <f aca="false">IF($J195="","",IF($J195&gt;0,$M195/$J195,""))</f>
        <v/>
      </c>
      <c r="O195" s="12"/>
      <c r="P195" s="12"/>
      <c r="Q195" s="11"/>
      <c r="R195" s="11"/>
      <c r="S195" s="12"/>
      <c r="T195" s="16" t="str">
        <f aca="false">IF($J195="","",IF($C195="",1,$C195))</f>
        <v/>
      </c>
    </row>
    <row r="196" customFormat="false" ht="15" hidden="false" customHeight="false" outlineLevel="0" collapsed="false">
      <c r="A196" s="7"/>
      <c r="B196" s="8"/>
      <c r="C196" s="9"/>
      <c r="D196" s="10"/>
      <c r="E196" s="11"/>
      <c r="F196" s="11"/>
      <c r="G196" s="8"/>
      <c r="H196" s="11"/>
      <c r="I196" s="12"/>
      <c r="J196" s="13" t="str">
        <f aca="false">IF(OR($A196="",$D196=""),"",IF($C196="",1,$C196)*$D196+N($E196)-N($F196))</f>
        <v/>
      </c>
      <c r="K196" s="13" t="str">
        <f aca="false">IF($J196="","",IF($R196&lt;&gt;"",$R196,IF($G196="",0,MAX(IFERROR(INDEX(Settings!$D$6:$D$15,MATCH($G196,Settings!$A$6:$A$15,0)),0),$J196*IFERROR(INDEX(Settings!$B$6:$B$15,MATCH($G196,Settings!$A$6:$A$15,0)),0)+IFERROR(INDEX(Settings!$C$6:$C$15,MATCH($G196,Settings!$A$6:$A$15,0)),0)))))</f>
        <v/>
      </c>
      <c r="L196" s="13" t="str">
        <f aca="false">IF($J196="","",IF($C196="",1,$C196)*IF($Q196&lt;&gt;"",$Q196,IFERROR(INDEX(Products!$D$5:$D$54,MATCH($B196,Products!$A$5:$A$54,0)),0)))</f>
        <v/>
      </c>
      <c r="M196" s="14" t="str">
        <f aca="false">IF($J196="","",$J196-$K196-N($H196)-$L196)</f>
        <v/>
      </c>
      <c r="N196" s="15" t="str">
        <f aca="false">IF($J196="","",IF($J196&gt;0,$M196/$J196,""))</f>
        <v/>
      </c>
      <c r="O196" s="12"/>
      <c r="P196" s="12"/>
      <c r="Q196" s="11"/>
      <c r="R196" s="11"/>
      <c r="S196" s="12"/>
      <c r="T196" s="16" t="str">
        <f aca="false">IF($J196="","",IF($C196="",1,$C196))</f>
        <v/>
      </c>
    </row>
    <row r="197" customFormat="false" ht="15" hidden="false" customHeight="false" outlineLevel="0" collapsed="false">
      <c r="A197" s="7"/>
      <c r="B197" s="8"/>
      <c r="C197" s="9"/>
      <c r="D197" s="10"/>
      <c r="E197" s="11"/>
      <c r="F197" s="11"/>
      <c r="G197" s="8"/>
      <c r="H197" s="11"/>
      <c r="I197" s="12"/>
      <c r="J197" s="13" t="str">
        <f aca="false">IF(OR($A197="",$D197=""),"",IF($C197="",1,$C197)*$D197+N($E197)-N($F197))</f>
        <v/>
      </c>
      <c r="K197" s="13" t="str">
        <f aca="false">IF($J197="","",IF($R197&lt;&gt;"",$R197,IF($G197="",0,MAX(IFERROR(INDEX(Settings!$D$6:$D$15,MATCH($G197,Settings!$A$6:$A$15,0)),0),$J197*IFERROR(INDEX(Settings!$B$6:$B$15,MATCH($G197,Settings!$A$6:$A$15,0)),0)+IFERROR(INDEX(Settings!$C$6:$C$15,MATCH($G197,Settings!$A$6:$A$15,0)),0)))))</f>
        <v/>
      </c>
      <c r="L197" s="13" t="str">
        <f aca="false">IF($J197="","",IF($C197="",1,$C197)*IF($Q197&lt;&gt;"",$Q197,IFERROR(INDEX(Products!$D$5:$D$54,MATCH($B197,Products!$A$5:$A$54,0)),0)))</f>
        <v/>
      </c>
      <c r="M197" s="14" t="str">
        <f aca="false">IF($J197="","",$J197-$K197-N($H197)-$L197)</f>
        <v/>
      </c>
      <c r="N197" s="15" t="str">
        <f aca="false">IF($J197="","",IF($J197&gt;0,$M197/$J197,""))</f>
        <v/>
      </c>
      <c r="O197" s="12"/>
      <c r="P197" s="12"/>
      <c r="Q197" s="11"/>
      <c r="R197" s="11"/>
      <c r="S197" s="12"/>
      <c r="T197" s="16" t="str">
        <f aca="false">IF($J197="","",IF($C197="",1,$C197))</f>
        <v/>
      </c>
    </row>
    <row r="198" customFormat="false" ht="15" hidden="false" customHeight="false" outlineLevel="0" collapsed="false">
      <c r="A198" s="7"/>
      <c r="B198" s="8"/>
      <c r="C198" s="9"/>
      <c r="D198" s="10"/>
      <c r="E198" s="11"/>
      <c r="F198" s="11"/>
      <c r="G198" s="8"/>
      <c r="H198" s="11"/>
      <c r="I198" s="12"/>
      <c r="J198" s="13" t="str">
        <f aca="false">IF(OR($A198="",$D198=""),"",IF($C198="",1,$C198)*$D198+N($E198)-N($F198))</f>
        <v/>
      </c>
      <c r="K198" s="13" t="str">
        <f aca="false">IF($J198="","",IF($R198&lt;&gt;"",$R198,IF($G198="",0,MAX(IFERROR(INDEX(Settings!$D$6:$D$15,MATCH($G198,Settings!$A$6:$A$15,0)),0),$J198*IFERROR(INDEX(Settings!$B$6:$B$15,MATCH($G198,Settings!$A$6:$A$15,0)),0)+IFERROR(INDEX(Settings!$C$6:$C$15,MATCH($G198,Settings!$A$6:$A$15,0)),0)))))</f>
        <v/>
      </c>
      <c r="L198" s="13" t="str">
        <f aca="false">IF($J198="","",IF($C198="",1,$C198)*IF($Q198&lt;&gt;"",$Q198,IFERROR(INDEX(Products!$D$5:$D$54,MATCH($B198,Products!$A$5:$A$54,0)),0)))</f>
        <v/>
      </c>
      <c r="M198" s="14" t="str">
        <f aca="false">IF($J198="","",$J198-$K198-N($H198)-$L198)</f>
        <v/>
      </c>
      <c r="N198" s="15" t="str">
        <f aca="false">IF($J198="","",IF($J198&gt;0,$M198/$J198,""))</f>
        <v/>
      </c>
      <c r="O198" s="12"/>
      <c r="P198" s="12"/>
      <c r="Q198" s="11"/>
      <c r="R198" s="11"/>
      <c r="S198" s="12"/>
      <c r="T198" s="16" t="str">
        <f aca="false">IF($J198="","",IF($C198="",1,$C198))</f>
        <v/>
      </c>
    </row>
    <row r="199" customFormat="false" ht="15" hidden="false" customHeight="false" outlineLevel="0" collapsed="false">
      <c r="A199" s="7"/>
      <c r="B199" s="8"/>
      <c r="C199" s="9"/>
      <c r="D199" s="10"/>
      <c r="E199" s="11"/>
      <c r="F199" s="11"/>
      <c r="G199" s="8"/>
      <c r="H199" s="11"/>
      <c r="I199" s="12"/>
      <c r="J199" s="13" t="str">
        <f aca="false">IF(OR($A199="",$D199=""),"",IF($C199="",1,$C199)*$D199+N($E199)-N($F199))</f>
        <v/>
      </c>
      <c r="K199" s="13" t="str">
        <f aca="false">IF($J199="","",IF($R199&lt;&gt;"",$R199,IF($G199="",0,MAX(IFERROR(INDEX(Settings!$D$6:$D$15,MATCH($G199,Settings!$A$6:$A$15,0)),0),$J199*IFERROR(INDEX(Settings!$B$6:$B$15,MATCH($G199,Settings!$A$6:$A$15,0)),0)+IFERROR(INDEX(Settings!$C$6:$C$15,MATCH($G199,Settings!$A$6:$A$15,0)),0)))))</f>
        <v/>
      </c>
      <c r="L199" s="13" t="str">
        <f aca="false">IF($J199="","",IF($C199="",1,$C199)*IF($Q199&lt;&gt;"",$Q199,IFERROR(INDEX(Products!$D$5:$D$54,MATCH($B199,Products!$A$5:$A$54,0)),0)))</f>
        <v/>
      </c>
      <c r="M199" s="14" t="str">
        <f aca="false">IF($J199="","",$J199-$K199-N($H199)-$L199)</f>
        <v/>
      </c>
      <c r="N199" s="15" t="str">
        <f aca="false">IF($J199="","",IF($J199&gt;0,$M199/$J199,""))</f>
        <v/>
      </c>
      <c r="O199" s="12"/>
      <c r="P199" s="12"/>
      <c r="Q199" s="11"/>
      <c r="R199" s="11"/>
      <c r="S199" s="12"/>
      <c r="T199" s="16" t="str">
        <f aca="false">IF($J199="","",IF($C199="",1,$C199))</f>
        <v/>
      </c>
    </row>
    <row r="200" customFormat="false" ht="15" hidden="false" customHeight="false" outlineLevel="0" collapsed="false">
      <c r="A200" s="7"/>
      <c r="B200" s="8"/>
      <c r="C200" s="9"/>
      <c r="D200" s="10"/>
      <c r="E200" s="11"/>
      <c r="F200" s="11"/>
      <c r="G200" s="8"/>
      <c r="H200" s="11"/>
      <c r="I200" s="12"/>
      <c r="J200" s="13" t="str">
        <f aca="false">IF(OR($A200="",$D200=""),"",IF($C200="",1,$C200)*$D200+N($E200)-N($F200))</f>
        <v/>
      </c>
      <c r="K200" s="13" t="str">
        <f aca="false">IF($J200="","",IF($R200&lt;&gt;"",$R200,IF($G200="",0,MAX(IFERROR(INDEX(Settings!$D$6:$D$15,MATCH($G200,Settings!$A$6:$A$15,0)),0),$J200*IFERROR(INDEX(Settings!$B$6:$B$15,MATCH($G200,Settings!$A$6:$A$15,0)),0)+IFERROR(INDEX(Settings!$C$6:$C$15,MATCH($G200,Settings!$A$6:$A$15,0)),0)))))</f>
        <v/>
      </c>
      <c r="L200" s="13" t="str">
        <f aca="false">IF($J200="","",IF($C200="",1,$C200)*IF($Q200&lt;&gt;"",$Q200,IFERROR(INDEX(Products!$D$5:$D$54,MATCH($B200,Products!$A$5:$A$54,0)),0)))</f>
        <v/>
      </c>
      <c r="M200" s="14" t="str">
        <f aca="false">IF($J200="","",$J200-$K200-N($H200)-$L200)</f>
        <v/>
      </c>
      <c r="N200" s="15" t="str">
        <f aca="false">IF($J200="","",IF($J200&gt;0,$M200/$J200,""))</f>
        <v/>
      </c>
      <c r="O200" s="12"/>
      <c r="P200" s="12"/>
      <c r="Q200" s="11"/>
      <c r="R200" s="11"/>
      <c r="S200" s="12"/>
      <c r="T200" s="16" t="str">
        <f aca="false">IF($J200="","",IF($C200="",1,$C200))</f>
        <v/>
      </c>
    </row>
    <row r="201" customFormat="false" ht="15" hidden="false" customHeight="false" outlineLevel="0" collapsed="false">
      <c r="A201" s="7"/>
      <c r="B201" s="8"/>
      <c r="C201" s="9"/>
      <c r="D201" s="10"/>
      <c r="E201" s="11"/>
      <c r="F201" s="11"/>
      <c r="G201" s="8"/>
      <c r="H201" s="11"/>
      <c r="I201" s="12"/>
      <c r="J201" s="13" t="str">
        <f aca="false">IF(OR($A201="",$D201=""),"",IF($C201="",1,$C201)*$D201+N($E201)-N($F201))</f>
        <v/>
      </c>
      <c r="K201" s="13" t="str">
        <f aca="false">IF($J201="","",IF($R201&lt;&gt;"",$R201,IF($G201="",0,MAX(IFERROR(INDEX(Settings!$D$6:$D$15,MATCH($G201,Settings!$A$6:$A$15,0)),0),$J201*IFERROR(INDEX(Settings!$B$6:$B$15,MATCH($G201,Settings!$A$6:$A$15,0)),0)+IFERROR(INDEX(Settings!$C$6:$C$15,MATCH($G201,Settings!$A$6:$A$15,0)),0)))))</f>
        <v/>
      </c>
      <c r="L201" s="13" t="str">
        <f aca="false">IF($J201="","",IF($C201="",1,$C201)*IF($Q201&lt;&gt;"",$Q201,IFERROR(INDEX(Products!$D$5:$D$54,MATCH($B201,Products!$A$5:$A$54,0)),0)))</f>
        <v/>
      </c>
      <c r="M201" s="14" t="str">
        <f aca="false">IF($J201="","",$J201-$K201-N($H201)-$L201)</f>
        <v/>
      </c>
      <c r="N201" s="15" t="str">
        <f aca="false">IF($J201="","",IF($J201&gt;0,$M201/$J201,""))</f>
        <v/>
      </c>
      <c r="O201" s="12"/>
      <c r="P201" s="12"/>
      <c r="Q201" s="11"/>
      <c r="R201" s="11"/>
      <c r="S201" s="12"/>
      <c r="T201" s="16" t="str">
        <f aca="false">IF($J201="","",IF($C201="",1,$C201))</f>
        <v/>
      </c>
    </row>
    <row r="202" customFormat="false" ht="15" hidden="false" customHeight="false" outlineLevel="0" collapsed="false">
      <c r="A202" s="7"/>
      <c r="B202" s="8"/>
      <c r="C202" s="9"/>
      <c r="D202" s="10"/>
      <c r="E202" s="11"/>
      <c r="F202" s="11"/>
      <c r="G202" s="8"/>
      <c r="H202" s="11"/>
      <c r="I202" s="12"/>
      <c r="J202" s="13" t="str">
        <f aca="false">IF(OR($A202="",$D202=""),"",IF($C202="",1,$C202)*$D202+N($E202)-N($F202))</f>
        <v/>
      </c>
      <c r="K202" s="13" t="str">
        <f aca="false">IF($J202="","",IF($R202&lt;&gt;"",$R202,IF($G202="",0,MAX(IFERROR(INDEX(Settings!$D$6:$D$15,MATCH($G202,Settings!$A$6:$A$15,0)),0),$J202*IFERROR(INDEX(Settings!$B$6:$B$15,MATCH($G202,Settings!$A$6:$A$15,0)),0)+IFERROR(INDEX(Settings!$C$6:$C$15,MATCH($G202,Settings!$A$6:$A$15,0)),0)))))</f>
        <v/>
      </c>
      <c r="L202" s="13" t="str">
        <f aca="false">IF($J202="","",IF($C202="",1,$C202)*IF($Q202&lt;&gt;"",$Q202,IFERROR(INDEX(Products!$D$5:$D$54,MATCH($B202,Products!$A$5:$A$54,0)),0)))</f>
        <v/>
      </c>
      <c r="M202" s="14" t="str">
        <f aca="false">IF($J202="","",$J202-$K202-N($H202)-$L202)</f>
        <v/>
      </c>
      <c r="N202" s="15" t="str">
        <f aca="false">IF($J202="","",IF($J202&gt;0,$M202/$J202,""))</f>
        <v/>
      </c>
      <c r="O202" s="12"/>
      <c r="P202" s="12"/>
      <c r="Q202" s="11"/>
      <c r="R202" s="11"/>
      <c r="S202" s="12"/>
      <c r="T202" s="16" t="str">
        <f aca="false">IF($J202="","",IF($C202="",1,$C202))</f>
        <v/>
      </c>
    </row>
    <row r="203" customFormat="false" ht="15" hidden="false" customHeight="false" outlineLevel="0" collapsed="false">
      <c r="A203" s="7"/>
      <c r="B203" s="8"/>
      <c r="C203" s="9"/>
      <c r="D203" s="10"/>
      <c r="E203" s="11"/>
      <c r="F203" s="11"/>
      <c r="G203" s="8"/>
      <c r="H203" s="11"/>
      <c r="I203" s="12"/>
      <c r="J203" s="13" t="str">
        <f aca="false">IF(OR($A203="",$D203=""),"",IF($C203="",1,$C203)*$D203+N($E203)-N($F203))</f>
        <v/>
      </c>
      <c r="K203" s="13" t="str">
        <f aca="false">IF($J203="","",IF($R203&lt;&gt;"",$R203,IF($G203="",0,MAX(IFERROR(INDEX(Settings!$D$6:$D$15,MATCH($G203,Settings!$A$6:$A$15,0)),0),$J203*IFERROR(INDEX(Settings!$B$6:$B$15,MATCH($G203,Settings!$A$6:$A$15,0)),0)+IFERROR(INDEX(Settings!$C$6:$C$15,MATCH($G203,Settings!$A$6:$A$15,0)),0)))))</f>
        <v/>
      </c>
      <c r="L203" s="13" t="str">
        <f aca="false">IF($J203="","",IF($C203="",1,$C203)*IF($Q203&lt;&gt;"",$Q203,IFERROR(INDEX(Products!$D$5:$D$54,MATCH($B203,Products!$A$5:$A$54,0)),0)))</f>
        <v/>
      </c>
      <c r="M203" s="14" t="str">
        <f aca="false">IF($J203="","",$J203-$K203-N($H203)-$L203)</f>
        <v/>
      </c>
      <c r="N203" s="15" t="str">
        <f aca="false">IF($J203="","",IF($J203&gt;0,$M203/$J203,""))</f>
        <v/>
      </c>
      <c r="O203" s="12"/>
      <c r="P203" s="12"/>
      <c r="Q203" s="11"/>
      <c r="R203" s="11"/>
      <c r="S203" s="12"/>
      <c r="T203" s="16" t="str">
        <f aca="false">IF($J203="","",IF($C203="",1,$C203))</f>
        <v/>
      </c>
    </row>
    <row r="204" customFormat="false" ht="15" hidden="false" customHeight="false" outlineLevel="0" collapsed="false">
      <c r="A204" s="7"/>
      <c r="B204" s="8"/>
      <c r="C204" s="9"/>
      <c r="D204" s="10"/>
      <c r="E204" s="11"/>
      <c r="F204" s="11"/>
      <c r="G204" s="8"/>
      <c r="H204" s="11"/>
      <c r="I204" s="12"/>
      <c r="J204" s="13" t="str">
        <f aca="false">IF(OR($A204="",$D204=""),"",IF($C204="",1,$C204)*$D204+N($E204)-N($F204))</f>
        <v/>
      </c>
      <c r="K204" s="13" t="str">
        <f aca="false">IF($J204="","",IF($R204&lt;&gt;"",$R204,IF($G204="",0,MAX(IFERROR(INDEX(Settings!$D$6:$D$15,MATCH($G204,Settings!$A$6:$A$15,0)),0),$J204*IFERROR(INDEX(Settings!$B$6:$B$15,MATCH($G204,Settings!$A$6:$A$15,0)),0)+IFERROR(INDEX(Settings!$C$6:$C$15,MATCH($G204,Settings!$A$6:$A$15,0)),0)))))</f>
        <v/>
      </c>
      <c r="L204" s="13" t="str">
        <f aca="false">IF($J204="","",IF($C204="",1,$C204)*IF($Q204&lt;&gt;"",$Q204,IFERROR(INDEX(Products!$D$5:$D$54,MATCH($B204,Products!$A$5:$A$54,0)),0)))</f>
        <v/>
      </c>
      <c r="M204" s="14" t="str">
        <f aca="false">IF($J204="","",$J204-$K204-N($H204)-$L204)</f>
        <v/>
      </c>
      <c r="N204" s="15" t="str">
        <f aca="false">IF($J204="","",IF($J204&gt;0,$M204/$J204,""))</f>
        <v/>
      </c>
      <c r="O204" s="12"/>
      <c r="P204" s="12"/>
      <c r="Q204" s="11"/>
      <c r="R204" s="11"/>
      <c r="S204" s="12"/>
      <c r="T204" s="16" t="str">
        <f aca="false">IF($J204="","",IF($C204="",1,$C204))</f>
        <v/>
      </c>
    </row>
    <row r="205" customFormat="false" ht="15" hidden="false" customHeight="false" outlineLevel="0" collapsed="false">
      <c r="A205" s="7"/>
      <c r="B205" s="8"/>
      <c r="C205" s="9"/>
      <c r="D205" s="10"/>
      <c r="E205" s="11"/>
      <c r="F205" s="11"/>
      <c r="G205" s="8"/>
      <c r="H205" s="11"/>
      <c r="I205" s="12"/>
      <c r="J205" s="13" t="str">
        <f aca="false">IF(OR($A205="",$D205=""),"",IF($C205="",1,$C205)*$D205+N($E205)-N($F205))</f>
        <v/>
      </c>
      <c r="K205" s="13" t="str">
        <f aca="false">IF($J205="","",IF($R205&lt;&gt;"",$R205,IF($G205="",0,MAX(IFERROR(INDEX(Settings!$D$6:$D$15,MATCH($G205,Settings!$A$6:$A$15,0)),0),$J205*IFERROR(INDEX(Settings!$B$6:$B$15,MATCH($G205,Settings!$A$6:$A$15,0)),0)+IFERROR(INDEX(Settings!$C$6:$C$15,MATCH($G205,Settings!$A$6:$A$15,0)),0)))))</f>
        <v/>
      </c>
      <c r="L205" s="13" t="str">
        <f aca="false">IF($J205="","",IF($C205="",1,$C205)*IF($Q205&lt;&gt;"",$Q205,IFERROR(INDEX(Products!$D$5:$D$54,MATCH($B205,Products!$A$5:$A$54,0)),0)))</f>
        <v/>
      </c>
      <c r="M205" s="14" t="str">
        <f aca="false">IF($J205="","",$J205-$K205-N($H205)-$L205)</f>
        <v/>
      </c>
      <c r="N205" s="15" t="str">
        <f aca="false">IF($J205="","",IF($J205&gt;0,$M205/$J205,""))</f>
        <v/>
      </c>
      <c r="O205" s="12"/>
      <c r="P205" s="12"/>
      <c r="Q205" s="11"/>
      <c r="R205" s="11"/>
      <c r="S205" s="12"/>
      <c r="T205" s="16" t="str">
        <f aca="false">IF($J205="","",IF($C205="",1,$C205))</f>
        <v/>
      </c>
    </row>
    <row r="206" customFormat="false" ht="15" hidden="false" customHeight="false" outlineLevel="0" collapsed="false">
      <c r="A206" s="7"/>
      <c r="B206" s="8"/>
      <c r="C206" s="9"/>
      <c r="D206" s="10"/>
      <c r="E206" s="11"/>
      <c r="F206" s="11"/>
      <c r="G206" s="8"/>
      <c r="H206" s="11"/>
      <c r="I206" s="12"/>
      <c r="J206" s="13" t="str">
        <f aca="false">IF(OR($A206="",$D206=""),"",IF($C206="",1,$C206)*$D206+N($E206)-N($F206))</f>
        <v/>
      </c>
      <c r="K206" s="13" t="str">
        <f aca="false">IF($J206="","",IF($R206&lt;&gt;"",$R206,IF($G206="",0,MAX(IFERROR(INDEX(Settings!$D$6:$D$15,MATCH($G206,Settings!$A$6:$A$15,0)),0),$J206*IFERROR(INDEX(Settings!$B$6:$B$15,MATCH($G206,Settings!$A$6:$A$15,0)),0)+IFERROR(INDEX(Settings!$C$6:$C$15,MATCH($G206,Settings!$A$6:$A$15,0)),0)))))</f>
        <v/>
      </c>
      <c r="L206" s="13" t="str">
        <f aca="false">IF($J206="","",IF($C206="",1,$C206)*IF($Q206&lt;&gt;"",$Q206,IFERROR(INDEX(Products!$D$5:$D$54,MATCH($B206,Products!$A$5:$A$54,0)),0)))</f>
        <v/>
      </c>
      <c r="M206" s="14" t="str">
        <f aca="false">IF($J206="","",$J206-$K206-N($H206)-$L206)</f>
        <v/>
      </c>
      <c r="N206" s="15" t="str">
        <f aca="false">IF($J206="","",IF($J206&gt;0,$M206/$J206,""))</f>
        <v/>
      </c>
      <c r="O206" s="12"/>
      <c r="P206" s="12"/>
      <c r="Q206" s="11"/>
      <c r="R206" s="11"/>
      <c r="S206" s="12"/>
      <c r="T206" s="16" t="str">
        <f aca="false">IF($J206="","",IF($C206="",1,$C206))</f>
        <v/>
      </c>
    </row>
    <row r="207" customFormat="false" ht="15" hidden="false" customHeight="false" outlineLevel="0" collapsed="false">
      <c r="A207" s="7"/>
      <c r="B207" s="8"/>
      <c r="C207" s="9"/>
      <c r="D207" s="10"/>
      <c r="E207" s="11"/>
      <c r="F207" s="11"/>
      <c r="G207" s="8"/>
      <c r="H207" s="11"/>
      <c r="I207" s="12"/>
      <c r="J207" s="13" t="str">
        <f aca="false">IF(OR($A207="",$D207=""),"",IF($C207="",1,$C207)*$D207+N($E207)-N($F207))</f>
        <v/>
      </c>
      <c r="K207" s="13" t="str">
        <f aca="false">IF($J207="","",IF($R207&lt;&gt;"",$R207,IF($G207="",0,MAX(IFERROR(INDEX(Settings!$D$6:$D$15,MATCH($G207,Settings!$A$6:$A$15,0)),0),$J207*IFERROR(INDEX(Settings!$B$6:$B$15,MATCH($G207,Settings!$A$6:$A$15,0)),0)+IFERROR(INDEX(Settings!$C$6:$C$15,MATCH($G207,Settings!$A$6:$A$15,0)),0)))))</f>
        <v/>
      </c>
      <c r="L207" s="13" t="str">
        <f aca="false">IF($J207="","",IF($C207="",1,$C207)*IF($Q207&lt;&gt;"",$Q207,IFERROR(INDEX(Products!$D$5:$D$54,MATCH($B207,Products!$A$5:$A$54,0)),0)))</f>
        <v/>
      </c>
      <c r="M207" s="14" t="str">
        <f aca="false">IF($J207="","",$J207-$K207-N($H207)-$L207)</f>
        <v/>
      </c>
      <c r="N207" s="15" t="str">
        <f aca="false">IF($J207="","",IF($J207&gt;0,$M207/$J207,""))</f>
        <v/>
      </c>
      <c r="O207" s="12"/>
      <c r="P207" s="12"/>
      <c r="Q207" s="11"/>
      <c r="R207" s="11"/>
      <c r="S207" s="12"/>
      <c r="T207" s="16" t="str">
        <f aca="false">IF($J207="","",IF($C207="",1,$C207))</f>
        <v/>
      </c>
    </row>
    <row r="208" customFormat="false" ht="15" hidden="false" customHeight="false" outlineLevel="0" collapsed="false">
      <c r="A208" s="7"/>
      <c r="B208" s="8"/>
      <c r="C208" s="9"/>
      <c r="D208" s="10"/>
      <c r="E208" s="11"/>
      <c r="F208" s="11"/>
      <c r="G208" s="8"/>
      <c r="H208" s="11"/>
      <c r="I208" s="12"/>
      <c r="J208" s="13" t="str">
        <f aca="false">IF(OR($A208="",$D208=""),"",IF($C208="",1,$C208)*$D208+N($E208)-N($F208))</f>
        <v/>
      </c>
      <c r="K208" s="13" t="str">
        <f aca="false">IF($J208="","",IF($R208&lt;&gt;"",$R208,IF($G208="",0,MAX(IFERROR(INDEX(Settings!$D$6:$D$15,MATCH($G208,Settings!$A$6:$A$15,0)),0),$J208*IFERROR(INDEX(Settings!$B$6:$B$15,MATCH($G208,Settings!$A$6:$A$15,0)),0)+IFERROR(INDEX(Settings!$C$6:$C$15,MATCH($G208,Settings!$A$6:$A$15,0)),0)))))</f>
        <v/>
      </c>
      <c r="L208" s="13" t="str">
        <f aca="false">IF($J208="","",IF($C208="",1,$C208)*IF($Q208&lt;&gt;"",$Q208,IFERROR(INDEX(Products!$D$5:$D$54,MATCH($B208,Products!$A$5:$A$54,0)),0)))</f>
        <v/>
      </c>
      <c r="M208" s="14" t="str">
        <f aca="false">IF($J208="","",$J208-$K208-N($H208)-$L208)</f>
        <v/>
      </c>
      <c r="N208" s="15" t="str">
        <f aca="false">IF($J208="","",IF($J208&gt;0,$M208/$J208,""))</f>
        <v/>
      </c>
      <c r="O208" s="12"/>
      <c r="P208" s="12"/>
      <c r="Q208" s="11"/>
      <c r="R208" s="11"/>
      <c r="S208" s="12"/>
      <c r="T208" s="16" t="str">
        <f aca="false">IF($J208="","",IF($C208="",1,$C208))</f>
        <v/>
      </c>
    </row>
    <row r="209" customFormat="false" ht="15" hidden="false" customHeight="false" outlineLevel="0" collapsed="false">
      <c r="A209" s="7"/>
      <c r="B209" s="8"/>
      <c r="C209" s="9"/>
      <c r="D209" s="10"/>
      <c r="E209" s="11"/>
      <c r="F209" s="11"/>
      <c r="G209" s="8"/>
      <c r="H209" s="11"/>
      <c r="I209" s="12"/>
      <c r="J209" s="13" t="str">
        <f aca="false">IF(OR($A209="",$D209=""),"",IF($C209="",1,$C209)*$D209+N($E209)-N($F209))</f>
        <v/>
      </c>
      <c r="K209" s="13" t="str">
        <f aca="false">IF($J209="","",IF($R209&lt;&gt;"",$R209,IF($G209="",0,MAX(IFERROR(INDEX(Settings!$D$6:$D$15,MATCH($G209,Settings!$A$6:$A$15,0)),0),$J209*IFERROR(INDEX(Settings!$B$6:$B$15,MATCH($G209,Settings!$A$6:$A$15,0)),0)+IFERROR(INDEX(Settings!$C$6:$C$15,MATCH($G209,Settings!$A$6:$A$15,0)),0)))))</f>
        <v/>
      </c>
      <c r="L209" s="13" t="str">
        <f aca="false">IF($J209="","",IF($C209="",1,$C209)*IF($Q209&lt;&gt;"",$Q209,IFERROR(INDEX(Products!$D$5:$D$54,MATCH($B209,Products!$A$5:$A$54,0)),0)))</f>
        <v/>
      </c>
      <c r="M209" s="14" t="str">
        <f aca="false">IF($J209="","",$J209-$K209-N($H209)-$L209)</f>
        <v/>
      </c>
      <c r="N209" s="15" t="str">
        <f aca="false">IF($J209="","",IF($J209&gt;0,$M209/$J209,""))</f>
        <v/>
      </c>
      <c r="O209" s="12"/>
      <c r="P209" s="12"/>
      <c r="Q209" s="11"/>
      <c r="R209" s="11"/>
      <c r="S209" s="12"/>
      <c r="T209" s="16" t="str">
        <f aca="false">IF($J209="","",IF($C209="",1,$C209))</f>
        <v/>
      </c>
    </row>
    <row r="210" customFormat="false" ht="15" hidden="false" customHeight="false" outlineLevel="0" collapsed="false">
      <c r="A210" s="7"/>
      <c r="B210" s="8"/>
      <c r="C210" s="9"/>
      <c r="D210" s="10"/>
      <c r="E210" s="11"/>
      <c r="F210" s="11"/>
      <c r="G210" s="8"/>
      <c r="H210" s="11"/>
      <c r="I210" s="12"/>
      <c r="J210" s="13" t="str">
        <f aca="false">IF(OR($A210="",$D210=""),"",IF($C210="",1,$C210)*$D210+N($E210)-N($F210))</f>
        <v/>
      </c>
      <c r="K210" s="13" t="str">
        <f aca="false">IF($J210="","",IF($R210&lt;&gt;"",$R210,IF($G210="",0,MAX(IFERROR(INDEX(Settings!$D$6:$D$15,MATCH($G210,Settings!$A$6:$A$15,0)),0),$J210*IFERROR(INDEX(Settings!$B$6:$B$15,MATCH($G210,Settings!$A$6:$A$15,0)),0)+IFERROR(INDEX(Settings!$C$6:$C$15,MATCH($G210,Settings!$A$6:$A$15,0)),0)))))</f>
        <v/>
      </c>
      <c r="L210" s="13" t="str">
        <f aca="false">IF($J210="","",IF($C210="",1,$C210)*IF($Q210&lt;&gt;"",$Q210,IFERROR(INDEX(Products!$D$5:$D$54,MATCH($B210,Products!$A$5:$A$54,0)),0)))</f>
        <v/>
      </c>
      <c r="M210" s="14" t="str">
        <f aca="false">IF($J210="","",$J210-$K210-N($H210)-$L210)</f>
        <v/>
      </c>
      <c r="N210" s="15" t="str">
        <f aca="false">IF($J210="","",IF($J210&gt;0,$M210/$J210,""))</f>
        <v/>
      </c>
      <c r="O210" s="12"/>
      <c r="P210" s="12"/>
      <c r="Q210" s="11"/>
      <c r="R210" s="11"/>
      <c r="S210" s="12"/>
      <c r="T210" s="16" t="str">
        <f aca="false">IF($J210="","",IF($C210="",1,$C210))</f>
        <v/>
      </c>
    </row>
    <row r="211" customFormat="false" ht="15" hidden="false" customHeight="false" outlineLevel="0" collapsed="false">
      <c r="A211" s="7"/>
      <c r="B211" s="8"/>
      <c r="C211" s="9"/>
      <c r="D211" s="10"/>
      <c r="E211" s="11"/>
      <c r="F211" s="11"/>
      <c r="G211" s="8"/>
      <c r="H211" s="11"/>
      <c r="I211" s="12"/>
      <c r="J211" s="13" t="str">
        <f aca="false">IF(OR($A211="",$D211=""),"",IF($C211="",1,$C211)*$D211+N($E211)-N($F211))</f>
        <v/>
      </c>
      <c r="K211" s="13" t="str">
        <f aca="false">IF($J211="","",IF($R211&lt;&gt;"",$R211,IF($G211="",0,MAX(IFERROR(INDEX(Settings!$D$6:$D$15,MATCH($G211,Settings!$A$6:$A$15,0)),0),$J211*IFERROR(INDEX(Settings!$B$6:$B$15,MATCH($G211,Settings!$A$6:$A$15,0)),0)+IFERROR(INDEX(Settings!$C$6:$C$15,MATCH($G211,Settings!$A$6:$A$15,0)),0)))))</f>
        <v/>
      </c>
      <c r="L211" s="13" t="str">
        <f aca="false">IF($J211="","",IF($C211="",1,$C211)*IF($Q211&lt;&gt;"",$Q211,IFERROR(INDEX(Products!$D$5:$D$54,MATCH($B211,Products!$A$5:$A$54,0)),0)))</f>
        <v/>
      </c>
      <c r="M211" s="14" t="str">
        <f aca="false">IF($J211="","",$J211-$K211-N($H211)-$L211)</f>
        <v/>
      </c>
      <c r="N211" s="15" t="str">
        <f aca="false">IF($J211="","",IF($J211&gt;0,$M211/$J211,""))</f>
        <v/>
      </c>
      <c r="O211" s="12"/>
      <c r="P211" s="12"/>
      <c r="Q211" s="11"/>
      <c r="R211" s="11"/>
      <c r="S211" s="12"/>
      <c r="T211" s="16" t="str">
        <f aca="false">IF($J211="","",IF($C211="",1,$C211))</f>
        <v/>
      </c>
    </row>
    <row r="212" customFormat="false" ht="15" hidden="false" customHeight="false" outlineLevel="0" collapsed="false">
      <c r="A212" s="7"/>
      <c r="B212" s="8"/>
      <c r="C212" s="9"/>
      <c r="D212" s="10"/>
      <c r="E212" s="11"/>
      <c r="F212" s="11"/>
      <c r="G212" s="8"/>
      <c r="H212" s="11"/>
      <c r="I212" s="12"/>
      <c r="J212" s="13" t="str">
        <f aca="false">IF(OR($A212="",$D212=""),"",IF($C212="",1,$C212)*$D212+N($E212)-N($F212))</f>
        <v/>
      </c>
      <c r="K212" s="13" t="str">
        <f aca="false">IF($J212="","",IF($R212&lt;&gt;"",$R212,IF($G212="",0,MAX(IFERROR(INDEX(Settings!$D$6:$D$15,MATCH($G212,Settings!$A$6:$A$15,0)),0),$J212*IFERROR(INDEX(Settings!$B$6:$B$15,MATCH($G212,Settings!$A$6:$A$15,0)),0)+IFERROR(INDEX(Settings!$C$6:$C$15,MATCH($G212,Settings!$A$6:$A$15,0)),0)))))</f>
        <v/>
      </c>
      <c r="L212" s="13" t="str">
        <f aca="false">IF($J212="","",IF($C212="",1,$C212)*IF($Q212&lt;&gt;"",$Q212,IFERROR(INDEX(Products!$D$5:$D$54,MATCH($B212,Products!$A$5:$A$54,0)),0)))</f>
        <v/>
      </c>
      <c r="M212" s="14" t="str">
        <f aca="false">IF($J212="","",$J212-$K212-N($H212)-$L212)</f>
        <v/>
      </c>
      <c r="N212" s="15" t="str">
        <f aca="false">IF($J212="","",IF($J212&gt;0,$M212/$J212,""))</f>
        <v/>
      </c>
      <c r="O212" s="12"/>
      <c r="P212" s="12"/>
      <c r="Q212" s="11"/>
      <c r="R212" s="11"/>
      <c r="S212" s="12"/>
      <c r="T212" s="16" t="str">
        <f aca="false">IF($J212="","",IF($C212="",1,$C212))</f>
        <v/>
      </c>
    </row>
    <row r="213" customFormat="false" ht="15" hidden="false" customHeight="false" outlineLevel="0" collapsed="false">
      <c r="A213" s="7"/>
      <c r="B213" s="8"/>
      <c r="C213" s="9"/>
      <c r="D213" s="10"/>
      <c r="E213" s="11"/>
      <c r="F213" s="11"/>
      <c r="G213" s="8"/>
      <c r="H213" s="11"/>
      <c r="I213" s="12"/>
      <c r="J213" s="13" t="str">
        <f aca="false">IF(OR($A213="",$D213=""),"",IF($C213="",1,$C213)*$D213+N($E213)-N($F213))</f>
        <v/>
      </c>
      <c r="K213" s="13" t="str">
        <f aca="false">IF($J213="","",IF($R213&lt;&gt;"",$R213,IF($G213="",0,MAX(IFERROR(INDEX(Settings!$D$6:$D$15,MATCH($G213,Settings!$A$6:$A$15,0)),0),$J213*IFERROR(INDEX(Settings!$B$6:$B$15,MATCH($G213,Settings!$A$6:$A$15,0)),0)+IFERROR(INDEX(Settings!$C$6:$C$15,MATCH($G213,Settings!$A$6:$A$15,0)),0)))))</f>
        <v/>
      </c>
      <c r="L213" s="13" t="str">
        <f aca="false">IF($J213="","",IF($C213="",1,$C213)*IF($Q213&lt;&gt;"",$Q213,IFERROR(INDEX(Products!$D$5:$D$54,MATCH($B213,Products!$A$5:$A$54,0)),0)))</f>
        <v/>
      </c>
      <c r="M213" s="14" t="str">
        <f aca="false">IF($J213="","",$J213-$K213-N($H213)-$L213)</f>
        <v/>
      </c>
      <c r="N213" s="15" t="str">
        <f aca="false">IF($J213="","",IF($J213&gt;0,$M213/$J213,""))</f>
        <v/>
      </c>
      <c r="O213" s="12"/>
      <c r="P213" s="12"/>
      <c r="Q213" s="11"/>
      <c r="R213" s="11"/>
      <c r="S213" s="12"/>
      <c r="T213" s="16" t="str">
        <f aca="false">IF($J213="","",IF($C213="",1,$C213))</f>
        <v/>
      </c>
    </row>
    <row r="214" customFormat="false" ht="15" hidden="false" customHeight="false" outlineLevel="0" collapsed="false">
      <c r="A214" s="7"/>
      <c r="B214" s="8"/>
      <c r="C214" s="9"/>
      <c r="D214" s="10"/>
      <c r="E214" s="11"/>
      <c r="F214" s="11"/>
      <c r="G214" s="8"/>
      <c r="H214" s="11"/>
      <c r="I214" s="12"/>
      <c r="J214" s="13" t="str">
        <f aca="false">IF(OR($A214="",$D214=""),"",IF($C214="",1,$C214)*$D214+N($E214)-N($F214))</f>
        <v/>
      </c>
      <c r="K214" s="13" t="str">
        <f aca="false">IF($J214="","",IF($R214&lt;&gt;"",$R214,IF($G214="",0,MAX(IFERROR(INDEX(Settings!$D$6:$D$15,MATCH($G214,Settings!$A$6:$A$15,0)),0),$J214*IFERROR(INDEX(Settings!$B$6:$B$15,MATCH($G214,Settings!$A$6:$A$15,0)),0)+IFERROR(INDEX(Settings!$C$6:$C$15,MATCH($G214,Settings!$A$6:$A$15,0)),0)))))</f>
        <v/>
      </c>
      <c r="L214" s="13" t="str">
        <f aca="false">IF($J214="","",IF($C214="",1,$C214)*IF($Q214&lt;&gt;"",$Q214,IFERROR(INDEX(Products!$D$5:$D$54,MATCH($B214,Products!$A$5:$A$54,0)),0)))</f>
        <v/>
      </c>
      <c r="M214" s="14" t="str">
        <f aca="false">IF($J214="","",$J214-$K214-N($H214)-$L214)</f>
        <v/>
      </c>
      <c r="N214" s="15" t="str">
        <f aca="false">IF($J214="","",IF($J214&gt;0,$M214/$J214,""))</f>
        <v/>
      </c>
      <c r="O214" s="12"/>
      <c r="P214" s="12"/>
      <c r="Q214" s="11"/>
      <c r="R214" s="11"/>
      <c r="S214" s="12"/>
      <c r="T214" s="16" t="str">
        <f aca="false">IF($J214="","",IF($C214="",1,$C214))</f>
        <v/>
      </c>
    </row>
    <row r="215" customFormat="false" ht="15" hidden="false" customHeight="false" outlineLevel="0" collapsed="false">
      <c r="A215" s="7"/>
      <c r="B215" s="8"/>
      <c r="C215" s="9"/>
      <c r="D215" s="10"/>
      <c r="E215" s="11"/>
      <c r="F215" s="11"/>
      <c r="G215" s="8"/>
      <c r="H215" s="11"/>
      <c r="I215" s="12"/>
      <c r="J215" s="13" t="str">
        <f aca="false">IF(OR($A215="",$D215=""),"",IF($C215="",1,$C215)*$D215+N($E215)-N($F215))</f>
        <v/>
      </c>
      <c r="K215" s="13" t="str">
        <f aca="false">IF($J215="","",IF($R215&lt;&gt;"",$R215,IF($G215="",0,MAX(IFERROR(INDEX(Settings!$D$6:$D$15,MATCH($G215,Settings!$A$6:$A$15,0)),0),$J215*IFERROR(INDEX(Settings!$B$6:$B$15,MATCH($G215,Settings!$A$6:$A$15,0)),0)+IFERROR(INDEX(Settings!$C$6:$C$15,MATCH($G215,Settings!$A$6:$A$15,0)),0)))))</f>
        <v/>
      </c>
      <c r="L215" s="13" t="str">
        <f aca="false">IF($J215="","",IF($C215="",1,$C215)*IF($Q215&lt;&gt;"",$Q215,IFERROR(INDEX(Products!$D$5:$D$54,MATCH($B215,Products!$A$5:$A$54,0)),0)))</f>
        <v/>
      </c>
      <c r="M215" s="14" t="str">
        <f aca="false">IF($J215="","",$J215-$K215-N($H215)-$L215)</f>
        <v/>
      </c>
      <c r="N215" s="15" t="str">
        <f aca="false">IF($J215="","",IF($J215&gt;0,$M215/$J215,""))</f>
        <v/>
      </c>
      <c r="O215" s="12"/>
      <c r="P215" s="12"/>
      <c r="Q215" s="11"/>
      <c r="R215" s="11"/>
      <c r="S215" s="12"/>
      <c r="T215" s="16" t="str">
        <f aca="false">IF($J215="","",IF($C215="",1,$C215))</f>
        <v/>
      </c>
    </row>
    <row r="216" customFormat="false" ht="15" hidden="false" customHeight="false" outlineLevel="0" collapsed="false">
      <c r="A216" s="7"/>
      <c r="B216" s="8"/>
      <c r="C216" s="9"/>
      <c r="D216" s="10"/>
      <c r="E216" s="11"/>
      <c r="F216" s="11"/>
      <c r="G216" s="8"/>
      <c r="H216" s="11"/>
      <c r="I216" s="12"/>
      <c r="J216" s="13" t="str">
        <f aca="false">IF(OR($A216="",$D216=""),"",IF($C216="",1,$C216)*$D216+N($E216)-N($F216))</f>
        <v/>
      </c>
      <c r="K216" s="13" t="str">
        <f aca="false">IF($J216="","",IF($R216&lt;&gt;"",$R216,IF($G216="",0,MAX(IFERROR(INDEX(Settings!$D$6:$D$15,MATCH($G216,Settings!$A$6:$A$15,0)),0),$J216*IFERROR(INDEX(Settings!$B$6:$B$15,MATCH($G216,Settings!$A$6:$A$15,0)),0)+IFERROR(INDEX(Settings!$C$6:$C$15,MATCH($G216,Settings!$A$6:$A$15,0)),0)))))</f>
        <v/>
      </c>
      <c r="L216" s="13" t="str">
        <f aca="false">IF($J216="","",IF($C216="",1,$C216)*IF($Q216&lt;&gt;"",$Q216,IFERROR(INDEX(Products!$D$5:$D$54,MATCH($B216,Products!$A$5:$A$54,0)),0)))</f>
        <v/>
      </c>
      <c r="M216" s="14" t="str">
        <f aca="false">IF($J216="","",$J216-$K216-N($H216)-$L216)</f>
        <v/>
      </c>
      <c r="N216" s="15" t="str">
        <f aca="false">IF($J216="","",IF($J216&gt;0,$M216/$J216,""))</f>
        <v/>
      </c>
      <c r="O216" s="12"/>
      <c r="P216" s="12"/>
      <c r="Q216" s="11"/>
      <c r="R216" s="11"/>
      <c r="S216" s="12"/>
      <c r="T216" s="16" t="str">
        <f aca="false">IF($J216="","",IF($C216="",1,$C216))</f>
        <v/>
      </c>
    </row>
    <row r="217" customFormat="false" ht="15" hidden="false" customHeight="false" outlineLevel="0" collapsed="false">
      <c r="A217" s="7"/>
      <c r="B217" s="8"/>
      <c r="C217" s="9"/>
      <c r="D217" s="10"/>
      <c r="E217" s="11"/>
      <c r="F217" s="11"/>
      <c r="G217" s="8"/>
      <c r="H217" s="11"/>
      <c r="I217" s="12"/>
      <c r="J217" s="13" t="str">
        <f aca="false">IF(OR($A217="",$D217=""),"",IF($C217="",1,$C217)*$D217+N($E217)-N($F217))</f>
        <v/>
      </c>
      <c r="K217" s="13" t="str">
        <f aca="false">IF($J217="","",IF($R217&lt;&gt;"",$R217,IF($G217="",0,MAX(IFERROR(INDEX(Settings!$D$6:$D$15,MATCH($G217,Settings!$A$6:$A$15,0)),0),$J217*IFERROR(INDEX(Settings!$B$6:$B$15,MATCH($G217,Settings!$A$6:$A$15,0)),0)+IFERROR(INDEX(Settings!$C$6:$C$15,MATCH($G217,Settings!$A$6:$A$15,0)),0)))))</f>
        <v/>
      </c>
      <c r="L217" s="13" t="str">
        <f aca="false">IF($J217="","",IF($C217="",1,$C217)*IF($Q217&lt;&gt;"",$Q217,IFERROR(INDEX(Products!$D$5:$D$54,MATCH($B217,Products!$A$5:$A$54,0)),0)))</f>
        <v/>
      </c>
      <c r="M217" s="14" t="str">
        <f aca="false">IF($J217="","",$J217-$K217-N($H217)-$L217)</f>
        <v/>
      </c>
      <c r="N217" s="15" t="str">
        <f aca="false">IF($J217="","",IF($J217&gt;0,$M217/$J217,""))</f>
        <v/>
      </c>
      <c r="O217" s="12"/>
      <c r="P217" s="12"/>
      <c r="Q217" s="11"/>
      <c r="R217" s="11"/>
      <c r="S217" s="12"/>
      <c r="T217" s="16" t="str">
        <f aca="false">IF($J217="","",IF($C217="",1,$C217))</f>
        <v/>
      </c>
    </row>
    <row r="218" customFormat="false" ht="15" hidden="false" customHeight="false" outlineLevel="0" collapsed="false">
      <c r="A218" s="7"/>
      <c r="B218" s="8"/>
      <c r="C218" s="9"/>
      <c r="D218" s="10"/>
      <c r="E218" s="11"/>
      <c r="F218" s="11"/>
      <c r="G218" s="8"/>
      <c r="H218" s="11"/>
      <c r="I218" s="12"/>
      <c r="J218" s="13" t="str">
        <f aca="false">IF(OR($A218="",$D218=""),"",IF($C218="",1,$C218)*$D218+N($E218)-N($F218))</f>
        <v/>
      </c>
      <c r="K218" s="13" t="str">
        <f aca="false">IF($J218="","",IF($R218&lt;&gt;"",$R218,IF($G218="",0,MAX(IFERROR(INDEX(Settings!$D$6:$D$15,MATCH($G218,Settings!$A$6:$A$15,0)),0),$J218*IFERROR(INDEX(Settings!$B$6:$B$15,MATCH($G218,Settings!$A$6:$A$15,0)),0)+IFERROR(INDEX(Settings!$C$6:$C$15,MATCH($G218,Settings!$A$6:$A$15,0)),0)))))</f>
        <v/>
      </c>
      <c r="L218" s="13" t="str">
        <f aca="false">IF($J218="","",IF($C218="",1,$C218)*IF($Q218&lt;&gt;"",$Q218,IFERROR(INDEX(Products!$D$5:$D$54,MATCH($B218,Products!$A$5:$A$54,0)),0)))</f>
        <v/>
      </c>
      <c r="M218" s="14" t="str">
        <f aca="false">IF($J218="","",$J218-$K218-N($H218)-$L218)</f>
        <v/>
      </c>
      <c r="N218" s="15" t="str">
        <f aca="false">IF($J218="","",IF($J218&gt;0,$M218/$J218,""))</f>
        <v/>
      </c>
      <c r="O218" s="12"/>
      <c r="P218" s="12"/>
      <c r="Q218" s="11"/>
      <c r="R218" s="11"/>
      <c r="S218" s="12"/>
      <c r="T218" s="16" t="str">
        <f aca="false">IF($J218="","",IF($C218="",1,$C218))</f>
        <v/>
      </c>
    </row>
    <row r="219" customFormat="false" ht="15" hidden="false" customHeight="false" outlineLevel="0" collapsed="false">
      <c r="A219" s="7"/>
      <c r="B219" s="8"/>
      <c r="C219" s="9"/>
      <c r="D219" s="10"/>
      <c r="E219" s="11"/>
      <c r="F219" s="11"/>
      <c r="G219" s="8"/>
      <c r="H219" s="11"/>
      <c r="I219" s="12"/>
      <c r="J219" s="13" t="str">
        <f aca="false">IF(OR($A219="",$D219=""),"",IF($C219="",1,$C219)*$D219+N($E219)-N($F219))</f>
        <v/>
      </c>
      <c r="K219" s="13" t="str">
        <f aca="false">IF($J219="","",IF($R219&lt;&gt;"",$R219,IF($G219="",0,MAX(IFERROR(INDEX(Settings!$D$6:$D$15,MATCH($G219,Settings!$A$6:$A$15,0)),0),$J219*IFERROR(INDEX(Settings!$B$6:$B$15,MATCH($G219,Settings!$A$6:$A$15,0)),0)+IFERROR(INDEX(Settings!$C$6:$C$15,MATCH($G219,Settings!$A$6:$A$15,0)),0)))))</f>
        <v/>
      </c>
      <c r="L219" s="13" t="str">
        <f aca="false">IF($J219="","",IF($C219="",1,$C219)*IF($Q219&lt;&gt;"",$Q219,IFERROR(INDEX(Products!$D$5:$D$54,MATCH($B219,Products!$A$5:$A$54,0)),0)))</f>
        <v/>
      </c>
      <c r="M219" s="14" t="str">
        <f aca="false">IF($J219="","",$J219-$K219-N($H219)-$L219)</f>
        <v/>
      </c>
      <c r="N219" s="15" t="str">
        <f aca="false">IF($J219="","",IF($J219&gt;0,$M219/$J219,""))</f>
        <v/>
      </c>
      <c r="O219" s="12"/>
      <c r="P219" s="12"/>
      <c r="Q219" s="11"/>
      <c r="R219" s="11"/>
      <c r="S219" s="12"/>
      <c r="T219" s="16" t="str">
        <f aca="false">IF($J219="","",IF($C219="",1,$C219))</f>
        <v/>
      </c>
    </row>
    <row r="220" customFormat="false" ht="15" hidden="false" customHeight="false" outlineLevel="0" collapsed="false">
      <c r="A220" s="7"/>
      <c r="B220" s="8"/>
      <c r="C220" s="9"/>
      <c r="D220" s="10"/>
      <c r="E220" s="11"/>
      <c r="F220" s="11"/>
      <c r="G220" s="8"/>
      <c r="H220" s="11"/>
      <c r="I220" s="12"/>
      <c r="J220" s="13" t="str">
        <f aca="false">IF(OR($A220="",$D220=""),"",IF($C220="",1,$C220)*$D220+N($E220)-N($F220))</f>
        <v/>
      </c>
      <c r="K220" s="13" t="str">
        <f aca="false">IF($J220="","",IF($R220&lt;&gt;"",$R220,IF($G220="",0,MAX(IFERROR(INDEX(Settings!$D$6:$D$15,MATCH($G220,Settings!$A$6:$A$15,0)),0),$J220*IFERROR(INDEX(Settings!$B$6:$B$15,MATCH($G220,Settings!$A$6:$A$15,0)),0)+IFERROR(INDEX(Settings!$C$6:$C$15,MATCH($G220,Settings!$A$6:$A$15,0)),0)))))</f>
        <v/>
      </c>
      <c r="L220" s="13" t="str">
        <f aca="false">IF($J220="","",IF($C220="",1,$C220)*IF($Q220&lt;&gt;"",$Q220,IFERROR(INDEX(Products!$D$5:$D$54,MATCH($B220,Products!$A$5:$A$54,0)),0)))</f>
        <v/>
      </c>
      <c r="M220" s="14" t="str">
        <f aca="false">IF($J220="","",$J220-$K220-N($H220)-$L220)</f>
        <v/>
      </c>
      <c r="N220" s="15" t="str">
        <f aca="false">IF($J220="","",IF($J220&gt;0,$M220/$J220,""))</f>
        <v/>
      </c>
      <c r="O220" s="12"/>
      <c r="P220" s="12"/>
      <c r="Q220" s="11"/>
      <c r="R220" s="11"/>
      <c r="S220" s="12"/>
      <c r="T220" s="16" t="str">
        <f aca="false">IF($J220="","",IF($C220="",1,$C220))</f>
        <v/>
      </c>
    </row>
    <row r="221" customFormat="false" ht="15" hidden="false" customHeight="false" outlineLevel="0" collapsed="false">
      <c r="A221" s="7"/>
      <c r="B221" s="8"/>
      <c r="C221" s="9"/>
      <c r="D221" s="10"/>
      <c r="E221" s="11"/>
      <c r="F221" s="11"/>
      <c r="G221" s="8"/>
      <c r="H221" s="11"/>
      <c r="I221" s="12"/>
      <c r="J221" s="13" t="str">
        <f aca="false">IF(OR($A221="",$D221=""),"",IF($C221="",1,$C221)*$D221+N($E221)-N($F221))</f>
        <v/>
      </c>
      <c r="K221" s="13" t="str">
        <f aca="false">IF($J221="","",IF($R221&lt;&gt;"",$R221,IF($G221="",0,MAX(IFERROR(INDEX(Settings!$D$6:$D$15,MATCH($G221,Settings!$A$6:$A$15,0)),0),$J221*IFERROR(INDEX(Settings!$B$6:$B$15,MATCH($G221,Settings!$A$6:$A$15,0)),0)+IFERROR(INDEX(Settings!$C$6:$C$15,MATCH($G221,Settings!$A$6:$A$15,0)),0)))))</f>
        <v/>
      </c>
      <c r="L221" s="13" t="str">
        <f aca="false">IF($J221="","",IF($C221="",1,$C221)*IF($Q221&lt;&gt;"",$Q221,IFERROR(INDEX(Products!$D$5:$D$54,MATCH($B221,Products!$A$5:$A$54,0)),0)))</f>
        <v/>
      </c>
      <c r="M221" s="14" t="str">
        <f aca="false">IF($J221="","",$J221-$K221-N($H221)-$L221)</f>
        <v/>
      </c>
      <c r="N221" s="15" t="str">
        <f aca="false">IF($J221="","",IF($J221&gt;0,$M221/$J221,""))</f>
        <v/>
      </c>
      <c r="O221" s="12"/>
      <c r="P221" s="12"/>
      <c r="Q221" s="11"/>
      <c r="R221" s="11"/>
      <c r="S221" s="12"/>
      <c r="T221" s="16" t="str">
        <f aca="false">IF($J221="","",IF($C221="",1,$C221))</f>
        <v/>
      </c>
    </row>
    <row r="222" customFormat="false" ht="15" hidden="false" customHeight="false" outlineLevel="0" collapsed="false">
      <c r="A222" s="7"/>
      <c r="B222" s="8"/>
      <c r="C222" s="9"/>
      <c r="D222" s="10"/>
      <c r="E222" s="11"/>
      <c r="F222" s="11"/>
      <c r="G222" s="8"/>
      <c r="H222" s="11"/>
      <c r="I222" s="12"/>
      <c r="J222" s="13" t="str">
        <f aca="false">IF(OR($A222="",$D222=""),"",IF($C222="",1,$C222)*$D222+N($E222)-N($F222))</f>
        <v/>
      </c>
      <c r="K222" s="13" t="str">
        <f aca="false">IF($J222="","",IF($R222&lt;&gt;"",$R222,IF($G222="",0,MAX(IFERROR(INDEX(Settings!$D$6:$D$15,MATCH($G222,Settings!$A$6:$A$15,0)),0),$J222*IFERROR(INDEX(Settings!$B$6:$B$15,MATCH($G222,Settings!$A$6:$A$15,0)),0)+IFERROR(INDEX(Settings!$C$6:$C$15,MATCH($G222,Settings!$A$6:$A$15,0)),0)))))</f>
        <v/>
      </c>
      <c r="L222" s="13" t="str">
        <f aca="false">IF($J222="","",IF($C222="",1,$C222)*IF($Q222&lt;&gt;"",$Q222,IFERROR(INDEX(Products!$D$5:$D$54,MATCH($B222,Products!$A$5:$A$54,0)),0)))</f>
        <v/>
      </c>
      <c r="M222" s="14" t="str">
        <f aca="false">IF($J222="","",$J222-$K222-N($H222)-$L222)</f>
        <v/>
      </c>
      <c r="N222" s="15" t="str">
        <f aca="false">IF($J222="","",IF($J222&gt;0,$M222/$J222,""))</f>
        <v/>
      </c>
      <c r="O222" s="12"/>
      <c r="P222" s="12"/>
      <c r="Q222" s="11"/>
      <c r="R222" s="11"/>
      <c r="S222" s="12"/>
      <c r="T222" s="16" t="str">
        <f aca="false">IF($J222="","",IF($C222="",1,$C222))</f>
        <v/>
      </c>
    </row>
    <row r="223" customFormat="false" ht="15" hidden="false" customHeight="false" outlineLevel="0" collapsed="false">
      <c r="A223" s="7"/>
      <c r="B223" s="8"/>
      <c r="C223" s="9"/>
      <c r="D223" s="10"/>
      <c r="E223" s="11"/>
      <c r="F223" s="11"/>
      <c r="G223" s="8"/>
      <c r="H223" s="11"/>
      <c r="I223" s="12"/>
      <c r="J223" s="13" t="str">
        <f aca="false">IF(OR($A223="",$D223=""),"",IF($C223="",1,$C223)*$D223+N($E223)-N($F223))</f>
        <v/>
      </c>
      <c r="K223" s="13" t="str">
        <f aca="false">IF($J223="","",IF($R223&lt;&gt;"",$R223,IF($G223="",0,MAX(IFERROR(INDEX(Settings!$D$6:$D$15,MATCH($G223,Settings!$A$6:$A$15,0)),0),$J223*IFERROR(INDEX(Settings!$B$6:$B$15,MATCH($G223,Settings!$A$6:$A$15,0)),0)+IFERROR(INDEX(Settings!$C$6:$C$15,MATCH($G223,Settings!$A$6:$A$15,0)),0)))))</f>
        <v/>
      </c>
      <c r="L223" s="13" t="str">
        <f aca="false">IF($J223="","",IF($C223="",1,$C223)*IF($Q223&lt;&gt;"",$Q223,IFERROR(INDEX(Products!$D$5:$D$54,MATCH($B223,Products!$A$5:$A$54,0)),0)))</f>
        <v/>
      </c>
      <c r="M223" s="14" t="str">
        <f aca="false">IF($J223="","",$J223-$K223-N($H223)-$L223)</f>
        <v/>
      </c>
      <c r="N223" s="15" t="str">
        <f aca="false">IF($J223="","",IF($J223&gt;0,$M223/$J223,""))</f>
        <v/>
      </c>
      <c r="O223" s="12"/>
      <c r="P223" s="12"/>
      <c r="Q223" s="11"/>
      <c r="R223" s="11"/>
      <c r="S223" s="12"/>
      <c r="T223" s="16" t="str">
        <f aca="false">IF($J223="","",IF($C223="",1,$C223))</f>
        <v/>
      </c>
    </row>
    <row r="224" customFormat="false" ht="15" hidden="false" customHeight="false" outlineLevel="0" collapsed="false">
      <c r="A224" s="7"/>
      <c r="B224" s="8"/>
      <c r="C224" s="9"/>
      <c r="D224" s="10"/>
      <c r="E224" s="11"/>
      <c r="F224" s="11"/>
      <c r="G224" s="8"/>
      <c r="H224" s="11"/>
      <c r="I224" s="12"/>
      <c r="J224" s="13" t="str">
        <f aca="false">IF(OR($A224="",$D224=""),"",IF($C224="",1,$C224)*$D224+N($E224)-N($F224))</f>
        <v/>
      </c>
      <c r="K224" s="13" t="str">
        <f aca="false">IF($J224="","",IF($R224&lt;&gt;"",$R224,IF($G224="",0,MAX(IFERROR(INDEX(Settings!$D$6:$D$15,MATCH($G224,Settings!$A$6:$A$15,0)),0),$J224*IFERROR(INDEX(Settings!$B$6:$B$15,MATCH($G224,Settings!$A$6:$A$15,0)),0)+IFERROR(INDEX(Settings!$C$6:$C$15,MATCH($G224,Settings!$A$6:$A$15,0)),0)))))</f>
        <v/>
      </c>
      <c r="L224" s="13" t="str">
        <f aca="false">IF($J224="","",IF($C224="",1,$C224)*IF($Q224&lt;&gt;"",$Q224,IFERROR(INDEX(Products!$D$5:$D$54,MATCH($B224,Products!$A$5:$A$54,0)),0)))</f>
        <v/>
      </c>
      <c r="M224" s="14" t="str">
        <f aca="false">IF($J224="","",$J224-$K224-N($H224)-$L224)</f>
        <v/>
      </c>
      <c r="N224" s="15" t="str">
        <f aca="false">IF($J224="","",IF($J224&gt;0,$M224/$J224,""))</f>
        <v/>
      </c>
      <c r="O224" s="12"/>
      <c r="P224" s="12"/>
      <c r="Q224" s="11"/>
      <c r="R224" s="11"/>
      <c r="S224" s="12"/>
      <c r="T224" s="16" t="str">
        <f aca="false">IF($J224="","",IF($C224="",1,$C224))</f>
        <v/>
      </c>
    </row>
    <row r="225" customFormat="false" ht="15" hidden="false" customHeight="false" outlineLevel="0" collapsed="false">
      <c r="A225" s="7"/>
      <c r="B225" s="8"/>
      <c r="C225" s="9"/>
      <c r="D225" s="10"/>
      <c r="E225" s="11"/>
      <c r="F225" s="11"/>
      <c r="G225" s="8"/>
      <c r="H225" s="11"/>
      <c r="I225" s="12"/>
      <c r="J225" s="13" t="str">
        <f aca="false">IF(OR($A225="",$D225=""),"",IF($C225="",1,$C225)*$D225+N($E225)-N($F225))</f>
        <v/>
      </c>
      <c r="K225" s="13" t="str">
        <f aca="false">IF($J225="","",IF($R225&lt;&gt;"",$R225,IF($G225="",0,MAX(IFERROR(INDEX(Settings!$D$6:$D$15,MATCH($G225,Settings!$A$6:$A$15,0)),0),$J225*IFERROR(INDEX(Settings!$B$6:$B$15,MATCH($G225,Settings!$A$6:$A$15,0)),0)+IFERROR(INDEX(Settings!$C$6:$C$15,MATCH($G225,Settings!$A$6:$A$15,0)),0)))))</f>
        <v/>
      </c>
      <c r="L225" s="13" t="str">
        <f aca="false">IF($J225="","",IF($C225="",1,$C225)*IF($Q225&lt;&gt;"",$Q225,IFERROR(INDEX(Products!$D$5:$D$54,MATCH($B225,Products!$A$5:$A$54,0)),0)))</f>
        <v/>
      </c>
      <c r="M225" s="14" t="str">
        <f aca="false">IF($J225="","",$J225-$K225-N($H225)-$L225)</f>
        <v/>
      </c>
      <c r="N225" s="15" t="str">
        <f aca="false">IF($J225="","",IF($J225&gt;0,$M225/$J225,""))</f>
        <v/>
      </c>
      <c r="O225" s="12"/>
      <c r="P225" s="12"/>
      <c r="Q225" s="11"/>
      <c r="R225" s="11"/>
      <c r="S225" s="12"/>
      <c r="T225" s="16" t="str">
        <f aca="false">IF($J225="","",IF($C225="",1,$C225))</f>
        <v/>
      </c>
    </row>
    <row r="226" customFormat="false" ht="15" hidden="false" customHeight="false" outlineLevel="0" collapsed="false">
      <c r="A226" s="7"/>
      <c r="B226" s="8"/>
      <c r="C226" s="9"/>
      <c r="D226" s="10"/>
      <c r="E226" s="11"/>
      <c r="F226" s="11"/>
      <c r="G226" s="8"/>
      <c r="H226" s="11"/>
      <c r="I226" s="12"/>
      <c r="J226" s="13" t="str">
        <f aca="false">IF(OR($A226="",$D226=""),"",IF($C226="",1,$C226)*$D226+N($E226)-N($F226))</f>
        <v/>
      </c>
      <c r="K226" s="13" t="str">
        <f aca="false">IF($J226="","",IF($R226&lt;&gt;"",$R226,IF($G226="",0,MAX(IFERROR(INDEX(Settings!$D$6:$D$15,MATCH($G226,Settings!$A$6:$A$15,0)),0),$J226*IFERROR(INDEX(Settings!$B$6:$B$15,MATCH($G226,Settings!$A$6:$A$15,0)),0)+IFERROR(INDEX(Settings!$C$6:$C$15,MATCH($G226,Settings!$A$6:$A$15,0)),0)))))</f>
        <v/>
      </c>
      <c r="L226" s="13" t="str">
        <f aca="false">IF($J226="","",IF($C226="",1,$C226)*IF($Q226&lt;&gt;"",$Q226,IFERROR(INDEX(Products!$D$5:$D$54,MATCH($B226,Products!$A$5:$A$54,0)),0)))</f>
        <v/>
      </c>
      <c r="M226" s="14" t="str">
        <f aca="false">IF($J226="","",$J226-$K226-N($H226)-$L226)</f>
        <v/>
      </c>
      <c r="N226" s="15" t="str">
        <f aca="false">IF($J226="","",IF($J226&gt;0,$M226/$J226,""))</f>
        <v/>
      </c>
      <c r="O226" s="12"/>
      <c r="P226" s="12"/>
      <c r="Q226" s="11"/>
      <c r="R226" s="11"/>
      <c r="S226" s="12"/>
      <c r="T226" s="16" t="str">
        <f aca="false">IF($J226="","",IF($C226="",1,$C226))</f>
        <v/>
      </c>
    </row>
    <row r="227" customFormat="false" ht="15" hidden="false" customHeight="false" outlineLevel="0" collapsed="false">
      <c r="A227" s="7"/>
      <c r="B227" s="8"/>
      <c r="C227" s="9"/>
      <c r="D227" s="10"/>
      <c r="E227" s="11"/>
      <c r="F227" s="11"/>
      <c r="G227" s="8"/>
      <c r="H227" s="11"/>
      <c r="I227" s="12"/>
      <c r="J227" s="13" t="str">
        <f aca="false">IF(OR($A227="",$D227=""),"",IF($C227="",1,$C227)*$D227+N($E227)-N($F227))</f>
        <v/>
      </c>
      <c r="K227" s="13" t="str">
        <f aca="false">IF($J227="","",IF($R227&lt;&gt;"",$R227,IF($G227="",0,MAX(IFERROR(INDEX(Settings!$D$6:$D$15,MATCH($G227,Settings!$A$6:$A$15,0)),0),$J227*IFERROR(INDEX(Settings!$B$6:$B$15,MATCH($G227,Settings!$A$6:$A$15,0)),0)+IFERROR(INDEX(Settings!$C$6:$C$15,MATCH($G227,Settings!$A$6:$A$15,0)),0)))))</f>
        <v/>
      </c>
      <c r="L227" s="13" t="str">
        <f aca="false">IF($J227="","",IF($C227="",1,$C227)*IF($Q227&lt;&gt;"",$Q227,IFERROR(INDEX(Products!$D$5:$D$54,MATCH($B227,Products!$A$5:$A$54,0)),0)))</f>
        <v/>
      </c>
      <c r="M227" s="14" t="str">
        <f aca="false">IF($J227="","",$J227-$K227-N($H227)-$L227)</f>
        <v/>
      </c>
      <c r="N227" s="15" t="str">
        <f aca="false">IF($J227="","",IF($J227&gt;0,$M227/$J227,""))</f>
        <v/>
      </c>
      <c r="O227" s="12"/>
      <c r="P227" s="12"/>
      <c r="Q227" s="11"/>
      <c r="R227" s="11"/>
      <c r="S227" s="12"/>
      <c r="T227" s="16" t="str">
        <f aca="false">IF($J227="","",IF($C227="",1,$C227))</f>
        <v/>
      </c>
    </row>
    <row r="228" customFormat="false" ht="15" hidden="false" customHeight="false" outlineLevel="0" collapsed="false">
      <c r="A228" s="7"/>
      <c r="B228" s="8"/>
      <c r="C228" s="9"/>
      <c r="D228" s="10"/>
      <c r="E228" s="11"/>
      <c r="F228" s="11"/>
      <c r="G228" s="8"/>
      <c r="H228" s="11"/>
      <c r="I228" s="12"/>
      <c r="J228" s="13" t="str">
        <f aca="false">IF(OR($A228="",$D228=""),"",IF($C228="",1,$C228)*$D228+N($E228)-N($F228))</f>
        <v/>
      </c>
      <c r="K228" s="13" t="str">
        <f aca="false">IF($J228="","",IF($R228&lt;&gt;"",$R228,IF($G228="",0,MAX(IFERROR(INDEX(Settings!$D$6:$D$15,MATCH($G228,Settings!$A$6:$A$15,0)),0),$J228*IFERROR(INDEX(Settings!$B$6:$B$15,MATCH($G228,Settings!$A$6:$A$15,0)),0)+IFERROR(INDEX(Settings!$C$6:$C$15,MATCH($G228,Settings!$A$6:$A$15,0)),0)))))</f>
        <v/>
      </c>
      <c r="L228" s="13" t="str">
        <f aca="false">IF($J228="","",IF($C228="",1,$C228)*IF($Q228&lt;&gt;"",$Q228,IFERROR(INDEX(Products!$D$5:$D$54,MATCH($B228,Products!$A$5:$A$54,0)),0)))</f>
        <v/>
      </c>
      <c r="M228" s="14" t="str">
        <f aca="false">IF($J228="","",$J228-$K228-N($H228)-$L228)</f>
        <v/>
      </c>
      <c r="N228" s="15" t="str">
        <f aca="false">IF($J228="","",IF($J228&gt;0,$M228/$J228,""))</f>
        <v/>
      </c>
      <c r="O228" s="12"/>
      <c r="P228" s="12"/>
      <c r="Q228" s="11"/>
      <c r="R228" s="11"/>
      <c r="S228" s="12"/>
      <c r="T228" s="16" t="str">
        <f aca="false">IF($J228="","",IF($C228="",1,$C228))</f>
        <v/>
      </c>
    </row>
    <row r="229" customFormat="false" ht="15" hidden="false" customHeight="false" outlineLevel="0" collapsed="false">
      <c r="A229" s="7"/>
      <c r="B229" s="8"/>
      <c r="C229" s="9"/>
      <c r="D229" s="10"/>
      <c r="E229" s="11"/>
      <c r="F229" s="11"/>
      <c r="G229" s="8"/>
      <c r="H229" s="11"/>
      <c r="I229" s="12"/>
      <c r="J229" s="13" t="str">
        <f aca="false">IF(OR($A229="",$D229=""),"",IF($C229="",1,$C229)*$D229+N($E229)-N($F229))</f>
        <v/>
      </c>
      <c r="K229" s="13" t="str">
        <f aca="false">IF($J229="","",IF($R229&lt;&gt;"",$R229,IF($G229="",0,MAX(IFERROR(INDEX(Settings!$D$6:$D$15,MATCH($G229,Settings!$A$6:$A$15,0)),0),$J229*IFERROR(INDEX(Settings!$B$6:$B$15,MATCH($G229,Settings!$A$6:$A$15,0)),0)+IFERROR(INDEX(Settings!$C$6:$C$15,MATCH($G229,Settings!$A$6:$A$15,0)),0)))))</f>
        <v/>
      </c>
      <c r="L229" s="13" t="str">
        <f aca="false">IF($J229="","",IF($C229="",1,$C229)*IF($Q229&lt;&gt;"",$Q229,IFERROR(INDEX(Products!$D$5:$D$54,MATCH($B229,Products!$A$5:$A$54,0)),0)))</f>
        <v/>
      </c>
      <c r="M229" s="14" t="str">
        <f aca="false">IF($J229="","",$J229-$K229-N($H229)-$L229)</f>
        <v/>
      </c>
      <c r="N229" s="15" t="str">
        <f aca="false">IF($J229="","",IF($J229&gt;0,$M229/$J229,""))</f>
        <v/>
      </c>
      <c r="O229" s="12"/>
      <c r="P229" s="12"/>
      <c r="Q229" s="11"/>
      <c r="R229" s="11"/>
      <c r="S229" s="12"/>
      <c r="T229" s="16" t="str">
        <f aca="false">IF($J229="","",IF($C229="",1,$C229))</f>
        <v/>
      </c>
    </row>
    <row r="230" customFormat="false" ht="15" hidden="false" customHeight="false" outlineLevel="0" collapsed="false">
      <c r="A230" s="7"/>
      <c r="B230" s="8"/>
      <c r="C230" s="9"/>
      <c r="D230" s="10"/>
      <c r="E230" s="11"/>
      <c r="F230" s="11"/>
      <c r="G230" s="8"/>
      <c r="H230" s="11"/>
      <c r="I230" s="12"/>
      <c r="J230" s="13" t="str">
        <f aca="false">IF(OR($A230="",$D230=""),"",IF($C230="",1,$C230)*$D230+N($E230)-N($F230))</f>
        <v/>
      </c>
      <c r="K230" s="13" t="str">
        <f aca="false">IF($J230="","",IF($R230&lt;&gt;"",$R230,IF($G230="",0,MAX(IFERROR(INDEX(Settings!$D$6:$D$15,MATCH($G230,Settings!$A$6:$A$15,0)),0),$J230*IFERROR(INDEX(Settings!$B$6:$B$15,MATCH($G230,Settings!$A$6:$A$15,0)),0)+IFERROR(INDEX(Settings!$C$6:$C$15,MATCH($G230,Settings!$A$6:$A$15,0)),0)))))</f>
        <v/>
      </c>
      <c r="L230" s="13" t="str">
        <f aca="false">IF($J230="","",IF($C230="",1,$C230)*IF($Q230&lt;&gt;"",$Q230,IFERROR(INDEX(Products!$D$5:$D$54,MATCH($B230,Products!$A$5:$A$54,0)),0)))</f>
        <v/>
      </c>
      <c r="M230" s="14" t="str">
        <f aca="false">IF($J230="","",$J230-$K230-N($H230)-$L230)</f>
        <v/>
      </c>
      <c r="N230" s="15" t="str">
        <f aca="false">IF($J230="","",IF($J230&gt;0,$M230/$J230,""))</f>
        <v/>
      </c>
      <c r="O230" s="12"/>
      <c r="P230" s="12"/>
      <c r="Q230" s="11"/>
      <c r="R230" s="11"/>
      <c r="S230" s="12"/>
      <c r="T230" s="16" t="str">
        <f aca="false">IF($J230="","",IF($C230="",1,$C230))</f>
        <v/>
      </c>
    </row>
    <row r="231" customFormat="false" ht="15" hidden="false" customHeight="false" outlineLevel="0" collapsed="false">
      <c r="A231" s="7"/>
      <c r="B231" s="8"/>
      <c r="C231" s="9"/>
      <c r="D231" s="10"/>
      <c r="E231" s="11"/>
      <c r="F231" s="11"/>
      <c r="G231" s="8"/>
      <c r="H231" s="11"/>
      <c r="I231" s="12"/>
      <c r="J231" s="13" t="str">
        <f aca="false">IF(OR($A231="",$D231=""),"",IF($C231="",1,$C231)*$D231+N($E231)-N($F231))</f>
        <v/>
      </c>
      <c r="K231" s="13" t="str">
        <f aca="false">IF($J231="","",IF($R231&lt;&gt;"",$R231,IF($G231="",0,MAX(IFERROR(INDEX(Settings!$D$6:$D$15,MATCH($G231,Settings!$A$6:$A$15,0)),0),$J231*IFERROR(INDEX(Settings!$B$6:$B$15,MATCH($G231,Settings!$A$6:$A$15,0)),0)+IFERROR(INDEX(Settings!$C$6:$C$15,MATCH($G231,Settings!$A$6:$A$15,0)),0)))))</f>
        <v/>
      </c>
      <c r="L231" s="13" t="str">
        <f aca="false">IF($J231="","",IF($C231="",1,$C231)*IF($Q231&lt;&gt;"",$Q231,IFERROR(INDEX(Products!$D$5:$D$54,MATCH($B231,Products!$A$5:$A$54,0)),0)))</f>
        <v/>
      </c>
      <c r="M231" s="14" t="str">
        <f aca="false">IF($J231="","",$J231-$K231-N($H231)-$L231)</f>
        <v/>
      </c>
      <c r="N231" s="15" t="str">
        <f aca="false">IF($J231="","",IF($J231&gt;0,$M231/$J231,""))</f>
        <v/>
      </c>
      <c r="O231" s="12"/>
      <c r="P231" s="12"/>
      <c r="Q231" s="11"/>
      <c r="R231" s="11"/>
      <c r="S231" s="12"/>
      <c r="T231" s="16" t="str">
        <f aca="false">IF($J231="","",IF($C231="",1,$C231))</f>
        <v/>
      </c>
    </row>
    <row r="232" customFormat="false" ht="15" hidden="false" customHeight="false" outlineLevel="0" collapsed="false">
      <c r="A232" s="7"/>
      <c r="B232" s="8"/>
      <c r="C232" s="9"/>
      <c r="D232" s="10"/>
      <c r="E232" s="11"/>
      <c r="F232" s="11"/>
      <c r="G232" s="8"/>
      <c r="H232" s="11"/>
      <c r="I232" s="12"/>
      <c r="J232" s="13" t="str">
        <f aca="false">IF(OR($A232="",$D232=""),"",IF($C232="",1,$C232)*$D232+N($E232)-N($F232))</f>
        <v/>
      </c>
      <c r="K232" s="13" t="str">
        <f aca="false">IF($J232="","",IF($R232&lt;&gt;"",$R232,IF($G232="",0,MAX(IFERROR(INDEX(Settings!$D$6:$D$15,MATCH($G232,Settings!$A$6:$A$15,0)),0),$J232*IFERROR(INDEX(Settings!$B$6:$B$15,MATCH($G232,Settings!$A$6:$A$15,0)),0)+IFERROR(INDEX(Settings!$C$6:$C$15,MATCH($G232,Settings!$A$6:$A$15,0)),0)))))</f>
        <v/>
      </c>
      <c r="L232" s="13" t="str">
        <f aca="false">IF($J232="","",IF($C232="",1,$C232)*IF($Q232&lt;&gt;"",$Q232,IFERROR(INDEX(Products!$D$5:$D$54,MATCH($B232,Products!$A$5:$A$54,0)),0)))</f>
        <v/>
      </c>
      <c r="M232" s="14" t="str">
        <f aca="false">IF($J232="","",$J232-$K232-N($H232)-$L232)</f>
        <v/>
      </c>
      <c r="N232" s="15" t="str">
        <f aca="false">IF($J232="","",IF($J232&gt;0,$M232/$J232,""))</f>
        <v/>
      </c>
      <c r="O232" s="12"/>
      <c r="P232" s="12"/>
      <c r="Q232" s="11"/>
      <c r="R232" s="11"/>
      <c r="S232" s="12"/>
      <c r="T232" s="16" t="str">
        <f aca="false">IF($J232="","",IF($C232="",1,$C232))</f>
        <v/>
      </c>
    </row>
    <row r="233" customFormat="false" ht="15" hidden="false" customHeight="false" outlineLevel="0" collapsed="false">
      <c r="A233" s="7"/>
      <c r="B233" s="8"/>
      <c r="C233" s="9"/>
      <c r="D233" s="10"/>
      <c r="E233" s="11"/>
      <c r="F233" s="11"/>
      <c r="G233" s="8"/>
      <c r="H233" s="11"/>
      <c r="I233" s="12"/>
      <c r="J233" s="13" t="str">
        <f aca="false">IF(OR($A233="",$D233=""),"",IF($C233="",1,$C233)*$D233+N($E233)-N($F233))</f>
        <v/>
      </c>
      <c r="K233" s="13" t="str">
        <f aca="false">IF($J233="","",IF($R233&lt;&gt;"",$R233,IF($G233="",0,MAX(IFERROR(INDEX(Settings!$D$6:$D$15,MATCH($G233,Settings!$A$6:$A$15,0)),0),$J233*IFERROR(INDEX(Settings!$B$6:$B$15,MATCH($G233,Settings!$A$6:$A$15,0)),0)+IFERROR(INDEX(Settings!$C$6:$C$15,MATCH($G233,Settings!$A$6:$A$15,0)),0)))))</f>
        <v/>
      </c>
      <c r="L233" s="13" t="str">
        <f aca="false">IF($J233="","",IF($C233="",1,$C233)*IF($Q233&lt;&gt;"",$Q233,IFERROR(INDEX(Products!$D$5:$D$54,MATCH($B233,Products!$A$5:$A$54,0)),0)))</f>
        <v/>
      </c>
      <c r="M233" s="14" t="str">
        <f aca="false">IF($J233="","",$J233-$K233-N($H233)-$L233)</f>
        <v/>
      </c>
      <c r="N233" s="15" t="str">
        <f aca="false">IF($J233="","",IF($J233&gt;0,$M233/$J233,""))</f>
        <v/>
      </c>
      <c r="O233" s="12"/>
      <c r="P233" s="12"/>
      <c r="Q233" s="11"/>
      <c r="R233" s="11"/>
      <c r="S233" s="12"/>
      <c r="T233" s="16" t="str">
        <f aca="false">IF($J233="","",IF($C233="",1,$C233))</f>
        <v/>
      </c>
    </row>
    <row r="234" customFormat="false" ht="15" hidden="false" customHeight="false" outlineLevel="0" collapsed="false">
      <c r="A234" s="7"/>
      <c r="B234" s="8"/>
      <c r="C234" s="9"/>
      <c r="D234" s="10"/>
      <c r="E234" s="11"/>
      <c r="F234" s="11"/>
      <c r="G234" s="8"/>
      <c r="H234" s="11"/>
      <c r="I234" s="12"/>
      <c r="J234" s="13" t="str">
        <f aca="false">IF(OR($A234="",$D234=""),"",IF($C234="",1,$C234)*$D234+N($E234)-N($F234))</f>
        <v/>
      </c>
      <c r="K234" s="13" t="str">
        <f aca="false">IF($J234="","",IF($R234&lt;&gt;"",$R234,IF($G234="",0,MAX(IFERROR(INDEX(Settings!$D$6:$D$15,MATCH($G234,Settings!$A$6:$A$15,0)),0),$J234*IFERROR(INDEX(Settings!$B$6:$B$15,MATCH($G234,Settings!$A$6:$A$15,0)),0)+IFERROR(INDEX(Settings!$C$6:$C$15,MATCH($G234,Settings!$A$6:$A$15,0)),0)))))</f>
        <v/>
      </c>
      <c r="L234" s="13" t="str">
        <f aca="false">IF($J234="","",IF($C234="",1,$C234)*IF($Q234&lt;&gt;"",$Q234,IFERROR(INDEX(Products!$D$5:$D$54,MATCH($B234,Products!$A$5:$A$54,0)),0)))</f>
        <v/>
      </c>
      <c r="M234" s="14" t="str">
        <f aca="false">IF($J234="","",$J234-$K234-N($H234)-$L234)</f>
        <v/>
      </c>
      <c r="N234" s="15" t="str">
        <f aca="false">IF($J234="","",IF($J234&gt;0,$M234/$J234,""))</f>
        <v/>
      </c>
      <c r="O234" s="12"/>
      <c r="P234" s="12"/>
      <c r="Q234" s="11"/>
      <c r="R234" s="11"/>
      <c r="S234" s="12"/>
      <c r="T234" s="16" t="str">
        <f aca="false">IF($J234="","",IF($C234="",1,$C234))</f>
        <v/>
      </c>
    </row>
    <row r="235" customFormat="false" ht="15" hidden="false" customHeight="false" outlineLevel="0" collapsed="false">
      <c r="A235" s="7"/>
      <c r="B235" s="8"/>
      <c r="C235" s="9"/>
      <c r="D235" s="10"/>
      <c r="E235" s="11"/>
      <c r="F235" s="11"/>
      <c r="G235" s="8"/>
      <c r="H235" s="11"/>
      <c r="I235" s="12"/>
      <c r="J235" s="13" t="str">
        <f aca="false">IF(OR($A235="",$D235=""),"",IF($C235="",1,$C235)*$D235+N($E235)-N($F235))</f>
        <v/>
      </c>
      <c r="K235" s="13" t="str">
        <f aca="false">IF($J235="","",IF($R235&lt;&gt;"",$R235,IF($G235="",0,MAX(IFERROR(INDEX(Settings!$D$6:$D$15,MATCH($G235,Settings!$A$6:$A$15,0)),0),$J235*IFERROR(INDEX(Settings!$B$6:$B$15,MATCH($G235,Settings!$A$6:$A$15,0)),0)+IFERROR(INDEX(Settings!$C$6:$C$15,MATCH($G235,Settings!$A$6:$A$15,0)),0)))))</f>
        <v/>
      </c>
      <c r="L235" s="13" t="str">
        <f aca="false">IF($J235="","",IF($C235="",1,$C235)*IF($Q235&lt;&gt;"",$Q235,IFERROR(INDEX(Products!$D$5:$D$54,MATCH($B235,Products!$A$5:$A$54,0)),0)))</f>
        <v/>
      </c>
      <c r="M235" s="14" t="str">
        <f aca="false">IF($J235="","",$J235-$K235-N($H235)-$L235)</f>
        <v/>
      </c>
      <c r="N235" s="15" t="str">
        <f aca="false">IF($J235="","",IF($J235&gt;0,$M235/$J235,""))</f>
        <v/>
      </c>
      <c r="O235" s="12"/>
      <c r="P235" s="12"/>
      <c r="Q235" s="11"/>
      <c r="R235" s="11"/>
      <c r="S235" s="12"/>
      <c r="T235" s="16" t="str">
        <f aca="false">IF($J235="","",IF($C235="",1,$C235))</f>
        <v/>
      </c>
    </row>
    <row r="236" customFormat="false" ht="15" hidden="false" customHeight="false" outlineLevel="0" collapsed="false">
      <c r="A236" s="7"/>
      <c r="B236" s="8"/>
      <c r="C236" s="9"/>
      <c r="D236" s="10"/>
      <c r="E236" s="11"/>
      <c r="F236" s="11"/>
      <c r="G236" s="8"/>
      <c r="H236" s="11"/>
      <c r="I236" s="12"/>
      <c r="J236" s="13" t="str">
        <f aca="false">IF(OR($A236="",$D236=""),"",IF($C236="",1,$C236)*$D236+N($E236)-N($F236))</f>
        <v/>
      </c>
      <c r="K236" s="13" t="str">
        <f aca="false">IF($J236="","",IF($R236&lt;&gt;"",$R236,IF($G236="",0,MAX(IFERROR(INDEX(Settings!$D$6:$D$15,MATCH($G236,Settings!$A$6:$A$15,0)),0),$J236*IFERROR(INDEX(Settings!$B$6:$B$15,MATCH($G236,Settings!$A$6:$A$15,0)),0)+IFERROR(INDEX(Settings!$C$6:$C$15,MATCH($G236,Settings!$A$6:$A$15,0)),0)))))</f>
        <v/>
      </c>
      <c r="L236" s="13" t="str">
        <f aca="false">IF($J236="","",IF($C236="",1,$C236)*IF($Q236&lt;&gt;"",$Q236,IFERROR(INDEX(Products!$D$5:$D$54,MATCH($B236,Products!$A$5:$A$54,0)),0)))</f>
        <v/>
      </c>
      <c r="M236" s="14" t="str">
        <f aca="false">IF($J236="","",$J236-$K236-N($H236)-$L236)</f>
        <v/>
      </c>
      <c r="N236" s="15" t="str">
        <f aca="false">IF($J236="","",IF($J236&gt;0,$M236/$J236,""))</f>
        <v/>
      </c>
      <c r="O236" s="12"/>
      <c r="P236" s="12"/>
      <c r="Q236" s="11"/>
      <c r="R236" s="11"/>
      <c r="S236" s="12"/>
      <c r="T236" s="16" t="str">
        <f aca="false">IF($J236="","",IF($C236="",1,$C236))</f>
        <v/>
      </c>
    </row>
    <row r="237" customFormat="false" ht="15" hidden="false" customHeight="false" outlineLevel="0" collapsed="false">
      <c r="A237" s="7"/>
      <c r="B237" s="8"/>
      <c r="C237" s="9"/>
      <c r="D237" s="10"/>
      <c r="E237" s="11"/>
      <c r="F237" s="11"/>
      <c r="G237" s="8"/>
      <c r="H237" s="11"/>
      <c r="I237" s="12"/>
      <c r="J237" s="13" t="str">
        <f aca="false">IF(OR($A237="",$D237=""),"",IF($C237="",1,$C237)*$D237+N($E237)-N($F237))</f>
        <v/>
      </c>
      <c r="K237" s="13" t="str">
        <f aca="false">IF($J237="","",IF($R237&lt;&gt;"",$R237,IF($G237="",0,MAX(IFERROR(INDEX(Settings!$D$6:$D$15,MATCH($G237,Settings!$A$6:$A$15,0)),0),$J237*IFERROR(INDEX(Settings!$B$6:$B$15,MATCH($G237,Settings!$A$6:$A$15,0)),0)+IFERROR(INDEX(Settings!$C$6:$C$15,MATCH($G237,Settings!$A$6:$A$15,0)),0)))))</f>
        <v/>
      </c>
      <c r="L237" s="13" t="str">
        <f aca="false">IF($J237="","",IF($C237="",1,$C237)*IF($Q237&lt;&gt;"",$Q237,IFERROR(INDEX(Products!$D$5:$D$54,MATCH($B237,Products!$A$5:$A$54,0)),0)))</f>
        <v/>
      </c>
      <c r="M237" s="14" t="str">
        <f aca="false">IF($J237="","",$J237-$K237-N($H237)-$L237)</f>
        <v/>
      </c>
      <c r="N237" s="15" t="str">
        <f aca="false">IF($J237="","",IF($J237&gt;0,$M237/$J237,""))</f>
        <v/>
      </c>
      <c r="O237" s="12"/>
      <c r="P237" s="12"/>
      <c r="Q237" s="11"/>
      <c r="R237" s="11"/>
      <c r="S237" s="12"/>
      <c r="T237" s="16" t="str">
        <f aca="false">IF($J237="","",IF($C237="",1,$C237))</f>
        <v/>
      </c>
    </row>
    <row r="238" customFormat="false" ht="15" hidden="false" customHeight="false" outlineLevel="0" collapsed="false">
      <c r="A238" s="7"/>
      <c r="B238" s="8"/>
      <c r="C238" s="9"/>
      <c r="D238" s="10"/>
      <c r="E238" s="11"/>
      <c r="F238" s="11"/>
      <c r="G238" s="8"/>
      <c r="H238" s="11"/>
      <c r="I238" s="12"/>
      <c r="J238" s="13" t="str">
        <f aca="false">IF(OR($A238="",$D238=""),"",IF($C238="",1,$C238)*$D238+N($E238)-N($F238))</f>
        <v/>
      </c>
      <c r="K238" s="13" t="str">
        <f aca="false">IF($J238="","",IF($R238&lt;&gt;"",$R238,IF($G238="",0,MAX(IFERROR(INDEX(Settings!$D$6:$D$15,MATCH($G238,Settings!$A$6:$A$15,0)),0),$J238*IFERROR(INDEX(Settings!$B$6:$B$15,MATCH($G238,Settings!$A$6:$A$15,0)),0)+IFERROR(INDEX(Settings!$C$6:$C$15,MATCH($G238,Settings!$A$6:$A$15,0)),0)))))</f>
        <v/>
      </c>
      <c r="L238" s="13" t="str">
        <f aca="false">IF($J238="","",IF($C238="",1,$C238)*IF($Q238&lt;&gt;"",$Q238,IFERROR(INDEX(Products!$D$5:$D$54,MATCH($B238,Products!$A$5:$A$54,0)),0)))</f>
        <v/>
      </c>
      <c r="M238" s="14" t="str">
        <f aca="false">IF($J238="","",$J238-$K238-N($H238)-$L238)</f>
        <v/>
      </c>
      <c r="N238" s="15" t="str">
        <f aca="false">IF($J238="","",IF($J238&gt;0,$M238/$J238,""))</f>
        <v/>
      </c>
      <c r="O238" s="12"/>
      <c r="P238" s="12"/>
      <c r="Q238" s="11"/>
      <c r="R238" s="11"/>
      <c r="S238" s="12"/>
      <c r="T238" s="16" t="str">
        <f aca="false">IF($J238="","",IF($C238="",1,$C238))</f>
        <v/>
      </c>
    </row>
    <row r="239" customFormat="false" ht="15" hidden="false" customHeight="false" outlineLevel="0" collapsed="false">
      <c r="A239" s="7"/>
      <c r="B239" s="8"/>
      <c r="C239" s="9"/>
      <c r="D239" s="10"/>
      <c r="E239" s="11"/>
      <c r="F239" s="11"/>
      <c r="G239" s="8"/>
      <c r="H239" s="11"/>
      <c r="I239" s="12"/>
      <c r="J239" s="13" t="str">
        <f aca="false">IF(OR($A239="",$D239=""),"",IF($C239="",1,$C239)*$D239+N($E239)-N($F239))</f>
        <v/>
      </c>
      <c r="K239" s="13" t="str">
        <f aca="false">IF($J239="","",IF($R239&lt;&gt;"",$R239,IF($G239="",0,MAX(IFERROR(INDEX(Settings!$D$6:$D$15,MATCH($G239,Settings!$A$6:$A$15,0)),0),$J239*IFERROR(INDEX(Settings!$B$6:$B$15,MATCH($G239,Settings!$A$6:$A$15,0)),0)+IFERROR(INDEX(Settings!$C$6:$C$15,MATCH($G239,Settings!$A$6:$A$15,0)),0)))))</f>
        <v/>
      </c>
      <c r="L239" s="13" t="str">
        <f aca="false">IF($J239="","",IF($C239="",1,$C239)*IF($Q239&lt;&gt;"",$Q239,IFERROR(INDEX(Products!$D$5:$D$54,MATCH($B239,Products!$A$5:$A$54,0)),0)))</f>
        <v/>
      </c>
      <c r="M239" s="14" t="str">
        <f aca="false">IF($J239="","",$J239-$K239-N($H239)-$L239)</f>
        <v/>
      </c>
      <c r="N239" s="15" t="str">
        <f aca="false">IF($J239="","",IF($J239&gt;0,$M239/$J239,""))</f>
        <v/>
      </c>
      <c r="O239" s="12"/>
      <c r="P239" s="12"/>
      <c r="Q239" s="11"/>
      <c r="R239" s="11"/>
      <c r="S239" s="12"/>
      <c r="T239" s="16" t="str">
        <f aca="false">IF($J239="","",IF($C239="",1,$C239))</f>
        <v/>
      </c>
    </row>
    <row r="240" customFormat="false" ht="15" hidden="false" customHeight="false" outlineLevel="0" collapsed="false">
      <c r="A240" s="7"/>
      <c r="B240" s="8"/>
      <c r="C240" s="9"/>
      <c r="D240" s="10"/>
      <c r="E240" s="11"/>
      <c r="F240" s="11"/>
      <c r="G240" s="8"/>
      <c r="H240" s="11"/>
      <c r="I240" s="12"/>
      <c r="J240" s="13" t="str">
        <f aca="false">IF(OR($A240="",$D240=""),"",IF($C240="",1,$C240)*$D240+N($E240)-N($F240))</f>
        <v/>
      </c>
      <c r="K240" s="13" t="str">
        <f aca="false">IF($J240="","",IF($R240&lt;&gt;"",$R240,IF($G240="",0,MAX(IFERROR(INDEX(Settings!$D$6:$D$15,MATCH($G240,Settings!$A$6:$A$15,0)),0),$J240*IFERROR(INDEX(Settings!$B$6:$B$15,MATCH($G240,Settings!$A$6:$A$15,0)),0)+IFERROR(INDEX(Settings!$C$6:$C$15,MATCH($G240,Settings!$A$6:$A$15,0)),0)))))</f>
        <v/>
      </c>
      <c r="L240" s="13" t="str">
        <f aca="false">IF($J240="","",IF($C240="",1,$C240)*IF($Q240&lt;&gt;"",$Q240,IFERROR(INDEX(Products!$D$5:$D$54,MATCH($B240,Products!$A$5:$A$54,0)),0)))</f>
        <v/>
      </c>
      <c r="M240" s="14" t="str">
        <f aca="false">IF($J240="","",$J240-$K240-N($H240)-$L240)</f>
        <v/>
      </c>
      <c r="N240" s="15" t="str">
        <f aca="false">IF($J240="","",IF($J240&gt;0,$M240/$J240,""))</f>
        <v/>
      </c>
      <c r="O240" s="12"/>
      <c r="P240" s="12"/>
      <c r="Q240" s="11"/>
      <c r="R240" s="11"/>
      <c r="S240" s="12"/>
      <c r="T240" s="16" t="str">
        <f aca="false">IF($J240="","",IF($C240="",1,$C240))</f>
        <v/>
      </c>
    </row>
    <row r="241" customFormat="false" ht="15" hidden="false" customHeight="false" outlineLevel="0" collapsed="false">
      <c r="A241" s="7"/>
      <c r="B241" s="8"/>
      <c r="C241" s="9"/>
      <c r="D241" s="10"/>
      <c r="E241" s="11"/>
      <c r="F241" s="11"/>
      <c r="G241" s="8"/>
      <c r="H241" s="11"/>
      <c r="I241" s="12"/>
      <c r="J241" s="13" t="str">
        <f aca="false">IF(OR($A241="",$D241=""),"",IF($C241="",1,$C241)*$D241+N($E241)-N($F241))</f>
        <v/>
      </c>
      <c r="K241" s="13" t="str">
        <f aca="false">IF($J241="","",IF($R241&lt;&gt;"",$R241,IF($G241="",0,MAX(IFERROR(INDEX(Settings!$D$6:$D$15,MATCH($G241,Settings!$A$6:$A$15,0)),0),$J241*IFERROR(INDEX(Settings!$B$6:$B$15,MATCH($G241,Settings!$A$6:$A$15,0)),0)+IFERROR(INDEX(Settings!$C$6:$C$15,MATCH($G241,Settings!$A$6:$A$15,0)),0)))))</f>
        <v/>
      </c>
      <c r="L241" s="13" t="str">
        <f aca="false">IF($J241="","",IF($C241="",1,$C241)*IF($Q241&lt;&gt;"",$Q241,IFERROR(INDEX(Products!$D$5:$D$54,MATCH($B241,Products!$A$5:$A$54,0)),0)))</f>
        <v/>
      </c>
      <c r="M241" s="14" t="str">
        <f aca="false">IF($J241="","",$J241-$K241-N($H241)-$L241)</f>
        <v/>
      </c>
      <c r="N241" s="15" t="str">
        <f aca="false">IF($J241="","",IF($J241&gt;0,$M241/$J241,""))</f>
        <v/>
      </c>
      <c r="O241" s="12"/>
      <c r="P241" s="12"/>
      <c r="Q241" s="11"/>
      <c r="R241" s="11"/>
      <c r="S241" s="12"/>
      <c r="T241" s="16" t="str">
        <f aca="false">IF($J241="","",IF($C241="",1,$C241))</f>
        <v/>
      </c>
    </row>
    <row r="242" customFormat="false" ht="15" hidden="false" customHeight="false" outlineLevel="0" collapsed="false">
      <c r="A242" s="7"/>
      <c r="B242" s="8"/>
      <c r="C242" s="9"/>
      <c r="D242" s="10"/>
      <c r="E242" s="11"/>
      <c r="F242" s="11"/>
      <c r="G242" s="8"/>
      <c r="H242" s="11"/>
      <c r="I242" s="12"/>
      <c r="J242" s="13" t="str">
        <f aca="false">IF(OR($A242="",$D242=""),"",IF($C242="",1,$C242)*$D242+N($E242)-N($F242))</f>
        <v/>
      </c>
      <c r="K242" s="13" t="str">
        <f aca="false">IF($J242="","",IF($R242&lt;&gt;"",$R242,IF($G242="",0,MAX(IFERROR(INDEX(Settings!$D$6:$D$15,MATCH($G242,Settings!$A$6:$A$15,0)),0),$J242*IFERROR(INDEX(Settings!$B$6:$B$15,MATCH($G242,Settings!$A$6:$A$15,0)),0)+IFERROR(INDEX(Settings!$C$6:$C$15,MATCH($G242,Settings!$A$6:$A$15,0)),0)))))</f>
        <v/>
      </c>
      <c r="L242" s="13" t="str">
        <f aca="false">IF($J242="","",IF($C242="",1,$C242)*IF($Q242&lt;&gt;"",$Q242,IFERROR(INDEX(Products!$D$5:$D$54,MATCH($B242,Products!$A$5:$A$54,0)),0)))</f>
        <v/>
      </c>
      <c r="M242" s="14" t="str">
        <f aca="false">IF($J242="","",$J242-$K242-N($H242)-$L242)</f>
        <v/>
      </c>
      <c r="N242" s="15" t="str">
        <f aca="false">IF($J242="","",IF($J242&gt;0,$M242/$J242,""))</f>
        <v/>
      </c>
      <c r="O242" s="12"/>
      <c r="P242" s="12"/>
      <c r="Q242" s="11"/>
      <c r="R242" s="11"/>
      <c r="S242" s="12"/>
      <c r="T242" s="16" t="str">
        <f aca="false">IF($J242="","",IF($C242="",1,$C242))</f>
        <v/>
      </c>
    </row>
    <row r="243" customFormat="false" ht="15" hidden="false" customHeight="false" outlineLevel="0" collapsed="false">
      <c r="A243" s="7"/>
      <c r="B243" s="8"/>
      <c r="C243" s="9"/>
      <c r="D243" s="10"/>
      <c r="E243" s="11"/>
      <c r="F243" s="11"/>
      <c r="G243" s="8"/>
      <c r="H243" s="11"/>
      <c r="I243" s="12"/>
      <c r="J243" s="13" t="str">
        <f aca="false">IF(OR($A243="",$D243=""),"",IF($C243="",1,$C243)*$D243+N($E243)-N($F243))</f>
        <v/>
      </c>
      <c r="K243" s="13" t="str">
        <f aca="false">IF($J243="","",IF($R243&lt;&gt;"",$R243,IF($G243="",0,MAX(IFERROR(INDEX(Settings!$D$6:$D$15,MATCH($G243,Settings!$A$6:$A$15,0)),0),$J243*IFERROR(INDEX(Settings!$B$6:$B$15,MATCH($G243,Settings!$A$6:$A$15,0)),0)+IFERROR(INDEX(Settings!$C$6:$C$15,MATCH($G243,Settings!$A$6:$A$15,0)),0)))))</f>
        <v/>
      </c>
      <c r="L243" s="13" t="str">
        <f aca="false">IF($J243="","",IF($C243="",1,$C243)*IF($Q243&lt;&gt;"",$Q243,IFERROR(INDEX(Products!$D$5:$D$54,MATCH($B243,Products!$A$5:$A$54,0)),0)))</f>
        <v/>
      </c>
      <c r="M243" s="14" t="str">
        <f aca="false">IF($J243="","",$J243-$K243-N($H243)-$L243)</f>
        <v/>
      </c>
      <c r="N243" s="15" t="str">
        <f aca="false">IF($J243="","",IF($J243&gt;0,$M243/$J243,""))</f>
        <v/>
      </c>
      <c r="O243" s="12"/>
      <c r="P243" s="12"/>
      <c r="Q243" s="11"/>
      <c r="R243" s="11"/>
      <c r="S243" s="12"/>
      <c r="T243" s="16" t="str">
        <f aca="false">IF($J243="","",IF($C243="",1,$C243))</f>
        <v/>
      </c>
    </row>
    <row r="244" customFormat="false" ht="15" hidden="false" customHeight="false" outlineLevel="0" collapsed="false">
      <c r="A244" s="7"/>
      <c r="B244" s="8"/>
      <c r="C244" s="9"/>
      <c r="D244" s="10"/>
      <c r="E244" s="11"/>
      <c r="F244" s="11"/>
      <c r="G244" s="8"/>
      <c r="H244" s="11"/>
      <c r="I244" s="12"/>
      <c r="J244" s="13" t="str">
        <f aca="false">IF(OR($A244="",$D244=""),"",IF($C244="",1,$C244)*$D244+N($E244)-N($F244))</f>
        <v/>
      </c>
      <c r="K244" s="13" t="str">
        <f aca="false">IF($J244="","",IF($R244&lt;&gt;"",$R244,IF($G244="",0,MAX(IFERROR(INDEX(Settings!$D$6:$D$15,MATCH($G244,Settings!$A$6:$A$15,0)),0),$J244*IFERROR(INDEX(Settings!$B$6:$B$15,MATCH($G244,Settings!$A$6:$A$15,0)),0)+IFERROR(INDEX(Settings!$C$6:$C$15,MATCH($G244,Settings!$A$6:$A$15,0)),0)))))</f>
        <v/>
      </c>
      <c r="L244" s="13" t="str">
        <f aca="false">IF($J244="","",IF($C244="",1,$C244)*IF($Q244&lt;&gt;"",$Q244,IFERROR(INDEX(Products!$D$5:$D$54,MATCH($B244,Products!$A$5:$A$54,0)),0)))</f>
        <v/>
      </c>
      <c r="M244" s="14" t="str">
        <f aca="false">IF($J244="","",$J244-$K244-N($H244)-$L244)</f>
        <v/>
      </c>
      <c r="N244" s="15" t="str">
        <f aca="false">IF($J244="","",IF($J244&gt;0,$M244/$J244,""))</f>
        <v/>
      </c>
      <c r="O244" s="12"/>
      <c r="P244" s="12"/>
      <c r="Q244" s="11"/>
      <c r="R244" s="11"/>
      <c r="S244" s="12"/>
      <c r="T244" s="16" t="str">
        <f aca="false">IF($J244="","",IF($C244="",1,$C244))</f>
        <v/>
      </c>
    </row>
    <row r="245" customFormat="false" ht="15" hidden="false" customHeight="false" outlineLevel="0" collapsed="false">
      <c r="A245" s="7"/>
      <c r="B245" s="8"/>
      <c r="C245" s="9"/>
      <c r="D245" s="10"/>
      <c r="E245" s="11"/>
      <c r="F245" s="11"/>
      <c r="G245" s="8"/>
      <c r="H245" s="11"/>
      <c r="I245" s="12"/>
      <c r="J245" s="13" t="str">
        <f aca="false">IF(OR($A245="",$D245=""),"",IF($C245="",1,$C245)*$D245+N($E245)-N($F245))</f>
        <v/>
      </c>
      <c r="K245" s="13" t="str">
        <f aca="false">IF($J245="","",IF($R245&lt;&gt;"",$R245,IF($G245="",0,MAX(IFERROR(INDEX(Settings!$D$6:$D$15,MATCH($G245,Settings!$A$6:$A$15,0)),0),$J245*IFERROR(INDEX(Settings!$B$6:$B$15,MATCH($G245,Settings!$A$6:$A$15,0)),0)+IFERROR(INDEX(Settings!$C$6:$C$15,MATCH($G245,Settings!$A$6:$A$15,0)),0)))))</f>
        <v/>
      </c>
      <c r="L245" s="13" t="str">
        <f aca="false">IF($J245="","",IF($C245="",1,$C245)*IF($Q245&lt;&gt;"",$Q245,IFERROR(INDEX(Products!$D$5:$D$54,MATCH($B245,Products!$A$5:$A$54,0)),0)))</f>
        <v/>
      </c>
      <c r="M245" s="14" t="str">
        <f aca="false">IF($J245="","",$J245-$K245-N($H245)-$L245)</f>
        <v/>
      </c>
      <c r="N245" s="15" t="str">
        <f aca="false">IF($J245="","",IF($J245&gt;0,$M245/$J245,""))</f>
        <v/>
      </c>
      <c r="O245" s="12"/>
      <c r="P245" s="12"/>
      <c r="Q245" s="11"/>
      <c r="R245" s="11"/>
      <c r="S245" s="12"/>
      <c r="T245" s="16" t="str">
        <f aca="false">IF($J245="","",IF($C245="",1,$C245))</f>
        <v/>
      </c>
    </row>
    <row r="246" customFormat="false" ht="15" hidden="false" customHeight="false" outlineLevel="0" collapsed="false">
      <c r="A246" s="7"/>
      <c r="B246" s="8"/>
      <c r="C246" s="9"/>
      <c r="D246" s="10"/>
      <c r="E246" s="11"/>
      <c r="F246" s="11"/>
      <c r="G246" s="8"/>
      <c r="H246" s="11"/>
      <c r="I246" s="12"/>
      <c r="J246" s="13" t="str">
        <f aca="false">IF(OR($A246="",$D246=""),"",IF($C246="",1,$C246)*$D246+N($E246)-N($F246))</f>
        <v/>
      </c>
      <c r="K246" s="13" t="str">
        <f aca="false">IF($J246="","",IF($R246&lt;&gt;"",$R246,IF($G246="",0,MAX(IFERROR(INDEX(Settings!$D$6:$D$15,MATCH($G246,Settings!$A$6:$A$15,0)),0),$J246*IFERROR(INDEX(Settings!$B$6:$B$15,MATCH($G246,Settings!$A$6:$A$15,0)),0)+IFERROR(INDEX(Settings!$C$6:$C$15,MATCH($G246,Settings!$A$6:$A$15,0)),0)))))</f>
        <v/>
      </c>
      <c r="L246" s="13" t="str">
        <f aca="false">IF($J246="","",IF($C246="",1,$C246)*IF($Q246&lt;&gt;"",$Q246,IFERROR(INDEX(Products!$D$5:$D$54,MATCH($B246,Products!$A$5:$A$54,0)),0)))</f>
        <v/>
      </c>
      <c r="M246" s="14" t="str">
        <f aca="false">IF($J246="","",$J246-$K246-N($H246)-$L246)</f>
        <v/>
      </c>
      <c r="N246" s="15" t="str">
        <f aca="false">IF($J246="","",IF($J246&gt;0,$M246/$J246,""))</f>
        <v/>
      </c>
      <c r="O246" s="12"/>
      <c r="P246" s="12"/>
      <c r="Q246" s="11"/>
      <c r="R246" s="11"/>
      <c r="S246" s="12"/>
      <c r="T246" s="16" t="str">
        <f aca="false">IF($J246="","",IF($C246="",1,$C246))</f>
        <v/>
      </c>
    </row>
    <row r="247" customFormat="false" ht="15" hidden="false" customHeight="false" outlineLevel="0" collapsed="false">
      <c r="A247" s="7"/>
      <c r="B247" s="8"/>
      <c r="C247" s="9"/>
      <c r="D247" s="10"/>
      <c r="E247" s="11"/>
      <c r="F247" s="11"/>
      <c r="G247" s="8"/>
      <c r="H247" s="11"/>
      <c r="I247" s="12"/>
      <c r="J247" s="13" t="str">
        <f aca="false">IF(OR($A247="",$D247=""),"",IF($C247="",1,$C247)*$D247+N($E247)-N($F247))</f>
        <v/>
      </c>
      <c r="K247" s="13" t="str">
        <f aca="false">IF($J247="","",IF($R247&lt;&gt;"",$R247,IF($G247="",0,MAX(IFERROR(INDEX(Settings!$D$6:$D$15,MATCH($G247,Settings!$A$6:$A$15,0)),0),$J247*IFERROR(INDEX(Settings!$B$6:$B$15,MATCH($G247,Settings!$A$6:$A$15,0)),0)+IFERROR(INDEX(Settings!$C$6:$C$15,MATCH($G247,Settings!$A$6:$A$15,0)),0)))))</f>
        <v/>
      </c>
      <c r="L247" s="13" t="str">
        <f aca="false">IF($J247="","",IF($C247="",1,$C247)*IF($Q247&lt;&gt;"",$Q247,IFERROR(INDEX(Products!$D$5:$D$54,MATCH($B247,Products!$A$5:$A$54,0)),0)))</f>
        <v/>
      </c>
      <c r="M247" s="14" t="str">
        <f aca="false">IF($J247="","",$J247-$K247-N($H247)-$L247)</f>
        <v/>
      </c>
      <c r="N247" s="15" t="str">
        <f aca="false">IF($J247="","",IF($J247&gt;0,$M247/$J247,""))</f>
        <v/>
      </c>
      <c r="O247" s="12"/>
      <c r="P247" s="12"/>
      <c r="Q247" s="11"/>
      <c r="R247" s="11"/>
      <c r="S247" s="12"/>
      <c r="T247" s="16" t="str">
        <f aca="false">IF($J247="","",IF($C247="",1,$C247))</f>
        <v/>
      </c>
    </row>
    <row r="248" customFormat="false" ht="15" hidden="false" customHeight="false" outlineLevel="0" collapsed="false">
      <c r="A248" s="7"/>
      <c r="B248" s="8"/>
      <c r="C248" s="9"/>
      <c r="D248" s="10"/>
      <c r="E248" s="11"/>
      <c r="F248" s="11"/>
      <c r="G248" s="8"/>
      <c r="H248" s="11"/>
      <c r="I248" s="12"/>
      <c r="J248" s="13" t="str">
        <f aca="false">IF(OR($A248="",$D248=""),"",IF($C248="",1,$C248)*$D248+N($E248)-N($F248))</f>
        <v/>
      </c>
      <c r="K248" s="13" t="str">
        <f aca="false">IF($J248="","",IF($R248&lt;&gt;"",$R248,IF($G248="",0,MAX(IFERROR(INDEX(Settings!$D$6:$D$15,MATCH($G248,Settings!$A$6:$A$15,0)),0),$J248*IFERROR(INDEX(Settings!$B$6:$B$15,MATCH($G248,Settings!$A$6:$A$15,0)),0)+IFERROR(INDEX(Settings!$C$6:$C$15,MATCH($G248,Settings!$A$6:$A$15,0)),0)))))</f>
        <v/>
      </c>
      <c r="L248" s="13" t="str">
        <f aca="false">IF($J248="","",IF($C248="",1,$C248)*IF($Q248&lt;&gt;"",$Q248,IFERROR(INDEX(Products!$D$5:$D$54,MATCH($B248,Products!$A$5:$A$54,0)),0)))</f>
        <v/>
      </c>
      <c r="M248" s="14" t="str">
        <f aca="false">IF($J248="","",$J248-$K248-N($H248)-$L248)</f>
        <v/>
      </c>
      <c r="N248" s="15" t="str">
        <f aca="false">IF($J248="","",IF($J248&gt;0,$M248/$J248,""))</f>
        <v/>
      </c>
      <c r="O248" s="12"/>
      <c r="P248" s="12"/>
      <c r="Q248" s="11"/>
      <c r="R248" s="11"/>
      <c r="S248" s="12"/>
      <c r="T248" s="16" t="str">
        <f aca="false">IF($J248="","",IF($C248="",1,$C248))</f>
        <v/>
      </c>
    </row>
    <row r="249" customFormat="false" ht="15" hidden="false" customHeight="false" outlineLevel="0" collapsed="false">
      <c r="A249" s="7"/>
      <c r="B249" s="8"/>
      <c r="C249" s="9"/>
      <c r="D249" s="10"/>
      <c r="E249" s="11"/>
      <c r="F249" s="11"/>
      <c r="G249" s="8"/>
      <c r="H249" s="11"/>
      <c r="I249" s="12"/>
      <c r="J249" s="13" t="str">
        <f aca="false">IF(OR($A249="",$D249=""),"",IF($C249="",1,$C249)*$D249+N($E249)-N($F249))</f>
        <v/>
      </c>
      <c r="K249" s="13" t="str">
        <f aca="false">IF($J249="","",IF($R249&lt;&gt;"",$R249,IF($G249="",0,MAX(IFERROR(INDEX(Settings!$D$6:$D$15,MATCH($G249,Settings!$A$6:$A$15,0)),0),$J249*IFERROR(INDEX(Settings!$B$6:$B$15,MATCH($G249,Settings!$A$6:$A$15,0)),0)+IFERROR(INDEX(Settings!$C$6:$C$15,MATCH($G249,Settings!$A$6:$A$15,0)),0)))))</f>
        <v/>
      </c>
      <c r="L249" s="13" t="str">
        <f aca="false">IF($J249="","",IF($C249="",1,$C249)*IF($Q249&lt;&gt;"",$Q249,IFERROR(INDEX(Products!$D$5:$D$54,MATCH($B249,Products!$A$5:$A$54,0)),0)))</f>
        <v/>
      </c>
      <c r="M249" s="14" t="str">
        <f aca="false">IF($J249="","",$J249-$K249-N($H249)-$L249)</f>
        <v/>
      </c>
      <c r="N249" s="15" t="str">
        <f aca="false">IF($J249="","",IF($J249&gt;0,$M249/$J249,""))</f>
        <v/>
      </c>
      <c r="O249" s="12"/>
      <c r="P249" s="12"/>
      <c r="Q249" s="11"/>
      <c r="R249" s="11"/>
      <c r="S249" s="12"/>
      <c r="T249" s="16" t="str">
        <f aca="false">IF($J249="","",IF($C249="",1,$C249))</f>
        <v/>
      </c>
    </row>
    <row r="250" customFormat="false" ht="15" hidden="false" customHeight="false" outlineLevel="0" collapsed="false">
      <c r="A250" s="7"/>
      <c r="B250" s="8"/>
      <c r="C250" s="9"/>
      <c r="D250" s="10"/>
      <c r="E250" s="11"/>
      <c r="F250" s="11"/>
      <c r="G250" s="8"/>
      <c r="H250" s="11"/>
      <c r="I250" s="12"/>
      <c r="J250" s="13" t="str">
        <f aca="false">IF(OR($A250="",$D250=""),"",IF($C250="",1,$C250)*$D250+N($E250)-N($F250))</f>
        <v/>
      </c>
      <c r="K250" s="13" t="str">
        <f aca="false">IF($J250="","",IF($R250&lt;&gt;"",$R250,IF($G250="",0,MAX(IFERROR(INDEX(Settings!$D$6:$D$15,MATCH($G250,Settings!$A$6:$A$15,0)),0),$J250*IFERROR(INDEX(Settings!$B$6:$B$15,MATCH($G250,Settings!$A$6:$A$15,0)),0)+IFERROR(INDEX(Settings!$C$6:$C$15,MATCH($G250,Settings!$A$6:$A$15,0)),0)))))</f>
        <v/>
      </c>
      <c r="L250" s="13" t="str">
        <f aca="false">IF($J250="","",IF($C250="",1,$C250)*IF($Q250&lt;&gt;"",$Q250,IFERROR(INDEX(Products!$D$5:$D$54,MATCH($B250,Products!$A$5:$A$54,0)),0)))</f>
        <v/>
      </c>
      <c r="M250" s="14" t="str">
        <f aca="false">IF($J250="","",$J250-$K250-N($H250)-$L250)</f>
        <v/>
      </c>
      <c r="N250" s="15" t="str">
        <f aca="false">IF($J250="","",IF($J250&gt;0,$M250/$J250,""))</f>
        <v/>
      </c>
      <c r="O250" s="12"/>
      <c r="P250" s="12"/>
      <c r="Q250" s="11"/>
      <c r="R250" s="11"/>
      <c r="S250" s="12"/>
      <c r="T250" s="16" t="str">
        <f aca="false">IF($J250="","",IF($C250="",1,$C250))</f>
        <v/>
      </c>
    </row>
    <row r="251" customFormat="false" ht="15" hidden="false" customHeight="false" outlineLevel="0" collapsed="false">
      <c r="A251" s="7"/>
      <c r="B251" s="8"/>
      <c r="C251" s="9"/>
      <c r="D251" s="10"/>
      <c r="E251" s="11"/>
      <c r="F251" s="11"/>
      <c r="G251" s="8"/>
      <c r="H251" s="11"/>
      <c r="I251" s="12"/>
      <c r="J251" s="13" t="str">
        <f aca="false">IF(OR($A251="",$D251=""),"",IF($C251="",1,$C251)*$D251+N($E251)-N($F251))</f>
        <v/>
      </c>
      <c r="K251" s="13" t="str">
        <f aca="false">IF($J251="","",IF($R251&lt;&gt;"",$R251,IF($G251="",0,MAX(IFERROR(INDEX(Settings!$D$6:$D$15,MATCH($G251,Settings!$A$6:$A$15,0)),0),$J251*IFERROR(INDEX(Settings!$B$6:$B$15,MATCH($G251,Settings!$A$6:$A$15,0)),0)+IFERROR(INDEX(Settings!$C$6:$C$15,MATCH($G251,Settings!$A$6:$A$15,0)),0)))))</f>
        <v/>
      </c>
      <c r="L251" s="13" t="str">
        <f aca="false">IF($J251="","",IF($C251="",1,$C251)*IF($Q251&lt;&gt;"",$Q251,IFERROR(INDEX(Products!$D$5:$D$54,MATCH($B251,Products!$A$5:$A$54,0)),0)))</f>
        <v/>
      </c>
      <c r="M251" s="14" t="str">
        <f aca="false">IF($J251="","",$J251-$K251-N($H251)-$L251)</f>
        <v/>
      </c>
      <c r="N251" s="15" t="str">
        <f aca="false">IF($J251="","",IF($J251&gt;0,$M251/$J251,""))</f>
        <v/>
      </c>
      <c r="O251" s="12"/>
      <c r="P251" s="12"/>
      <c r="Q251" s="11"/>
      <c r="R251" s="11"/>
      <c r="S251" s="12"/>
      <c r="T251" s="16" t="str">
        <f aca="false">IF($J251="","",IF($C251="",1,$C251))</f>
        <v/>
      </c>
    </row>
    <row r="252" customFormat="false" ht="15" hidden="false" customHeight="false" outlineLevel="0" collapsed="false">
      <c r="A252" s="7"/>
      <c r="B252" s="8"/>
      <c r="C252" s="9"/>
      <c r="D252" s="10"/>
      <c r="E252" s="11"/>
      <c r="F252" s="11"/>
      <c r="G252" s="8"/>
      <c r="H252" s="11"/>
      <c r="I252" s="12"/>
      <c r="J252" s="13" t="str">
        <f aca="false">IF(OR($A252="",$D252=""),"",IF($C252="",1,$C252)*$D252+N($E252)-N($F252))</f>
        <v/>
      </c>
      <c r="K252" s="13" t="str">
        <f aca="false">IF($J252="","",IF($R252&lt;&gt;"",$R252,IF($G252="",0,MAX(IFERROR(INDEX(Settings!$D$6:$D$15,MATCH($G252,Settings!$A$6:$A$15,0)),0),$J252*IFERROR(INDEX(Settings!$B$6:$B$15,MATCH($G252,Settings!$A$6:$A$15,0)),0)+IFERROR(INDEX(Settings!$C$6:$C$15,MATCH($G252,Settings!$A$6:$A$15,0)),0)))))</f>
        <v/>
      </c>
      <c r="L252" s="13" t="str">
        <f aca="false">IF($J252="","",IF($C252="",1,$C252)*IF($Q252&lt;&gt;"",$Q252,IFERROR(INDEX(Products!$D$5:$D$54,MATCH($B252,Products!$A$5:$A$54,0)),0)))</f>
        <v/>
      </c>
      <c r="M252" s="14" t="str">
        <f aca="false">IF($J252="","",$J252-$K252-N($H252)-$L252)</f>
        <v/>
      </c>
      <c r="N252" s="15" t="str">
        <f aca="false">IF($J252="","",IF($J252&gt;0,$M252/$J252,""))</f>
        <v/>
      </c>
      <c r="O252" s="12"/>
      <c r="P252" s="12"/>
      <c r="Q252" s="11"/>
      <c r="R252" s="11"/>
      <c r="S252" s="12"/>
      <c r="T252" s="16" t="str">
        <f aca="false">IF($J252="","",IF($C252="",1,$C252))</f>
        <v/>
      </c>
    </row>
    <row r="253" customFormat="false" ht="15" hidden="false" customHeight="false" outlineLevel="0" collapsed="false">
      <c r="A253" s="7"/>
      <c r="B253" s="8"/>
      <c r="C253" s="9"/>
      <c r="D253" s="10"/>
      <c r="E253" s="11"/>
      <c r="F253" s="11"/>
      <c r="G253" s="8"/>
      <c r="H253" s="11"/>
      <c r="I253" s="12"/>
      <c r="J253" s="13" t="str">
        <f aca="false">IF(OR($A253="",$D253=""),"",IF($C253="",1,$C253)*$D253+N($E253)-N($F253))</f>
        <v/>
      </c>
      <c r="K253" s="13" t="str">
        <f aca="false">IF($J253="","",IF($R253&lt;&gt;"",$R253,IF($G253="",0,MAX(IFERROR(INDEX(Settings!$D$6:$D$15,MATCH($G253,Settings!$A$6:$A$15,0)),0),$J253*IFERROR(INDEX(Settings!$B$6:$B$15,MATCH($G253,Settings!$A$6:$A$15,0)),0)+IFERROR(INDEX(Settings!$C$6:$C$15,MATCH($G253,Settings!$A$6:$A$15,0)),0)))))</f>
        <v/>
      </c>
      <c r="L253" s="13" t="str">
        <f aca="false">IF($J253="","",IF($C253="",1,$C253)*IF($Q253&lt;&gt;"",$Q253,IFERROR(INDEX(Products!$D$5:$D$54,MATCH($B253,Products!$A$5:$A$54,0)),0)))</f>
        <v/>
      </c>
      <c r="M253" s="14" t="str">
        <f aca="false">IF($J253="","",$J253-$K253-N($H253)-$L253)</f>
        <v/>
      </c>
      <c r="N253" s="15" t="str">
        <f aca="false">IF($J253="","",IF($J253&gt;0,$M253/$J253,""))</f>
        <v/>
      </c>
      <c r="O253" s="12"/>
      <c r="P253" s="12"/>
      <c r="Q253" s="11"/>
      <c r="R253" s="11"/>
      <c r="S253" s="12"/>
      <c r="T253" s="16" t="str">
        <f aca="false">IF($J253="","",IF($C253="",1,$C253))</f>
        <v/>
      </c>
    </row>
    <row r="254" customFormat="false" ht="15" hidden="false" customHeight="false" outlineLevel="0" collapsed="false">
      <c r="A254" s="7"/>
      <c r="B254" s="8"/>
      <c r="C254" s="9"/>
      <c r="D254" s="10"/>
      <c r="E254" s="11"/>
      <c r="F254" s="11"/>
      <c r="G254" s="8"/>
      <c r="H254" s="11"/>
      <c r="I254" s="12"/>
      <c r="J254" s="13" t="str">
        <f aca="false">IF(OR($A254="",$D254=""),"",IF($C254="",1,$C254)*$D254+N($E254)-N($F254))</f>
        <v/>
      </c>
      <c r="K254" s="13" t="str">
        <f aca="false">IF($J254="","",IF($R254&lt;&gt;"",$R254,IF($G254="",0,MAX(IFERROR(INDEX(Settings!$D$6:$D$15,MATCH($G254,Settings!$A$6:$A$15,0)),0),$J254*IFERROR(INDEX(Settings!$B$6:$B$15,MATCH($G254,Settings!$A$6:$A$15,0)),0)+IFERROR(INDEX(Settings!$C$6:$C$15,MATCH($G254,Settings!$A$6:$A$15,0)),0)))))</f>
        <v/>
      </c>
      <c r="L254" s="13" t="str">
        <f aca="false">IF($J254="","",IF($C254="",1,$C254)*IF($Q254&lt;&gt;"",$Q254,IFERROR(INDEX(Products!$D$5:$D$54,MATCH($B254,Products!$A$5:$A$54,0)),0)))</f>
        <v/>
      </c>
      <c r="M254" s="14" t="str">
        <f aca="false">IF($J254="","",$J254-$K254-N($H254)-$L254)</f>
        <v/>
      </c>
      <c r="N254" s="15" t="str">
        <f aca="false">IF($J254="","",IF($J254&gt;0,$M254/$J254,""))</f>
        <v/>
      </c>
      <c r="O254" s="12"/>
      <c r="P254" s="12"/>
      <c r="Q254" s="11"/>
      <c r="R254" s="11"/>
      <c r="S254" s="12"/>
      <c r="T254" s="16" t="str">
        <f aca="false">IF($J254="","",IF($C254="",1,$C254))</f>
        <v/>
      </c>
    </row>
    <row r="255" customFormat="false" ht="15" hidden="false" customHeight="false" outlineLevel="0" collapsed="false">
      <c r="A255" s="7"/>
      <c r="B255" s="8"/>
      <c r="C255" s="9"/>
      <c r="D255" s="10"/>
      <c r="E255" s="11"/>
      <c r="F255" s="11"/>
      <c r="G255" s="8"/>
      <c r="H255" s="11"/>
      <c r="I255" s="12"/>
      <c r="J255" s="13" t="str">
        <f aca="false">IF(OR($A255="",$D255=""),"",IF($C255="",1,$C255)*$D255+N($E255)-N($F255))</f>
        <v/>
      </c>
      <c r="K255" s="13" t="str">
        <f aca="false">IF($J255="","",IF($R255&lt;&gt;"",$R255,IF($G255="",0,MAX(IFERROR(INDEX(Settings!$D$6:$D$15,MATCH($G255,Settings!$A$6:$A$15,0)),0),$J255*IFERROR(INDEX(Settings!$B$6:$B$15,MATCH($G255,Settings!$A$6:$A$15,0)),0)+IFERROR(INDEX(Settings!$C$6:$C$15,MATCH($G255,Settings!$A$6:$A$15,0)),0)))))</f>
        <v/>
      </c>
      <c r="L255" s="13" t="str">
        <f aca="false">IF($J255="","",IF($C255="",1,$C255)*IF($Q255&lt;&gt;"",$Q255,IFERROR(INDEX(Products!$D$5:$D$54,MATCH($B255,Products!$A$5:$A$54,0)),0)))</f>
        <v/>
      </c>
      <c r="M255" s="14" t="str">
        <f aca="false">IF($J255="","",$J255-$K255-N($H255)-$L255)</f>
        <v/>
      </c>
      <c r="N255" s="15" t="str">
        <f aca="false">IF($J255="","",IF($J255&gt;0,$M255/$J255,""))</f>
        <v/>
      </c>
      <c r="O255" s="12"/>
      <c r="P255" s="12"/>
      <c r="Q255" s="11"/>
      <c r="R255" s="11"/>
      <c r="S255" s="12"/>
      <c r="T255" s="16" t="str">
        <f aca="false">IF($J255="","",IF($C255="",1,$C255))</f>
        <v/>
      </c>
    </row>
    <row r="256" customFormat="false" ht="15" hidden="false" customHeight="false" outlineLevel="0" collapsed="false">
      <c r="A256" s="7"/>
      <c r="B256" s="8"/>
      <c r="C256" s="9"/>
      <c r="D256" s="10"/>
      <c r="E256" s="11"/>
      <c r="F256" s="11"/>
      <c r="G256" s="8"/>
      <c r="H256" s="11"/>
      <c r="I256" s="12"/>
      <c r="J256" s="13" t="str">
        <f aca="false">IF(OR($A256="",$D256=""),"",IF($C256="",1,$C256)*$D256+N($E256)-N($F256))</f>
        <v/>
      </c>
      <c r="K256" s="13" t="str">
        <f aca="false">IF($J256="","",IF($R256&lt;&gt;"",$R256,IF($G256="",0,MAX(IFERROR(INDEX(Settings!$D$6:$D$15,MATCH($G256,Settings!$A$6:$A$15,0)),0),$J256*IFERROR(INDEX(Settings!$B$6:$B$15,MATCH($G256,Settings!$A$6:$A$15,0)),0)+IFERROR(INDEX(Settings!$C$6:$C$15,MATCH($G256,Settings!$A$6:$A$15,0)),0)))))</f>
        <v/>
      </c>
      <c r="L256" s="13" t="str">
        <f aca="false">IF($J256="","",IF($C256="",1,$C256)*IF($Q256&lt;&gt;"",$Q256,IFERROR(INDEX(Products!$D$5:$D$54,MATCH($B256,Products!$A$5:$A$54,0)),0)))</f>
        <v/>
      </c>
      <c r="M256" s="14" t="str">
        <f aca="false">IF($J256="","",$J256-$K256-N($H256)-$L256)</f>
        <v/>
      </c>
      <c r="N256" s="15" t="str">
        <f aca="false">IF($J256="","",IF($J256&gt;0,$M256/$J256,""))</f>
        <v/>
      </c>
      <c r="O256" s="12"/>
      <c r="P256" s="12"/>
      <c r="Q256" s="11"/>
      <c r="R256" s="11"/>
      <c r="S256" s="12"/>
      <c r="T256" s="16" t="str">
        <f aca="false">IF($J256="","",IF($C256="",1,$C256))</f>
        <v/>
      </c>
    </row>
    <row r="257" customFormat="false" ht="15" hidden="false" customHeight="false" outlineLevel="0" collapsed="false">
      <c r="A257" s="7"/>
      <c r="B257" s="8"/>
      <c r="C257" s="9"/>
      <c r="D257" s="10"/>
      <c r="E257" s="11"/>
      <c r="F257" s="11"/>
      <c r="G257" s="8"/>
      <c r="H257" s="11"/>
      <c r="I257" s="12"/>
      <c r="J257" s="13" t="str">
        <f aca="false">IF(OR($A257="",$D257=""),"",IF($C257="",1,$C257)*$D257+N($E257)-N($F257))</f>
        <v/>
      </c>
      <c r="K257" s="13" t="str">
        <f aca="false">IF($J257="","",IF($R257&lt;&gt;"",$R257,IF($G257="",0,MAX(IFERROR(INDEX(Settings!$D$6:$D$15,MATCH($G257,Settings!$A$6:$A$15,0)),0),$J257*IFERROR(INDEX(Settings!$B$6:$B$15,MATCH($G257,Settings!$A$6:$A$15,0)),0)+IFERROR(INDEX(Settings!$C$6:$C$15,MATCH($G257,Settings!$A$6:$A$15,0)),0)))))</f>
        <v/>
      </c>
      <c r="L257" s="13" t="str">
        <f aca="false">IF($J257="","",IF($C257="",1,$C257)*IF($Q257&lt;&gt;"",$Q257,IFERROR(INDEX(Products!$D$5:$D$54,MATCH($B257,Products!$A$5:$A$54,0)),0)))</f>
        <v/>
      </c>
      <c r="M257" s="14" t="str">
        <f aca="false">IF($J257="","",$J257-$K257-N($H257)-$L257)</f>
        <v/>
      </c>
      <c r="N257" s="15" t="str">
        <f aca="false">IF($J257="","",IF($J257&gt;0,$M257/$J257,""))</f>
        <v/>
      </c>
      <c r="O257" s="12"/>
      <c r="P257" s="12"/>
      <c r="Q257" s="11"/>
      <c r="R257" s="11"/>
      <c r="S257" s="12"/>
      <c r="T257" s="16" t="str">
        <f aca="false">IF($J257="","",IF($C257="",1,$C257))</f>
        <v/>
      </c>
    </row>
    <row r="258" customFormat="false" ht="15" hidden="false" customHeight="false" outlineLevel="0" collapsed="false">
      <c r="A258" s="7"/>
      <c r="B258" s="8"/>
      <c r="C258" s="9"/>
      <c r="D258" s="10"/>
      <c r="E258" s="11"/>
      <c r="F258" s="11"/>
      <c r="G258" s="8"/>
      <c r="H258" s="11"/>
      <c r="I258" s="12"/>
      <c r="J258" s="13" t="str">
        <f aca="false">IF(OR($A258="",$D258=""),"",IF($C258="",1,$C258)*$D258+N($E258)-N($F258))</f>
        <v/>
      </c>
      <c r="K258" s="13" t="str">
        <f aca="false">IF($J258="","",IF($R258&lt;&gt;"",$R258,IF($G258="",0,MAX(IFERROR(INDEX(Settings!$D$6:$D$15,MATCH($G258,Settings!$A$6:$A$15,0)),0),$J258*IFERROR(INDEX(Settings!$B$6:$B$15,MATCH($G258,Settings!$A$6:$A$15,0)),0)+IFERROR(INDEX(Settings!$C$6:$C$15,MATCH($G258,Settings!$A$6:$A$15,0)),0)))))</f>
        <v/>
      </c>
      <c r="L258" s="13" t="str">
        <f aca="false">IF($J258="","",IF($C258="",1,$C258)*IF($Q258&lt;&gt;"",$Q258,IFERROR(INDEX(Products!$D$5:$D$54,MATCH($B258,Products!$A$5:$A$54,0)),0)))</f>
        <v/>
      </c>
      <c r="M258" s="14" t="str">
        <f aca="false">IF($J258="","",$J258-$K258-N($H258)-$L258)</f>
        <v/>
      </c>
      <c r="N258" s="15" t="str">
        <f aca="false">IF($J258="","",IF($J258&gt;0,$M258/$J258,""))</f>
        <v/>
      </c>
      <c r="O258" s="12"/>
      <c r="P258" s="12"/>
      <c r="Q258" s="11"/>
      <c r="R258" s="11"/>
      <c r="S258" s="12"/>
      <c r="T258" s="16" t="str">
        <f aca="false">IF($J258="","",IF($C258="",1,$C258))</f>
        <v/>
      </c>
    </row>
    <row r="259" customFormat="false" ht="15" hidden="false" customHeight="false" outlineLevel="0" collapsed="false">
      <c r="A259" s="7"/>
      <c r="B259" s="8"/>
      <c r="C259" s="9"/>
      <c r="D259" s="10"/>
      <c r="E259" s="11"/>
      <c r="F259" s="11"/>
      <c r="G259" s="8"/>
      <c r="H259" s="11"/>
      <c r="I259" s="12"/>
      <c r="J259" s="13" t="str">
        <f aca="false">IF(OR($A259="",$D259=""),"",IF($C259="",1,$C259)*$D259+N($E259)-N($F259))</f>
        <v/>
      </c>
      <c r="K259" s="13" t="str">
        <f aca="false">IF($J259="","",IF($R259&lt;&gt;"",$R259,IF($G259="",0,MAX(IFERROR(INDEX(Settings!$D$6:$D$15,MATCH($G259,Settings!$A$6:$A$15,0)),0),$J259*IFERROR(INDEX(Settings!$B$6:$B$15,MATCH($G259,Settings!$A$6:$A$15,0)),0)+IFERROR(INDEX(Settings!$C$6:$C$15,MATCH($G259,Settings!$A$6:$A$15,0)),0)))))</f>
        <v/>
      </c>
      <c r="L259" s="13" t="str">
        <f aca="false">IF($J259="","",IF($C259="",1,$C259)*IF($Q259&lt;&gt;"",$Q259,IFERROR(INDEX(Products!$D$5:$D$54,MATCH($B259,Products!$A$5:$A$54,0)),0)))</f>
        <v/>
      </c>
      <c r="M259" s="14" t="str">
        <f aca="false">IF($J259="","",$J259-$K259-N($H259)-$L259)</f>
        <v/>
      </c>
      <c r="N259" s="15" t="str">
        <f aca="false">IF($J259="","",IF($J259&gt;0,$M259/$J259,""))</f>
        <v/>
      </c>
      <c r="O259" s="12"/>
      <c r="P259" s="12"/>
      <c r="Q259" s="11"/>
      <c r="R259" s="11"/>
      <c r="S259" s="12"/>
      <c r="T259" s="16" t="str">
        <f aca="false">IF($J259="","",IF($C259="",1,$C259))</f>
        <v/>
      </c>
    </row>
    <row r="260" customFormat="false" ht="15" hidden="false" customHeight="false" outlineLevel="0" collapsed="false">
      <c r="A260" s="7"/>
      <c r="B260" s="8"/>
      <c r="C260" s="9"/>
      <c r="D260" s="10"/>
      <c r="E260" s="11"/>
      <c r="F260" s="11"/>
      <c r="G260" s="8"/>
      <c r="H260" s="11"/>
      <c r="I260" s="12"/>
      <c r="J260" s="13" t="str">
        <f aca="false">IF(OR($A260="",$D260=""),"",IF($C260="",1,$C260)*$D260+N($E260)-N($F260))</f>
        <v/>
      </c>
      <c r="K260" s="13" t="str">
        <f aca="false">IF($J260="","",IF($R260&lt;&gt;"",$R260,IF($G260="",0,MAX(IFERROR(INDEX(Settings!$D$6:$D$15,MATCH($G260,Settings!$A$6:$A$15,0)),0),$J260*IFERROR(INDEX(Settings!$B$6:$B$15,MATCH($G260,Settings!$A$6:$A$15,0)),0)+IFERROR(INDEX(Settings!$C$6:$C$15,MATCH($G260,Settings!$A$6:$A$15,0)),0)))))</f>
        <v/>
      </c>
      <c r="L260" s="13" t="str">
        <f aca="false">IF($J260="","",IF($C260="",1,$C260)*IF($Q260&lt;&gt;"",$Q260,IFERROR(INDEX(Products!$D$5:$D$54,MATCH($B260,Products!$A$5:$A$54,0)),0)))</f>
        <v/>
      </c>
      <c r="M260" s="14" t="str">
        <f aca="false">IF($J260="","",$J260-$K260-N($H260)-$L260)</f>
        <v/>
      </c>
      <c r="N260" s="15" t="str">
        <f aca="false">IF($J260="","",IF($J260&gt;0,$M260/$J260,""))</f>
        <v/>
      </c>
      <c r="O260" s="12"/>
      <c r="P260" s="12"/>
      <c r="Q260" s="11"/>
      <c r="R260" s="11"/>
      <c r="S260" s="12"/>
      <c r="T260" s="16" t="str">
        <f aca="false">IF($J260="","",IF($C260="",1,$C260))</f>
        <v/>
      </c>
    </row>
    <row r="261" customFormat="false" ht="15" hidden="false" customHeight="false" outlineLevel="0" collapsed="false">
      <c r="A261" s="7"/>
      <c r="B261" s="8"/>
      <c r="C261" s="9"/>
      <c r="D261" s="10"/>
      <c r="E261" s="11"/>
      <c r="F261" s="11"/>
      <c r="G261" s="8"/>
      <c r="H261" s="11"/>
      <c r="I261" s="12"/>
      <c r="J261" s="13" t="str">
        <f aca="false">IF(OR($A261="",$D261=""),"",IF($C261="",1,$C261)*$D261+N($E261)-N($F261))</f>
        <v/>
      </c>
      <c r="K261" s="13" t="str">
        <f aca="false">IF($J261="","",IF($R261&lt;&gt;"",$R261,IF($G261="",0,MAX(IFERROR(INDEX(Settings!$D$6:$D$15,MATCH($G261,Settings!$A$6:$A$15,0)),0),$J261*IFERROR(INDEX(Settings!$B$6:$B$15,MATCH($G261,Settings!$A$6:$A$15,0)),0)+IFERROR(INDEX(Settings!$C$6:$C$15,MATCH($G261,Settings!$A$6:$A$15,0)),0)))))</f>
        <v/>
      </c>
      <c r="L261" s="13" t="str">
        <f aca="false">IF($J261="","",IF($C261="",1,$C261)*IF($Q261&lt;&gt;"",$Q261,IFERROR(INDEX(Products!$D$5:$D$54,MATCH($B261,Products!$A$5:$A$54,0)),0)))</f>
        <v/>
      </c>
      <c r="M261" s="14" t="str">
        <f aca="false">IF($J261="","",$J261-$K261-N($H261)-$L261)</f>
        <v/>
      </c>
      <c r="N261" s="15" t="str">
        <f aca="false">IF($J261="","",IF($J261&gt;0,$M261/$J261,""))</f>
        <v/>
      </c>
      <c r="O261" s="12"/>
      <c r="P261" s="12"/>
      <c r="Q261" s="11"/>
      <c r="R261" s="11"/>
      <c r="S261" s="12"/>
      <c r="T261" s="16" t="str">
        <f aca="false">IF($J261="","",IF($C261="",1,$C261))</f>
        <v/>
      </c>
    </row>
    <row r="262" customFormat="false" ht="15" hidden="false" customHeight="false" outlineLevel="0" collapsed="false">
      <c r="A262" s="7"/>
      <c r="B262" s="8"/>
      <c r="C262" s="9"/>
      <c r="D262" s="10"/>
      <c r="E262" s="11"/>
      <c r="F262" s="11"/>
      <c r="G262" s="8"/>
      <c r="H262" s="11"/>
      <c r="I262" s="12"/>
      <c r="J262" s="13" t="str">
        <f aca="false">IF(OR($A262="",$D262=""),"",IF($C262="",1,$C262)*$D262+N($E262)-N($F262))</f>
        <v/>
      </c>
      <c r="K262" s="13" t="str">
        <f aca="false">IF($J262="","",IF($R262&lt;&gt;"",$R262,IF($G262="",0,MAX(IFERROR(INDEX(Settings!$D$6:$D$15,MATCH($G262,Settings!$A$6:$A$15,0)),0),$J262*IFERROR(INDEX(Settings!$B$6:$B$15,MATCH($G262,Settings!$A$6:$A$15,0)),0)+IFERROR(INDEX(Settings!$C$6:$C$15,MATCH($G262,Settings!$A$6:$A$15,0)),0)))))</f>
        <v/>
      </c>
      <c r="L262" s="13" t="str">
        <f aca="false">IF($J262="","",IF($C262="",1,$C262)*IF($Q262&lt;&gt;"",$Q262,IFERROR(INDEX(Products!$D$5:$D$54,MATCH($B262,Products!$A$5:$A$54,0)),0)))</f>
        <v/>
      </c>
      <c r="M262" s="14" t="str">
        <f aca="false">IF($J262="","",$J262-$K262-N($H262)-$L262)</f>
        <v/>
      </c>
      <c r="N262" s="15" t="str">
        <f aca="false">IF($J262="","",IF($J262&gt;0,$M262/$J262,""))</f>
        <v/>
      </c>
      <c r="O262" s="12"/>
      <c r="P262" s="12"/>
      <c r="Q262" s="11"/>
      <c r="R262" s="11"/>
      <c r="S262" s="12"/>
      <c r="T262" s="16" t="str">
        <f aca="false">IF($J262="","",IF($C262="",1,$C262))</f>
        <v/>
      </c>
    </row>
    <row r="263" customFormat="false" ht="15" hidden="false" customHeight="false" outlineLevel="0" collapsed="false">
      <c r="A263" s="7"/>
      <c r="B263" s="8"/>
      <c r="C263" s="9"/>
      <c r="D263" s="10"/>
      <c r="E263" s="11"/>
      <c r="F263" s="11"/>
      <c r="G263" s="8"/>
      <c r="H263" s="11"/>
      <c r="I263" s="12"/>
      <c r="J263" s="13" t="str">
        <f aca="false">IF(OR($A263="",$D263=""),"",IF($C263="",1,$C263)*$D263+N($E263)-N($F263))</f>
        <v/>
      </c>
      <c r="K263" s="13" t="str">
        <f aca="false">IF($J263="","",IF($R263&lt;&gt;"",$R263,IF($G263="",0,MAX(IFERROR(INDEX(Settings!$D$6:$D$15,MATCH($G263,Settings!$A$6:$A$15,0)),0),$J263*IFERROR(INDEX(Settings!$B$6:$B$15,MATCH($G263,Settings!$A$6:$A$15,0)),0)+IFERROR(INDEX(Settings!$C$6:$C$15,MATCH($G263,Settings!$A$6:$A$15,0)),0)))))</f>
        <v/>
      </c>
      <c r="L263" s="13" t="str">
        <f aca="false">IF($J263="","",IF($C263="",1,$C263)*IF($Q263&lt;&gt;"",$Q263,IFERROR(INDEX(Products!$D$5:$D$54,MATCH($B263,Products!$A$5:$A$54,0)),0)))</f>
        <v/>
      </c>
      <c r="M263" s="14" t="str">
        <f aca="false">IF($J263="","",$J263-$K263-N($H263)-$L263)</f>
        <v/>
      </c>
      <c r="N263" s="15" t="str">
        <f aca="false">IF($J263="","",IF($J263&gt;0,$M263/$J263,""))</f>
        <v/>
      </c>
      <c r="O263" s="12"/>
      <c r="P263" s="12"/>
      <c r="Q263" s="11"/>
      <c r="R263" s="11"/>
      <c r="S263" s="12"/>
      <c r="T263" s="16" t="str">
        <f aca="false">IF($J263="","",IF($C263="",1,$C263))</f>
        <v/>
      </c>
    </row>
    <row r="264" customFormat="false" ht="15" hidden="false" customHeight="false" outlineLevel="0" collapsed="false">
      <c r="A264" s="7"/>
      <c r="B264" s="8"/>
      <c r="C264" s="9"/>
      <c r="D264" s="10"/>
      <c r="E264" s="11"/>
      <c r="F264" s="11"/>
      <c r="G264" s="8"/>
      <c r="H264" s="11"/>
      <c r="I264" s="12"/>
      <c r="J264" s="13" t="str">
        <f aca="false">IF(OR($A264="",$D264=""),"",IF($C264="",1,$C264)*$D264+N($E264)-N($F264))</f>
        <v/>
      </c>
      <c r="K264" s="13" t="str">
        <f aca="false">IF($J264="","",IF($R264&lt;&gt;"",$R264,IF($G264="",0,MAX(IFERROR(INDEX(Settings!$D$6:$D$15,MATCH($G264,Settings!$A$6:$A$15,0)),0),$J264*IFERROR(INDEX(Settings!$B$6:$B$15,MATCH($G264,Settings!$A$6:$A$15,0)),0)+IFERROR(INDEX(Settings!$C$6:$C$15,MATCH($G264,Settings!$A$6:$A$15,0)),0)))))</f>
        <v/>
      </c>
      <c r="L264" s="13" t="str">
        <f aca="false">IF($J264="","",IF($C264="",1,$C264)*IF($Q264&lt;&gt;"",$Q264,IFERROR(INDEX(Products!$D$5:$D$54,MATCH($B264,Products!$A$5:$A$54,0)),0)))</f>
        <v/>
      </c>
      <c r="M264" s="14" t="str">
        <f aca="false">IF($J264="","",$J264-$K264-N($H264)-$L264)</f>
        <v/>
      </c>
      <c r="N264" s="15" t="str">
        <f aca="false">IF($J264="","",IF($J264&gt;0,$M264/$J264,""))</f>
        <v/>
      </c>
      <c r="O264" s="12"/>
      <c r="P264" s="12"/>
      <c r="Q264" s="11"/>
      <c r="R264" s="11"/>
      <c r="S264" s="12"/>
      <c r="T264" s="16" t="str">
        <f aca="false">IF($J264="","",IF($C264="",1,$C264))</f>
        <v/>
      </c>
    </row>
    <row r="265" customFormat="false" ht="15" hidden="false" customHeight="false" outlineLevel="0" collapsed="false">
      <c r="A265" s="7"/>
      <c r="B265" s="8"/>
      <c r="C265" s="9"/>
      <c r="D265" s="10"/>
      <c r="E265" s="11"/>
      <c r="F265" s="11"/>
      <c r="G265" s="8"/>
      <c r="H265" s="11"/>
      <c r="I265" s="12"/>
      <c r="J265" s="13" t="str">
        <f aca="false">IF(OR($A265="",$D265=""),"",IF($C265="",1,$C265)*$D265+N($E265)-N($F265))</f>
        <v/>
      </c>
      <c r="K265" s="13" t="str">
        <f aca="false">IF($J265="","",IF($R265&lt;&gt;"",$R265,IF($G265="",0,MAX(IFERROR(INDEX(Settings!$D$6:$D$15,MATCH($G265,Settings!$A$6:$A$15,0)),0),$J265*IFERROR(INDEX(Settings!$B$6:$B$15,MATCH($G265,Settings!$A$6:$A$15,0)),0)+IFERROR(INDEX(Settings!$C$6:$C$15,MATCH($G265,Settings!$A$6:$A$15,0)),0)))))</f>
        <v/>
      </c>
      <c r="L265" s="13" t="str">
        <f aca="false">IF($J265="","",IF($C265="",1,$C265)*IF($Q265&lt;&gt;"",$Q265,IFERROR(INDEX(Products!$D$5:$D$54,MATCH($B265,Products!$A$5:$A$54,0)),0)))</f>
        <v/>
      </c>
      <c r="M265" s="14" t="str">
        <f aca="false">IF($J265="","",$J265-$K265-N($H265)-$L265)</f>
        <v/>
      </c>
      <c r="N265" s="15" t="str">
        <f aca="false">IF($J265="","",IF($J265&gt;0,$M265/$J265,""))</f>
        <v/>
      </c>
      <c r="O265" s="12"/>
      <c r="P265" s="12"/>
      <c r="Q265" s="11"/>
      <c r="R265" s="11"/>
      <c r="S265" s="12"/>
      <c r="T265" s="16" t="str">
        <f aca="false">IF($J265="","",IF($C265="",1,$C265))</f>
        <v/>
      </c>
    </row>
    <row r="266" customFormat="false" ht="15" hidden="false" customHeight="false" outlineLevel="0" collapsed="false">
      <c r="A266" s="7"/>
      <c r="B266" s="8"/>
      <c r="C266" s="9"/>
      <c r="D266" s="10"/>
      <c r="E266" s="11"/>
      <c r="F266" s="11"/>
      <c r="G266" s="8"/>
      <c r="H266" s="11"/>
      <c r="I266" s="12"/>
      <c r="J266" s="13" t="str">
        <f aca="false">IF(OR($A266="",$D266=""),"",IF($C266="",1,$C266)*$D266+N($E266)-N($F266))</f>
        <v/>
      </c>
      <c r="K266" s="13" t="str">
        <f aca="false">IF($J266="","",IF($R266&lt;&gt;"",$R266,IF($G266="",0,MAX(IFERROR(INDEX(Settings!$D$6:$D$15,MATCH($G266,Settings!$A$6:$A$15,0)),0),$J266*IFERROR(INDEX(Settings!$B$6:$B$15,MATCH($G266,Settings!$A$6:$A$15,0)),0)+IFERROR(INDEX(Settings!$C$6:$C$15,MATCH($G266,Settings!$A$6:$A$15,0)),0)))))</f>
        <v/>
      </c>
      <c r="L266" s="13" t="str">
        <f aca="false">IF($J266="","",IF($C266="",1,$C266)*IF($Q266&lt;&gt;"",$Q266,IFERROR(INDEX(Products!$D$5:$D$54,MATCH($B266,Products!$A$5:$A$54,0)),0)))</f>
        <v/>
      </c>
      <c r="M266" s="14" t="str">
        <f aca="false">IF($J266="","",$J266-$K266-N($H266)-$L266)</f>
        <v/>
      </c>
      <c r="N266" s="15" t="str">
        <f aca="false">IF($J266="","",IF($J266&gt;0,$M266/$J266,""))</f>
        <v/>
      </c>
      <c r="O266" s="12"/>
      <c r="P266" s="12"/>
      <c r="Q266" s="11"/>
      <c r="R266" s="11"/>
      <c r="S266" s="12"/>
      <c r="T266" s="16" t="str">
        <f aca="false">IF($J266="","",IF($C266="",1,$C266))</f>
        <v/>
      </c>
    </row>
    <row r="267" customFormat="false" ht="15" hidden="false" customHeight="false" outlineLevel="0" collapsed="false">
      <c r="A267" s="7"/>
      <c r="B267" s="8"/>
      <c r="C267" s="9"/>
      <c r="D267" s="10"/>
      <c r="E267" s="11"/>
      <c r="F267" s="11"/>
      <c r="G267" s="8"/>
      <c r="H267" s="11"/>
      <c r="I267" s="12"/>
      <c r="J267" s="13" t="str">
        <f aca="false">IF(OR($A267="",$D267=""),"",IF($C267="",1,$C267)*$D267+N($E267)-N($F267))</f>
        <v/>
      </c>
      <c r="K267" s="13" t="str">
        <f aca="false">IF($J267="","",IF($R267&lt;&gt;"",$R267,IF($G267="",0,MAX(IFERROR(INDEX(Settings!$D$6:$D$15,MATCH($G267,Settings!$A$6:$A$15,0)),0),$J267*IFERROR(INDEX(Settings!$B$6:$B$15,MATCH($G267,Settings!$A$6:$A$15,0)),0)+IFERROR(INDEX(Settings!$C$6:$C$15,MATCH($G267,Settings!$A$6:$A$15,0)),0)))))</f>
        <v/>
      </c>
      <c r="L267" s="13" t="str">
        <f aca="false">IF($J267="","",IF($C267="",1,$C267)*IF($Q267&lt;&gt;"",$Q267,IFERROR(INDEX(Products!$D$5:$D$54,MATCH($B267,Products!$A$5:$A$54,0)),0)))</f>
        <v/>
      </c>
      <c r="M267" s="14" t="str">
        <f aca="false">IF($J267="","",$J267-$K267-N($H267)-$L267)</f>
        <v/>
      </c>
      <c r="N267" s="15" t="str">
        <f aca="false">IF($J267="","",IF($J267&gt;0,$M267/$J267,""))</f>
        <v/>
      </c>
      <c r="O267" s="12"/>
      <c r="P267" s="12"/>
      <c r="Q267" s="11"/>
      <c r="R267" s="11"/>
      <c r="S267" s="12"/>
      <c r="T267" s="16" t="str">
        <f aca="false">IF($J267="","",IF($C267="",1,$C267))</f>
        <v/>
      </c>
    </row>
    <row r="268" customFormat="false" ht="15" hidden="false" customHeight="false" outlineLevel="0" collapsed="false">
      <c r="A268" s="7"/>
      <c r="B268" s="8"/>
      <c r="C268" s="9"/>
      <c r="D268" s="10"/>
      <c r="E268" s="11"/>
      <c r="F268" s="11"/>
      <c r="G268" s="8"/>
      <c r="H268" s="11"/>
      <c r="I268" s="12"/>
      <c r="J268" s="13" t="str">
        <f aca="false">IF(OR($A268="",$D268=""),"",IF($C268="",1,$C268)*$D268+N($E268)-N($F268))</f>
        <v/>
      </c>
      <c r="K268" s="13" t="str">
        <f aca="false">IF($J268="","",IF($R268&lt;&gt;"",$R268,IF($G268="",0,MAX(IFERROR(INDEX(Settings!$D$6:$D$15,MATCH($G268,Settings!$A$6:$A$15,0)),0),$J268*IFERROR(INDEX(Settings!$B$6:$B$15,MATCH($G268,Settings!$A$6:$A$15,0)),0)+IFERROR(INDEX(Settings!$C$6:$C$15,MATCH($G268,Settings!$A$6:$A$15,0)),0)))))</f>
        <v/>
      </c>
      <c r="L268" s="13" t="str">
        <f aca="false">IF($J268="","",IF($C268="",1,$C268)*IF($Q268&lt;&gt;"",$Q268,IFERROR(INDEX(Products!$D$5:$D$54,MATCH($B268,Products!$A$5:$A$54,0)),0)))</f>
        <v/>
      </c>
      <c r="M268" s="14" t="str">
        <f aca="false">IF($J268="","",$J268-$K268-N($H268)-$L268)</f>
        <v/>
      </c>
      <c r="N268" s="15" t="str">
        <f aca="false">IF($J268="","",IF($J268&gt;0,$M268/$J268,""))</f>
        <v/>
      </c>
      <c r="O268" s="12"/>
      <c r="P268" s="12"/>
      <c r="Q268" s="11"/>
      <c r="R268" s="11"/>
      <c r="S268" s="12"/>
      <c r="T268" s="16" t="str">
        <f aca="false">IF($J268="","",IF($C268="",1,$C268))</f>
        <v/>
      </c>
    </row>
    <row r="269" customFormat="false" ht="15" hidden="false" customHeight="false" outlineLevel="0" collapsed="false">
      <c r="A269" s="7"/>
      <c r="B269" s="8"/>
      <c r="C269" s="9"/>
      <c r="D269" s="10"/>
      <c r="E269" s="11"/>
      <c r="F269" s="11"/>
      <c r="G269" s="8"/>
      <c r="H269" s="11"/>
      <c r="I269" s="12"/>
      <c r="J269" s="13" t="str">
        <f aca="false">IF(OR($A269="",$D269=""),"",IF($C269="",1,$C269)*$D269+N($E269)-N($F269))</f>
        <v/>
      </c>
      <c r="K269" s="13" t="str">
        <f aca="false">IF($J269="","",IF($R269&lt;&gt;"",$R269,IF($G269="",0,MAX(IFERROR(INDEX(Settings!$D$6:$D$15,MATCH($G269,Settings!$A$6:$A$15,0)),0),$J269*IFERROR(INDEX(Settings!$B$6:$B$15,MATCH($G269,Settings!$A$6:$A$15,0)),0)+IFERROR(INDEX(Settings!$C$6:$C$15,MATCH($G269,Settings!$A$6:$A$15,0)),0)))))</f>
        <v/>
      </c>
      <c r="L269" s="13" t="str">
        <f aca="false">IF($J269="","",IF($C269="",1,$C269)*IF($Q269&lt;&gt;"",$Q269,IFERROR(INDEX(Products!$D$5:$D$54,MATCH($B269,Products!$A$5:$A$54,0)),0)))</f>
        <v/>
      </c>
      <c r="M269" s="14" t="str">
        <f aca="false">IF($J269="","",$J269-$K269-N($H269)-$L269)</f>
        <v/>
      </c>
      <c r="N269" s="15" t="str">
        <f aca="false">IF($J269="","",IF($J269&gt;0,$M269/$J269,""))</f>
        <v/>
      </c>
      <c r="O269" s="12"/>
      <c r="P269" s="12"/>
      <c r="Q269" s="11"/>
      <c r="R269" s="11"/>
      <c r="S269" s="12"/>
      <c r="T269" s="16" t="str">
        <f aca="false">IF($J269="","",IF($C269="",1,$C269))</f>
        <v/>
      </c>
    </row>
    <row r="270" customFormat="false" ht="15" hidden="false" customHeight="false" outlineLevel="0" collapsed="false">
      <c r="A270" s="7"/>
      <c r="B270" s="8"/>
      <c r="C270" s="9"/>
      <c r="D270" s="10"/>
      <c r="E270" s="11"/>
      <c r="F270" s="11"/>
      <c r="G270" s="8"/>
      <c r="H270" s="11"/>
      <c r="I270" s="12"/>
      <c r="J270" s="13" t="str">
        <f aca="false">IF(OR($A270="",$D270=""),"",IF($C270="",1,$C270)*$D270+N($E270)-N($F270))</f>
        <v/>
      </c>
      <c r="K270" s="13" t="str">
        <f aca="false">IF($J270="","",IF($R270&lt;&gt;"",$R270,IF($G270="",0,MAX(IFERROR(INDEX(Settings!$D$6:$D$15,MATCH($G270,Settings!$A$6:$A$15,0)),0),$J270*IFERROR(INDEX(Settings!$B$6:$B$15,MATCH($G270,Settings!$A$6:$A$15,0)),0)+IFERROR(INDEX(Settings!$C$6:$C$15,MATCH($G270,Settings!$A$6:$A$15,0)),0)))))</f>
        <v/>
      </c>
      <c r="L270" s="13" t="str">
        <f aca="false">IF($J270="","",IF($C270="",1,$C270)*IF($Q270&lt;&gt;"",$Q270,IFERROR(INDEX(Products!$D$5:$D$54,MATCH($B270,Products!$A$5:$A$54,0)),0)))</f>
        <v/>
      </c>
      <c r="M270" s="14" t="str">
        <f aca="false">IF($J270="","",$J270-$K270-N($H270)-$L270)</f>
        <v/>
      </c>
      <c r="N270" s="15" t="str">
        <f aca="false">IF($J270="","",IF($J270&gt;0,$M270/$J270,""))</f>
        <v/>
      </c>
      <c r="O270" s="12"/>
      <c r="P270" s="12"/>
      <c r="Q270" s="11"/>
      <c r="R270" s="11"/>
      <c r="S270" s="12"/>
      <c r="T270" s="16" t="str">
        <f aca="false">IF($J270="","",IF($C270="",1,$C270))</f>
        <v/>
      </c>
    </row>
    <row r="271" customFormat="false" ht="15" hidden="false" customHeight="false" outlineLevel="0" collapsed="false">
      <c r="A271" s="7"/>
      <c r="B271" s="8"/>
      <c r="C271" s="9"/>
      <c r="D271" s="10"/>
      <c r="E271" s="11"/>
      <c r="F271" s="11"/>
      <c r="G271" s="8"/>
      <c r="H271" s="11"/>
      <c r="I271" s="12"/>
      <c r="J271" s="13" t="str">
        <f aca="false">IF(OR($A271="",$D271=""),"",IF($C271="",1,$C271)*$D271+N($E271)-N($F271))</f>
        <v/>
      </c>
      <c r="K271" s="13" t="str">
        <f aca="false">IF($J271="","",IF($R271&lt;&gt;"",$R271,IF($G271="",0,MAX(IFERROR(INDEX(Settings!$D$6:$D$15,MATCH($G271,Settings!$A$6:$A$15,0)),0),$J271*IFERROR(INDEX(Settings!$B$6:$B$15,MATCH($G271,Settings!$A$6:$A$15,0)),0)+IFERROR(INDEX(Settings!$C$6:$C$15,MATCH($G271,Settings!$A$6:$A$15,0)),0)))))</f>
        <v/>
      </c>
      <c r="L271" s="13" t="str">
        <f aca="false">IF($J271="","",IF($C271="",1,$C271)*IF($Q271&lt;&gt;"",$Q271,IFERROR(INDEX(Products!$D$5:$D$54,MATCH($B271,Products!$A$5:$A$54,0)),0)))</f>
        <v/>
      </c>
      <c r="M271" s="14" t="str">
        <f aca="false">IF($J271="","",$J271-$K271-N($H271)-$L271)</f>
        <v/>
      </c>
      <c r="N271" s="15" t="str">
        <f aca="false">IF($J271="","",IF($J271&gt;0,$M271/$J271,""))</f>
        <v/>
      </c>
      <c r="O271" s="12"/>
      <c r="P271" s="12"/>
      <c r="Q271" s="11"/>
      <c r="R271" s="11"/>
      <c r="S271" s="12"/>
      <c r="T271" s="16" t="str">
        <f aca="false">IF($J271="","",IF($C271="",1,$C271))</f>
        <v/>
      </c>
    </row>
    <row r="272" customFormat="false" ht="15" hidden="false" customHeight="false" outlineLevel="0" collapsed="false">
      <c r="A272" s="7"/>
      <c r="B272" s="8"/>
      <c r="C272" s="9"/>
      <c r="D272" s="10"/>
      <c r="E272" s="11"/>
      <c r="F272" s="11"/>
      <c r="G272" s="8"/>
      <c r="H272" s="11"/>
      <c r="I272" s="12"/>
      <c r="J272" s="13" t="str">
        <f aca="false">IF(OR($A272="",$D272=""),"",IF($C272="",1,$C272)*$D272+N($E272)-N($F272))</f>
        <v/>
      </c>
      <c r="K272" s="13" t="str">
        <f aca="false">IF($J272="","",IF($R272&lt;&gt;"",$R272,IF($G272="",0,MAX(IFERROR(INDEX(Settings!$D$6:$D$15,MATCH($G272,Settings!$A$6:$A$15,0)),0),$J272*IFERROR(INDEX(Settings!$B$6:$B$15,MATCH($G272,Settings!$A$6:$A$15,0)),0)+IFERROR(INDEX(Settings!$C$6:$C$15,MATCH($G272,Settings!$A$6:$A$15,0)),0)))))</f>
        <v/>
      </c>
      <c r="L272" s="13" t="str">
        <f aca="false">IF($J272="","",IF($C272="",1,$C272)*IF($Q272&lt;&gt;"",$Q272,IFERROR(INDEX(Products!$D$5:$D$54,MATCH($B272,Products!$A$5:$A$54,0)),0)))</f>
        <v/>
      </c>
      <c r="M272" s="14" t="str">
        <f aca="false">IF($J272="","",$J272-$K272-N($H272)-$L272)</f>
        <v/>
      </c>
      <c r="N272" s="15" t="str">
        <f aca="false">IF($J272="","",IF($J272&gt;0,$M272/$J272,""))</f>
        <v/>
      </c>
      <c r="O272" s="12"/>
      <c r="P272" s="12"/>
      <c r="Q272" s="11"/>
      <c r="R272" s="11"/>
      <c r="S272" s="12"/>
      <c r="T272" s="16" t="str">
        <f aca="false">IF($J272="","",IF($C272="",1,$C272))</f>
        <v/>
      </c>
    </row>
    <row r="273" customFormat="false" ht="15" hidden="false" customHeight="false" outlineLevel="0" collapsed="false">
      <c r="A273" s="7"/>
      <c r="B273" s="8"/>
      <c r="C273" s="9"/>
      <c r="D273" s="10"/>
      <c r="E273" s="11"/>
      <c r="F273" s="11"/>
      <c r="G273" s="8"/>
      <c r="H273" s="11"/>
      <c r="I273" s="12"/>
      <c r="J273" s="13" t="str">
        <f aca="false">IF(OR($A273="",$D273=""),"",IF($C273="",1,$C273)*$D273+N($E273)-N($F273))</f>
        <v/>
      </c>
      <c r="K273" s="13" t="str">
        <f aca="false">IF($J273="","",IF($R273&lt;&gt;"",$R273,IF($G273="",0,MAX(IFERROR(INDEX(Settings!$D$6:$D$15,MATCH($G273,Settings!$A$6:$A$15,0)),0),$J273*IFERROR(INDEX(Settings!$B$6:$B$15,MATCH($G273,Settings!$A$6:$A$15,0)),0)+IFERROR(INDEX(Settings!$C$6:$C$15,MATCH($G273,Settings!$A$6:$A$15,0)),0)))))</f>
        <v/>
      </c>
      <c r="L273" s="13" t="str">
        <f aca="false">IF($J273="","",IF($C273="",1,$C273)*IF($Q273&lt;&gt;"",$Q273,IFERROR(INDEX(Products!$D$5:$D$54,MATCH($B273,Products!$A$5:$A$54,0)),0)))</f>
        <v/>
      </c>
      <c r="M273" s="14" t="str">
        <f aca="false">IF($J273="","",$J273-$K273-N($H273)-$L273)</f>
        <v/>
      </c>
      <c r="N273" s="15" t="str">
        <f aca="false">IF($J273="","",IF($J273&gt;0,$M273/$J273,""))</f>
        <v/>
      </c>
      <c r="O273" s="12"/>
      <c r="P273" s="12"/>
      <c r="Q273" s="11"/>
      <c r="R273" s="11"/>
      <c r="S273" s="12"/>
      <c r="T273" s="16" t="str">
        <f aca="false">IF($J273="","",IF($C273="",1,$C273))</f>
        <v/>
      </c>
    </row>
    <row r="274" customFormat="false" ht="15" hidden="false" customHeight="false" outlineLevel="0" collapsed="false">
      <c r="A274" s="7"/>
      <c r="B274" s="8"/>
      <c r="C274" s="9"/>
      <c r="D274" s="10"/>
      <c r="E274" s="11"/>
      <c r="F274" s="11"/>
      <c r="G274" s="8"/>
      <c r="H274" s="11"/>
      <c r="I274" s="12"/>
      <c r="J274" s="13" t="str">
        <f aca="false">IF(OR($A274="",$D274=""),"",IF($C274="",1,$C274)*$D274+N($E274)-N($F274))</f>
        <v/>
      </c>
      <c r="K274" s="13" t="str">
        <f aca="false">IF($J274="","",IF($R274&lt;&gt;"",$R274,IF($G274="",0,MAX(IFERROR(INDEX(Settings!$D$6:$D$15,MATCH($G274,Settings!$A$6:$A$15,0)),0),$J274*IFERROR(INDEX(Settings!$B$6:$B$15,MATCH($G274,Settings!$A$6:$A$15,0)),0)+IFERROR(INDEX(Settings!$C$6:$C$15,MATCH($G274,Settings!$A$6:$A$15,0)),0)))))</f>
        <v/>
      </c>
      <c r="L274" s="13" t="str">
        <f aca="false">IF($J274="","",IF($C274="",1,$C274)*IF($Q274&lt;&gt;"",$Q274,IFERROR(INDEX(Products!$D$5:$D$54,MATCH($B274,Products!$A$5:$A$54,0)),0)))</f>
        <v/>
      </c>
      <c r="M274" s="14" t="str">
        <f aca="false">IF($J274="","",$J274-$K274-N($H274)-$L274)</f>
        <v/>
      </c>
      <c r="N274" s="15" t="str">
        <f aca="false">IF($J274="","",IF($J274&gt;0,$M274/$J274,""))</f>
        <v/>
      </c>
      <c r="O274" s="12"/>
      <c r="P274" s="12"/>
      <c r="Q274" s="11"/>
      <c r="R274" s="11"/>
      <c r="S274" s="12"/>
      <c r="T274" s="16" t="str">
        <f aca="false">IF($J274="","",IF($C274="",1,$C274))</f>
        <v/>
      </c>
    </row>
    <row r="275" customFormat="false" ht="15" hidden="false" customHeight="false" outlineLevel="0" collapsed="false">
      <c r="A275" s="7"/>
      <c r="B275" s="8"/>
      <c r="C275" s="9"/>
      <c r="D275" s="10"/>
      <c r="E275" s="11"/>
      <c r="F275" s="11"/>
      <c r="G275" s="8"/>
      <c r="H275" s="11"/>
      <c r="I275" s="12"/>
      <c r="J275" s="13" t="str">
        <f aca="false">IF(OR($A275="",$D275=""),"",IF($C275="",1,$C275)*$D275+N($E275)-N($F275))</f>
        <v/>
      </c>
      <c r="K275" s="13" t="str">
        <f aca="false">IF($J275="","",IF($R275&lt;&gt;"",$R275,IF($G275="",0,MAX(IFERROR(INDEX(Settings!$D$6:$D$15,MATCH($G275,Settings!$A$6:$A$15,0)),0),$J275*IFERROR(INDEX(Settings!$B$6:$B$15,MATCH($G275,Settings!$A$6:$A$15,0)),0)+IFERROR(INDEX(Settings!$C$6:$C$15,MATCH($G275,Settings!$A$6:$A$15,0)),0)))))</f>
        <v/>
      </c>
      <c r="L275" s="13" t="str">
        <f aca="false">IF($J275="","",IF($C275="",1,$C275)*IF($Q275&lt;&gt;"",$Q275,IFERROR(INDEX(Products!$D$5:$D$54,MATCH($B275,Products!$A$5:$A$54,0)),0)))</f>
        <v/>
      </c>
      <c r="M275" s="14" t="str">
        <f aca="false">IF($J275="","",$J275-$K275-N($H275)-$L275)</f>
        <v/>
      </c>
      <c r="N275" s="15" t="str">
        <f aca="false">IF($J275="","",IF($J275&gt;0,$M275/$J275,""))</f>
        <v/>
      </c>
      <c r="O275" s="12"/>
      <c r="P275" s="12"/>
      <c r="Q275" s="11"/>
      <c r="R275" s="11"/>
      <c r="S275" s="12"/>
      <c r="T275" s="16" t="str">
        <f aca="false">IF($J275="","",IF($C275="",1,$C275))</f>
        <v/>
      </c>
    </row>
    <row r="276" customFormat="false" ht="15" hidden="false" customHeight="false" outlineLevel="0" collapsed="false">
      <c r="A276" s="7"/>
      <c r="B276" s="8"/>
      <c r="C276" s="9"/>
      <c r="D276" s="10"/>
      <c r="E276" s="11"/>
      <c r="F276" s="11"/>
      <c r="G276" s="8"/>
      <c r="H276" s="11"/>
      <c r="I276" s="12"/>
      <c r="J276" s="13" t="str">
        <f aca="false">IF(OR($A276="",$D276=""),"",IF($C276="",1,$C276)*$D276+N($E276)-N($F276))</f>
        <v/>
      </c>
      <c r="K276" s="13" t="str">
        <f aca="false">IF($J276="","",IF($R276&lt;&gt;"",$R276,IF($G276="",0,MAX(IFERROR(INDEX(Settings!$D$6:$D$15,MATCH($G276,Settings!$A$6:$A$15,0)),0),$J276*IFERROR(INDEX(Settings!$B$6:$B$15,MATCH($G276,Settings!$A$6:$A$15,0)),0)+IFERROR(INDEX(Settings!$C$6:$C$15,MATCH($G276,Settings!$A$6:$A$15,0)),0)))))</f>
        <v/>
      </c>
      <c r="L276" s="13" t="str">
        <f aca="false">IF($J276="","",IF($C276="",1,$C276)*IF($Q276&lt;&gt;"",$Q276,IFERROR(INDEX(Products!$D$5:$D$54,MATCH($B276,Products!$A$5:$A$54,0)),0)))</f>
        <v/>
      </c>
      <c r="M276" s="14" t="str">
        <f aca="false">IF($J276="","",$J276-$K276-N($H276)-$L276)</f>
        <v/>
      </c>
      <c r="N276" s="15" t="str">
        <f aca="false">IF($J276="","",IF($J276&gt;0,$M276/$J276,""))</f>
        <v/>
      </c>
      <c r="O276" s="12"/>
      <c r="P276" s="12"/>
      <c r="Q276" s="11"/>
      <c r="R276" s="11"/>
      <c r="S276" s="12"/>
      <c r="T276" s="16" t="str">
        <f aca="false">IF($J276="","",IF($C276="",1,$C276))</f>
        <v/>
      </c>
    </row>
    <row r="277" customFormat="false" ht="15" hidden="false" customHeight="false" outlineLevel="0" collapsed="false">
      <c r="A277" s="7"/>
      <c r="B277" s="8"/>
      <c r="C277" s="9"/>
      <c r="D277" s="10"/>
      <c r="E277" s="11"/>
      <c r="F277" s="11"/>
      <c r="G277" s="8"/>
      <c r="H277" s="11"/>
      <c r="I277" s="12"/>
      <c r="J277" s="13" t="str">
        <f aca="false">IF(OR($A277="",$D277=""),"",IF($C277="",1,$C277)*$D277+N($E277)-N($F277))</f>
        <v/>
      </c>
      <c r="K277" s="13" t="str">
        <f aca="false">IF($J277="","",IF($R277&lt;&gt;"",$R277,IF($G277="",0,MAX(IFERROR(INDEX(Settings!$D$6:$D$15,MATCH($G277,Settings!$A$6:$A$15,0)),0),$J277*IFERROR(INDEX(Settings!$B$6:$B$15,MATCH($G277,Settings!$A$6:$A$15,0)),0)+IFERROR(INDEX(Settings!$C$6:$C$15,MATCH($G277,Settings!$A$6:$A$15,0)),0)))))</f>
        <v/>
      </c>
      <c r="L277" s="13" t="str">
        <f aca="false">IF($J277="","",IF($C277="",1,$C277)*IF($Q277&lt;&gt;"",$Q277,IFERROR(INDEX(Products!$D$5:$D$54,MATCH($B277,Products!$A$5:$A$54,0)),0)))</f>
        <v/>
      </c>
      <c r="M277" s="14" t="str">
        <f aca="false">IF($J277="","",$J277-$K277-N($H277)-$L277)</f>
        <v/>
      </c>
      <c r="N277" s="15" t="str">
        <f aca="false">IF($J277="","",IF($J277&gt;0,$M277/$J277,""))</f>
        <v/>
      </c>
      <c r="O277" s="12"/>
      <c r="P277" s="12"/>
      <c r="Q277" s="11"/>
      <c r="R277" s="11"/>
      <c r="S277" s="12"/>
      <c r="T277" s="16" t="str">
        <f aca="false">IF($J277="","",IF($C277="",1,$C277))</f>
        <v/>
      </c>
    </row>
    <row r="278" customFormat="false" ht="15" hidden="false" customHeight="false" outlineLevel="0" collapsed="false">
      <c r="A278" s="7"/>
      <c r="B278" s="8"/>
      <c r="C278" s="9"/>
      <c r="D278" s="10"/>
      <c r="E278" s="11"/>
      <c r="F278" s="11"/>
      <c r="G278" s="8"/>
      <c r="H278" s="11"/>
      <c r="I278" s="12"/>
      <c r="J278" s="13" t="str">
        <f aca="false">IF(OR($A278="",$D278=""),"",IF($C278="",1,$C278)*$D278+N($E278)-N($F278))</f>
        <v/>
      </c>
      <c r="K278" s="13" t="str">
        <f aca="false">IF($J278="","",IF($R278&lt;&gt;"",$R278,IF($G278="",0,MAX(IFERROR(INDEX(Settings!$D$6:$D$15,MATCH($G278,Settings!$A$6:$A$15,0)),0),$J278*IFERROR(INDEX(Settings!$B$6:$B$15,MATCH($G278,Settings!$A$6:$A$15,0)),0)+IFERROR(INDEX(Settings!$C$6:$C$15,MATCH($G278,Settings!$A$6:$A$15,0)),0)))))</f>
        <v/>
      </c>
      <c r="L278" s="13" t="str">
        <f aca="false">IF($J278="","",IF($C278="",1,$C278)*IF($Q278&lt;&gt;"",$Q278,IFERROR(INDEX(Products!$D$5:$D$54,MATCH($B278,Products!$A$5:$A$54,0)),0)))</f>
        <v/>
      </c>
      <c r="M278" s="14" t="str">
        <f aca="false">IF($J278="","",$J278-$K278-N($H278)-$L278)</f>
        <v/>
      </c>
      <c r="N278" s="15" t="str">
        <f aca="false">IF($J278="","",IF($J278&gt;0,$M278/$J278,""))</f>
        <v/>
      </c>
      <c r="O278" s="12"/>
      <c r="P278" s="12"/>
      <c r="Q278" s="11"/>
      <c r="R278" s="11"/>
      <c r="S278" s="12"/>
      <c r="T278" s="16" t="str">
        <f aca="false">IF($J278="","",IF($C278="",1,$C278))</f>
        <v/>
      </c>
    </row>
    <row r="279" customFormat="false" ht="15" hidden="false" customHeight="false" outlineLevel="0" collapsed="false">
      <c r="A279" s="7"/>
      <c r="B279" s="8"/>
      <c r="C279" s="9"/>
      <c r="D279" s="10"/>
      <c r="E279" s="11"/>
      <c r="F279" s="11"/>
      <c r="G279" s="8"/>
      <c r="H279" s="11"/>
      <c r="I279" s="12"/>
      <c r="J279" s="13" t="str">
        <f aca="false">IF(OR($A279="",$D279=""),"",IF($C279="",1,$C279)*$D279+N($E279)-N($F279))</f>
        <v/>
      </c>
      <c r="K279" s="13" t="str">
        <f aca="false">IF($J279="","",IF($R279&lt;&gt;"",$R279,IF($G279="",0,MAX(IFERROR(INDEX(Settings!$D$6:$D$15,MATCH($G279,Settings!$A$6:$A$15,0)),0),$J279*IFERROR(INDEX(Settings!$B$6:$B$15,MATCH($G279,Settings!$A$6:$A$15,0)),0)+IFERROR(INDEX(Settings!$C$6:$C$15,MATCH($G279,Settings!$A$6:$A$15,0)),0)))))</f>
        <v/>
      </c>
      <c r="L279" s="13" t="str">
        <f aca="false">IF($J279="","",IF($C279="",1,$C279)*IF($Q279&lt;&gt;"",$Q279,IFERROR(INDEX(Products!$D$5:$D$54,MATCH($B279,Products!$A$5:$A$54,0)),0)))</f>
        <v/>
      </c>
      <c r="M279" s="14" t="str">
        <f aca="false">IF($J279="","",$J279-$K279-N($H279)-$L279)</f>
        <v/>
      </c>
      <c r="N279" s="15" t="str">
        <f aca="false">IF($J279="","",IF($J279&gt;0,$M279/$J279,""))</f>
        <v/>
      </c>
      <c r="O279" s="12"/>
      <c r="P279" s="12"/>
      <c r="Q279" s="11"/>
      <c r="R279" s="11"/>
      <c r="S279" s="12"/>
      <c r="T279" s="16" t="str">
        <f aca="false">IF($J279="","",IF($C279="",1,$C279))</f>
        <v/>
      </c>
    </row>
    <row r="280" customFormat="false" ht="15" hidden="false" customHeight="false" outlineLevel="0" collapsed="false">
      <c r="A280" s="7"/>
      <c r="B280" s="8"/>
      <c r="C280" s="9"/>
      <c r="D280" s="10"/>
      <c r="E280" s="11"/>
      <c r="F280" s="11"/>
      <c r="G280" s="8"/>
      <c r="H280" s="11"/>
      <c r="I280" s="12"/>
      <c r="J280" s="13" t="str">
        <f aca="false">IF(OR($A280="",$D280=""),"",IF($C280="",1,$C280)*$D280+N($E280)-N($F280))</f>
        <v/>
      </c>
      <c r="K280" s="13" t="str">
        <f aca="false">IF($J280="","",IF($R280&lt;&gt;"",$R280,IF($G280="",0,MAX(IFERROR(INDEX(Settings!$D$6:$D$15,MATCH($G280,Settings!$A$6:$A$15,0)),0),$J280*IFERROR(INDEX(Settings!$B$6:$B$15,MATCH($G280,Settings!$A$6:$A$15,0)),0)+IFERROR(INDEX(Settings!$C$6:$C$15,MATCH($G280,Settings!$A$6:$A$15,0)),0)))))</f>
        <v/>
      </c>
      <c r="L280" s="13" t="str">
        <f aca="false">IF($J280="","",IF($C280="",1,$C280)*IF($Q280&lt;&gt;"",$Q280,IFERROR(INDEX(Products!$D$5:$D$54,MATCH($B280,Products!$A$5:$A$54,0)),0)))</f>
        <v/>
      </c>
      <c r="M280" s="14" t="str">
        <f aca="false">IF($J280="","",$J280-$K280-N($H280)-$L280)</f>
        <v/>
      </c>
      <c r="N280" s="15" t="str">
        <f aca="false">IF($J280="","",IF($J280&gt;0,$M280/$J280,""))</f>
        <v/>
      </c>
      <c r="O280" s="12"/>
      <c r="P280" s="12"/>
      <c r="Q280" s="11"/>
      <c r="R280" s="11"/>
      <c r="S280" s="12"/>
      <c r="T280" s="16" t="str">
        <f aca="false">IF($J280="","",IF($C280="",1,$C280))</f>
        <v/>
      </c>
    </row>
    <row r="281" customFormat="false" ht="15" hidden="false" customHeight="false" outlineLevel="0" collapsed="false">
      <c r="A281" s="7"/>
      <c r="B281" s="8"/>
      <c r="C281" s="9"/>
      <c r="D281" s="10"/>
      <c r="E281" s="11"/>
      <c r="F281" s="11"/>
      <c r="G281" s="8"/>
      <c r="H281" s="11"/>
      <c r="I281" s="12"/>
      <c r="J281" s="13" t="str">
        <f aca="false">IF(OR($A281="",$D281=""),"",IF($C281="",1,$C281)*$D281+N($E281)-N($F281))</f>
        <v/>
      </c>
      <c r="K281" s="13" t="str">
        <f aca="false">IF($J281="","",IF($R281&lt;&gt;"",$R281,IF($G281="",0,MAX(IFERROR(INDEX(Settings!$D$6:$D$15,MATCH($G281,Settings!$A$6:$A$15,0)),0),$J281*IFERROR(INDEX(Settings!$B$6:$B$15,MATCH($G281,Settings!$A$6:$A$15,0)),0)+IFERROR(INDEX(Settings!$C$6:$C$15,MATCH($G281,Settings!$A$6:$A$15,0)),0)))))</f>
        <v/>
      </c>
      <c r="L281" s="13" t="str">
        <f aca="false">IF($J281="","",IF($C281="",1,$C281)*IF($Q281&lt;&gt;"",$Q281,IFERROR(INDEX(Products!$D$5:$D$54,MATCH($B281,Products!$A$5:$A$54,0)),0)))</f>
        <v/>
      </c>
      <c r="M281" s="14" t="str">
        <f aca="false">IF($J281="","",$J281-$K281-N($H281)-$L281)</f>
        <v/>
      </c>
      <c r="N281" s="15" t="str">
        <f aca="false">IF($J281="","",IF($J281&gt;0,$M281/$J281,""))</f>
        <v/>
      </c>
      <c r="O281" s="12"/>
      <c r="P281" s="12"/>
      <c r="Q281" s="11"/>
      <c r="R281" s="11"/>
      <c r="S281" s="12"/>
      <c r="T281" s="16" t="str">
        <f aca="false">IF($J281="","",IF($C281="",1,$C281))</f>
        <v/>
      </c>
    </row>
    <row r="282" customFormat="false" ht="15" hidden="false" customHeight="false" outlineLevel="0" collapsed="false">
      <c r="A282" s="7"/>
      <c r="B282" s="8"/>
      <c r="C282" s="9"/>
      <c r="D282" s="10"/>
      <c r="E282" s="11"/>
      <c r="F282" s="11"/>
      <c r="G282" s="8"/>
      <c r="H282" s="11"/>
      <c r="I282" s="12"/>
      <c r="J282" s="13" t="str">
        <f aca="false">IF(OR($A282="",$D282=""),"",IF($C282="",1,$C282)*$D282+N($E282)-N($F282))</f>
        <v/>
      </c>
      <c r="K282" s="13" t="str">
        <f aca="false">IF($J282="","",IF($R282&lt;&gt;"",$R282,IF($G282="",0,MAX(IFERROR(INDEX(Settings!$D$6:$D$15,MATCH($G282,Settings!$A$6:$A$15,0)),0),$J282*IFERROR(INDEX(Settings!$B$6:$B$15,MATCH($G282,Settings!$A$6:$A$15,0)),0)+IFERROR(INDEX(Settings!$C$6:$C$15,MATCH($G282,Settings!$A$6:$A$15,0)),0)))))</f>
        <v/>
      </c>
      <c r="L282" s="13" t="str">
        <f aca="false">IF($J282="","",IF($C282="",1,$C282)*IF($Q282&lt;&gt;"",$Q282,IFERROR(INDEX(Products!$D$5:$D$54,MATCH($B282,Products!$A$5:$A$54,0)),0)))</f>
        <v/>
      </c>
      <c r="M282" s="14" t="str">
        <f aca="false">IF($J282="","",$J282-$K282-N($H282)-$L282)</f>
        <v/>
      </c>
      <c r="N282" s="15" t="str">
        <f aca="false">IF($J282="","",IF($J282&gt;0,$M282/$J282,""))</f>
        <v/>
      </c>
      <c r="O282" s="12"/>
      <c r="P282" s="12"/>
      <c r="Q282" s="11"/>
      <c r="R282" s="11"/>
      <c r="S282" s="12"/>
      <c r="T282" s="16" t="str">
        <f aca="false">IF($J282="","",IF($C282="",1,$C282))</f>
        <v/>
      </c>
    </row>
    <row r="283" customFormat="false" ht="15" hidden="false" customHeight="false" outlineLevel="0" collapsed="false">
      <c r="A283" s="7"/>
      <c r="B283" s="8"/>
      <c r="C283" s="9"/>
      <c r="D283" s="10"/>
      <c r="E283" s="11"/>
      <c r="F283" s="11"/>
      <c r="G283" s="8"/>
      <c r="H283" s="11"/>
      <c r="I283" s="12"/>
      <c r="J283" s="13" t="str">
        <f aca="false">IF(OR($A283="",$D283=""),"",IF($C283="",1,$C283)*$D283+N($E283)-N($F283))</f>
        <v/>
      </c>
      <c r="K283" s="13" t="str">
        <f aca="false">IF($J283="","",IF($R283&lt;&gt;"",$R283,IF($G283="",0,MAX(IFERROR(INDEX(Settings!$D$6:$D$15,MATCH($G283,Settings!$A$6:$A$15,0)),0),$J283*IFERROR(INDEX(Settings!$B$6:$B$15,MATCH($G283,Settings!$A$6:$A$15,0)),0)+IFERROR(INDEX(Settings!$C$6:$C$15,MATCH($G283,Settings!$A$6:$A$15,0)),0)))))</f>
        <v/>
      </c>
      <c r="L283" s="13" t="str">
        <f aca="false">IF($J283="","",IF($C283="",1,$C283)*IF($Q283&lt;&gt;"",$Q283,IFERROR(INDEX(Products!$D$5:$D$54,MATCH($B283,Products!$A$5:$A$54,0)),0)))</f>
        <v/>
      </c>
      <c r="M283" s="14" t="str">
        <f aca="false">IF($J283="","",$J283-$K283-N($H283)-$L283)</f>
        <v/>
      </c>
      <c r="N283" s="15" t="str">
        <f aca="false">IF($J283="","",IF($J283&gt;0,$M283/$J283,""))</f>
        <v/>
      </c>
      <c r="O283" s="12"/>
      <c r="P283" s="12"/>
      <c r="Q283" s="11"/>
      <c r="R283" s="11"/>
      <c r="S283" s="12"/>
      <c r="T283" s="16" t="str">
        <f aca="false">IF($J283="","",IF($C283="",1,$C283))</f>
        <v/>
      </c>
    </row>
    <row r="284" customFormat="false" ht="15" hidden="false" customHeight="false" outlineLevel="0" collapsed="false">
      <c r="A284" s="7"/>
      <c r="B284" s="8"/>
      <c r="C284" s="9"/>
      <c r="D284" s="10"/>
      <c r="E284" s="11"/>
      <c r="F284" s="11"/>
      <c r="G284" s="8"/>
      <c r="H284" s="11"/>
      <c r="I284" s="12"/>
      <c r="J284" s="13" t="str">
        <f aca="false">IF(OR($A284="",$D284=""),"",IF($C284="",1,$C284)*$D284+N($E284)-N($F284))</f>
        <v/>
      </c>
      <c r="K284" s="13" t="str">
        <f aca="false">IF($J284="","",IF($R284&lt;&gt;"",$R284,IF($G284="",0,MAX(IFERROR(INDEX(Settings!$D$6:$D$15,MATCH($G284,Settings!$A$6:$A$15,0)),0),$J284*IFERROR(INDEX(Settings!$B$6:$B$15,MATCH($G284,Settings!$A$6:$A$15,0)),0)+IFERROR(INDEX(Settings!$C$6:$C$15,MATCH($G284,Settings!$A$6:$A$15,0)),0)))))</f>
        <v/>
      </c>
      <c r="L284" s="13" t="str">
        <f aca="false">IF($J284="","",IF($C284="",1,$C284)*IF($Q284&lt;&gt;"",$Q284,IFERROR(INDEX(Products!$D$5:$D$54,MATCH($B284,Products!$A$5:$A$54,0)),0)))</f>
        <v/>
      </c>
      <c r="M284" s="14" t="str">
        <f aca="false">IF($J284="","",$J284-$K284-N($H284)-$L284)</f>
        <v/>
      </c>
      <c r="N284" s="15" t="str">
        <f aca="false">IF($J284="","",IF($J284&gt;0,$M284/$J284,""))</f>
        <v/>
      </c>
      <c r="O284" s="12"/>
      <c r="P284" s="12"/>
      <c r="Q284" s="11"/>
      <c r="R284" s="11"/>
      <c r="S284" s="12"/>
      <c r="T284" s="16" t="str">
        <f aca="false">IF($J284="","",IF($C284="",1,$C284))</f>
        <v/>
      </c>
    </row>
    <row r="285" customFormat="false" ht="15" hidden="false" customHeight="false" outlineLevel="0" collapsed="false">
      <c r="A285" s="7"/>
      <c r="B285" s="8"/>
      <c r="C285" s="9"/>
      <c r="D285" s="10"/>
      <c r="E285" s="11"/>
      <c r="F285" s="11"/>
      <c r="G285" s="8"/>
      <c r="H285" s="11"/>
      <c r="I285" s="12"/>
      <c r="J285" s="13" t="str">
        <f aca="false">IF(OR($A285="",$D285=""),"",IF($C285="",1,$C285)*$D285+N($E285)-N($F285))</f>
        <v/>
      </c>
      <c r="K285" s="13" t="str">
        <f aca="false">IF($J285="","",IF($R285&lt;&gt;"",$R285,IF($G285="",0,MAX(IFERROR(INDEX(Settings!$D$6:$D$15,MATCH($G285,Settings!$A$6:$A$15,0)),0),$J285*IFERROR(INDEX(Settings!$B$6:$B$15,MATCH($G285,Settings!$A$6:$A$15,0)),0)+IFERROR(INDEX(Settings!$C$6:$C$15,MATCH($G285,Settings!$A$6:$A$15,0)),0)))))</f>
        <v/>
      </c>
      <c r="L285" s="13" t="str">
        <f aca="false">IF($J285="","",IF($C285="",1,$C285)*IF($Q285&lt;&gt;"",$Q285,IFERROR(INDEX(Products!$D$5:$D$54,MATCH($B285,Products!$A$5:$A$54,0)),0)))</f>
        <v/>
      </c>
      <c r="M285" s="14" t="str">
        <f aca="false">IF($J285="","",$J285-$K285-N($H285)-$L285)</f>
        <v/>
      </c>
      <c r="N285" s="15" t="str">
        <f aca="false">IF($J285="","",IF($J285&gt;0,$M285/$J285,""))</f>
        <v/>
      </c>
      <c r="O285" s="12"/>
      <c r="P285" s="12"/>
      <c r="Q285" s="11"/>
      <c r="R285" s="11"/>
      <c r="S285" s="12"/>
      <c r="T285" s="16" t="str">
        <f aca="false">IF($J285="","",IF($C285="",1,$C285))</f>
        <v/>
      </c>
    </row>
    <row r="286" customFormat="false" ht="15" hidden="false" customHeight="false" outlineLevel="0" collapsed="false">
      <c r="A286" s="7"/>
      <c r="B286" s="8"/>
      <c r="C286" s="9"/>
      <c r="D286" s="10"/>
      <c r="E286" s="11"/>
      <c r="F286" s="11"/>
      <c r="G286" s="8"/>
      <c r="H286" s="11"/>
      <c r="I286" s="12"/>
      <c r="J286" s="13" t="str">
        <f aca="false">IF(OR($A286="",$D286=""),"",IF($C286="",1,$C286)*$D286+N($E286)-N($F286))</f>
        <v/>
      </c>
      <c r="K286" s="13" t="str">
        <f aca="false">IF($J286="","",IF($R286&lt;&gt;"",$R286,IF($G286="",0,MAX(IFERROR(INDEX(Settings!$D$6:$D$15,MATCH($G286,Settings!$A$6:$A$15,0)),0),$J286*IFERROR(INDEX(Settings!$B$6:$B$15,MATCH($G286,Settings!$A$6:$A$15,0)),0)+IFERROR(INDEX(Settings!$C$6:$C$15,MATCH($G286,Settings!$A$6:$A$15,0)),0)))))</f>
        <v/>
      </c>
      <c r="L286" s="13" t="str">
        <f aca="false">IF($J286="","",IF($C286="",1,$C286)*IF($Q286&lt;&gt;"",$Q286,IFERROR(INDEX(Products!$D$5:$D$54,MATCH($B286,Products!$A$5:$A$54,0)),0)))</f>
        <v/>
      </c>
      <c r="M286" s="14" t="str">
        <f aca="false">IF($J286="","",$J286-$K286-N($H286)-$L286)</f>
        <v/>
      </c>
      <c r="N286" s="15" t="str">
        <f aca="false">IF($J286="","",IF($J286&gt;0,$M286/$J286,""))</f>
        <v/>
      </c>
      <c r="O286" s="12"/>
      <c r="P286" s="12"/>
      <c r="Q286" s="11"/>
      <c r="R286" s="11"/>
      <c r="S286" s="12"/>
      <c r="T286" s="16" t="str">
        <f aca="false">IF($J286="","",IF($C286="",1,$C286))</f>
        <v/>
      </c>
    </row>
    <row r="287" customFormat="false" ht="15" hidden="false" customHeight="false" outlineLevel="0" collapsed="false">
      <c r="A287" s="7"/>
      <c r="B287" s="8"/>
      <c r="C287" s="9"/>
      <c r="D287" s="10"/>
      <c r="E287" s="11"/>
      <c r="F287" s="11"/>
      <c r="G287" s="8"/>
      <c r="H287" s="11"/>
      <c r="I287" s="12"/>
      <c r="J287" s="13" t="str">
        <f aca="false">IF(OR($A287="",$D287=""),"",IF($C287="",1,$C287)*$D287+N($E287)-N($F287))</f>
        <v/>
      </c>
      <c r="K287" s="13" t="str">
        <f aca="false">IF($J287="","",IF($R287&lt;&gt;"",$R287,IF($G287="",0,MAX(IFERROR(INDEX(Settings!$D$6:$D$15,MATCH($G287,Settings!$A$6:$A$15,0)),0),$J287*IFERROR(INDEX(Settings!$B$6:$B$15,MATCH($G287,Settings!$A$6:$A$15,0)),0)+IFERROR(INDEX(Settings!$C$6:$C$15,MATCH($G287,Settings!$A$6:$A$15,0)),0)))))</f>
        <v/>
      </c>
      <c r="L287" s="13" t="str">
        <f aca="false">IF($J287="","",IF($C287="",1,$C287)*IF($Q287&lt;&gt;"",$Q287,IFERROR(INDEX(Products!$D$5:$D$54,MATCH($B287,Products!$A$5:$A$54,0)),0)))</f>
        <v/>
      </c>
      <c r="M287" s="14" t="str">
        <f aca="false">IF($J287="","",$J287-$K287-N($H287)-$L287)</f>
        <v/>
      </c>
      <c r="N287" s="15" t="str">
        <f aca="false">IF($J287="","",IF($J287&gt;0,$M287/$J287,""))</f>
        <v/>
      </c>
      <c r="O287" s="12"/>
      <c r="P287" s="12"/>
      <c r="Q287" s="11"/>
      <c r="R287" s="11"/>
      <c r="S287" s="12"/>
      <c r="T287" s="16" t="str">
        <f aca="false">IF($J287="","",IF($C287="",1,$C287))</f>
        <v/>
      </c>
    </row>
    <row r="288" customFormat="false" ht="15" hidden="false" customHeight="false" outlineLevel="0" collapsed="false">
      <c r="A288" s="7"/>
      <c r="B288" s="8"/>
      <c r="C288" s="9"/>
      <c r="D288" s="10"/>
      <c r="E288" s="11"/>
      <c r="F288" s="11"/>
      <c r="G288" s="8"/>
      <c r="H288" s="11"/>
      <c r="I288" s="12"/>
      <c r="J288" s="13" t="str">
        <f aca="false">IF(OR($A288="",$D288=""),"",IF($C288="",1,$C288)*$D288+N($E288)-N($F288))</f>
        <v/>
      </c>
      <c r="K288" s="13" t="str">
        <f aca="false">IF($J288="","",IF($R288&lt;&gt;"",$R288,IF($G288="",0,MAX(IFERROR(INDEX(Settings!$D$6:$D$15,MATCH($G288,Settings!$A$6:$A$15,0)),0),$J288*IFERROR(INDEX(Settings!$B$6:$B$15,MATCH($G288,Settings!$A$6:$A$15,0)),0)+IFERROR(INDEX(Settings!$C$6:$C$15,MATCH($G288,Settings!$A$6:$A$15,0)),0)))))</f>
        <v/>
      </c>
      <c r="L288" s="13" t="str">
        <f aca="false">IF($J288="","",IF($C288="",1,$C288)*IF($Q288&lt;&gt;"",$Q288,IFERROR(INDEX(Products!$D$5:$D$54,MATCH($B288,Products!$A$5:$A$54,0)),0)))</f>
        <v/>
      </c>
      <c r="M288" s="14" t="str">
        <f aca="false">IF($J288="","",$J288-$K288-N($H288)-$L288)</f>
        <v/>
      </c>
      <c r="N288" s="15" t="str">
        <f aca="false">IF($J288="","",IF($J288&gt;0,$M288/$J288,""))</f>
        <v/>
      </c>
      <c r="O288" s="12"/>
      <c r="P288" s="12"/>
      <c r="Q288" s="11"/>
      <c r="R288" s="11"/>
      <c r="S288" s="12"/>
      <c r="T288" s="16" t="str">
        <f aca="false">IF($J288="","",IF($C288="",1,$C288))</f>
        <v/>
      </c>
    </row>
    <row r="289" customFormat="false" ht="15" hidden="false" customHeight="false" outlineLevel="0" collapsed="false">
      <c r="A289" s="7"/>
      <c r="B289" s="8"/>
      <c r="C289" s="9"/>
      <c r="D289" s="10"/>
      <c r="E289" s="11"/>
      <c r="F289" s="11"/>
      <c r="G289" s="8"/>
      <c r="H289" s="11"/>
      <c r="I289" s="12"/>
      <c r="J289" s="13" t="str">
        <f aca="false">IF(OR($A289="",$D289=""),"",IF($C289="",1,$C289)*$D289+N($E289)-N($F289))</f>
        <v/>
      </c>
      <c r="K289" s="13" t="str">
        <f aca="false">IF($J289="","",IF($R289&lt;&gt;"",$R289,IF($G289="",0,MAX(IFERROR(INDEX(Settings!$D$6:$D$15,MATCH($G289,Settings!$A$6:$A$15,0)),0),$J289*IFERROR(INDEX(Settings!$B$6:$B$15,MATCH($G289,Settings!$A$6:$A$15,0)),0)+IFERROR(INDEX(Settings!$C$6:$C$15,MATCH($G289,Settings!$A$6:$A$15,0)),0)))))</f>
        <v/>
      </c>
      <c r="L289" s="13" t="str">
        <f aca="false">IF($J289="","",IF($C289="",1,$C289)*IF($Q289&lt;&gt;"",$Q289,IFERROR(INDEX(Products!$D$5:$D$54,MATCH($B289,Products!$A$5:$A$54,0)),0)))</f>
        <v/>
      </c>
      <c r="M289" s="14" t="str">
        <f aca="false">IF($J289="","",$J289-$K289-N($H289)-$L289)</f>
        <v/>
      </c>
      <c r="N289" s="15" t="str">
        <f aca="false">IF($J289="","",IF($J289&gt;0,$M289/$J289,""))</f>
        <v/>
      </c>
      <c r="O289" s="12"/>
      <c r="P289" s="12"/>
      <c r="Q289" s="11"/>
      <c r="R289" s="11"/>
      <c r="S289" s="12"/>
      <c r="T289" s="16" t="str">
        <f aca="false">IF($J289="","",IF($C289="",1,$C289))</f>
        <v/>
      </c>
    </row>
    <row r="290" customFormat="false" ht="15" hidden="false" customHeight="false" outlineLevel="0" collapsed="false">
      <c r="A290" s="7"/>
      <c r="B290" s="8"/>
      <c r="C290" s="9"/>
      <c r="D290" s="10"/>
      <c r="E290" s="11"/>
      <c r="F290" s="11"/>
      <c r="G290" s="8"/>
      <c r="H290" s="11"/>
      <c r="I290" s="12"/>
      <c r="J290" s="13" t="str">
        <f aca="false">IF(OR($A290="",$D290=""),"",IF($C290="",1,$C290)*$D290+N($E290)-N($F290))</f>
        <v/>
      </c>
      <c r="K290" s="13" t="str">
        <f aca="false">IF($J290="","",IF($R290&lt;&gt;"",$R290,IF($G290="",0,MAX(IFERROR(INDEX(Settings!$D$6:$D$15,MATCH($G290,Settings!$A$6:$A$15,0)),0),$J290*IFERROR(INDEX(Settings!$B$6:$B$15,MATCH($G290,Settings!$A$6:$A$15,0)),0)+IFERROR(INDEX(Settings!$C$6:$C$15,MATCH($G290,Settings!$A$6:$A$15,0)),0)))))</f>
        <v/>
      </c>
      <c r="L290" s="13" t="str">
        <f aca="false">IF($J290="","",IF($C290="",1,$C290)*IF($Q290&lt;&gt;"",$Q290,IFERROR(INDEX(Products!$D$5:$D$54,MATCH($B290,Products!$A$5:$A$54,0)),0)))</f>
        <v/>
      </c>
      <c r="M290" s="14" t="str">
        <f aca="false">IF($J290="","",$J290-$K290-N($H290)-$L290)</f>
        <v/>
      </c>
      <c r="N290" s="15" t="str">
        <f aca="false">IF($J290="","",IF($J290&gt;0,$M290/$J290,""))</f>
        <v/>
      </c>
      <c r="O290" s="12"/>
      <c r="P290" s="12"/>
      <c r="Q290" s="11"/>
      <c r="R290" s="11"/>
      <c r="S290" s="12"/>
      <c r="T290" s="16" t="str">
        <f aca="false">IF($J290="","",IF($C290="",1,$C290))</f>
        <v/>
      </c>
    </row>
    <row r="291" customFormat="false" ht="15" hidden="false" customHeight="false" outlineLevel="0" collapsed="false">
      <c r="A291" s="7"/>
      <c r="B291" s="8"/>
      <c r="C291" s="9"/>
      <c r="D291" s="10"/>
      <c r="E291" s="11"/>
      <c r="F291" s="11"/>
      <c r="G291" s="8"/>
      <c r="H291" s="11"/>
      <c r="I291" s="12"/>
      <c r="J291" s="13" t="str">
        <f aca="false">IF(OR($A291="",$D291=""),"",IF($C291="",1,$C291)*$D291+N($E291)-N($F291))</f>
        <v/>
      </c>
      <c r="K291" s="13" t="str">
        <f aca="false">IF($J291="","",IF($R291&lt;&gt;"",$R291,IF($G291="",0,MAX(IFERROR(INDEX(Settings!$D$6:$D$15,MATCH($G291,Settings!$A$6:$A$15,0)),0),$J291*IFERROR(INDEX(Settings!$B$6:$B$15,MATCH($G291,Settings!$A$6:$A$15,0)),0)+IFERROR(INDEX(Settings!$C$6:$C$15,MATCH($G291,Settings!$A$6:$A$15,0)),0)))))</f>
        <v/>
      </c>
      <c r="L291" s="13" t="str">
        <f aca="false">IF($J291="","",IF($C291="",1,$C291)*IF($Q291&lt;&gt;"",$Q291,IFERROR(INDEX(Products!$D$5:$D$54,MATCH($B291,Products!$A$5:$A$54,0)),0)))</f>
        <v/>
      </c>
      <c r="M291" s="14" t="str">
        <f aca="false">IF($J291="","",$J291-$K291-N($H291)-$L291)</f>
        <v/>
      </c>
      <c r="N291" s="15" t="str">
        <f aca="false">IF($J291="","",IF($J291&gt;0,$M291/$J291,""))</f>
        <v/>
      </c>
      <c r="O291" s="12"/>
      <c r="P291" s="12"/>
      <c r="Q291" s="11"/>
      <c r="R291" s="11"/>
      <c r="S291" s="12"/>
      <c r="T291" s="16" t="str">
        <f aca="false">IF($J291="","",IF($C291="",1,$C291))</f>
        <v/>
      </c>
    </row>
    <row r="292" customFormat="false" ht="15" hidden="false" customHeight="false" outlineLevel="0" collapsed="false">
      <c r="A292" s="7"/>
      <c r="B292" s="8"/>
      <c r="C292" s="9"/>
      <c r="D292" s="10"/>
      <c r="E292" s="11"/>
      <c r="F292" s="11"/>
      <c r="G292" s="8"/>
      <c r="H292" s="11"/>
      <c r="I292" s="12"/>
      <c r="J292" s="13" t="str">
        <f aca="false">IF(OR($A292="",$D292=""),"",IF($C292="",1,$C292)*$D292+N($E292)-N($F292))</f>
        <v/>
      </c>
      <c r="K292" s="13" t="str">
        <f aca="false">IF($J292="","",IF($R292&lt;&gt;"",$R292,IF($G292="",0,MAX(IFERROR(INDEX(Settings!$D$6:$D$15,MATCH($G292,Settings!$A$6:$A$15,0)),0),$J292*IFERROR(INDEX(Settings!$B$6:$B$15,MATCH($G292,Settings!$A$6:$A$15,0)),0)+IFERROR(INDEX(Settings!$C$6:$C$15,MATCH($G292,Settings!$A$6:$A$15,0)),0)))))</f>
        <v/>
      </c>
      <c r="L292" s="13" t="str">
        <f aca="false">IF($J292="","",IF($C292="",1,$C292)*IF($Q292&lt;&gt;"",$Q292,IFERROR(INDEX(Products!$D$5:$D$54,MATCH($B292,Products!$A$5:$A$54,0)),0)))</f>
        <v/>
      </c>
      <c r="M292" s="14" t="str">
        <f aca="false">IF($J292="","",$J292-$K292-N($H292)-$L292)</f>
        <v/>
      </c>
      <c r="N292" s="15" t="str">
        <f aca="false">IF($J292="","",IF($J292&gt;0,$M292/$J292,""))</f>
        <v/>
      </c>
      <c r="O292" s="12"/>
      <c r="P292" s="12"/>
      <c r="Q292" s="11"/>
      <c r="R292" s="11"/>
      <c r="S292" s="12"/>
      <c r="T292" s="16" t="str">
        <f aca="false">IF($J292="","",IF($C292="",1,$C292))</f>
        <v/>
      </c>
    </row>
    <row r="293" customFormat="false" ht="15" hidden="false" customHeight="false" outlineLevel="0" collapsed="false">
      <c r="A293" s="7"/>
      <c r="B293" s="8"/>
      <c r="C293" s="9"/>
      <c r="D293" s="10"/>
      <c r="E293" s="11"/>
      <c r="F293" s="11"/>
      <c r="G293" s="8"/>
      <c r="H293" s="11"/>
      <c r="I293" s="12"/>
      <c r="J293" s="13" t="str">
        <f aca="false">IF(OR($A293="",$D293=""),"",IF($C293="",1,$C293)*$D293+N($E293)-N($F293))</f>
        <v/>
      </c>
      <c r="K293" s="13" t="str">
        <f aca="false">IF($J293="","",IF($R293&lt;&gt;"",$R293,IF($G293="",0,MAX(IFERROR(INDEX(Settings!$D$6:$D$15,MATCH($G293,Settings!$A$6:$A$15,0)),0),$J293*IFERROR(INDEX(Settings!$B$6:$B$15,MATCH($G293,Settings!$A$6:$A$15,0)),0)+IFERROR(INDEX(Settings!$C$6:$C$15,MATCH($G293,Settings!$A$6:$A$15,0)),0)))))</f>
        <v/>
      </c>
      <c r="L293" s="13" t="str">
        <f aca="false">IF($J293="","",IF($C293="",1,$C293)*IF($Q293&lt;&gt;"",$Q293,IFERROR(INDEX(Products!$D$5:$D$54,MATCH($B293,Products!$A$5:$A$54,0)),0)))</f>
        <v/>
      </c>
      <c r="M293" s="14" t="str">
        <f aca="false">IF($J293="","",$J293-$K293-N($H293)-$L293)</f>
        <v/>
      </c>
      <c r="N293" s="15" t="str">
        <f aca="false">IF($J293="","",IF($J293&gt;0,$M293/$J293,""))</f>
        <v/>
      </c>
      <c r="O293" s="12"/>
      <c r="P293" s="12"/>
      <c r="Q293" s="11"/>
      <c r="R293" s="11"/>
      <c r="S293" s="12"/>
      <c r="T293" s="16" t="str">
        <f aca="false">IF($J293="","",IF($C293="",1,$C293))</f>
        <v/>
      </c>
    </row>
    <row r="294" customFormat="false" ht="15" hidden="false" customHeight="false" outlineLevel="0" collapsed="false">
      <c r="A294" s="7"/>
      <c r="B294" s="8"/>
      <c r="C294" s="9"/>
      <c r="D294" s="10"/>
      <c r="E294" s="11"/>
      <c r="F294" s="11"/>
      <c r="G294" s="8"/>
      <c r="H294" s="11"/>
      <c r="I294" s="12"/>
      <c r="J294" s="13" t="str">
        <f aca="false">IF(OR($A294="",$D294=""),"",IF($C294="",1,$C294)*$D294+N($E294)-N($F294))</f>
        <v/>
      </c>
      <c r="K294" s="13" t="str">
        <f aca="false">IF($J294="","",IF($R294&lt;&gt;"",$R294,IF($G294="",0,MAX(IFERROR(INDEX(Settings!$D$6:$D$15,MATCH($G294,Settings!$A$6:$A$15,0)),0),$J294*IFERROR(INDEX(Settings!$B$6:$B$15,MATCH($G294,Settings!$A$6:$A$15,0)),0)+IFERROR(INDEX(Settings!$C$6:$C$15,MATCH($G294,Settings!$A$6:$A$15,0)),0)))))</f>
        <v/>
      </c>
      <c r="L294" s="13" t="str">
        <f aca="false">IF($J294="","",IF($C294="",1,$C294)*IF($Q294&lt;&gt;"",$Q294,IFERROR(INDEX(Products!$D$5:$D$54,MATCH($B294,Products!$A$5:$A$54,0)),0)))</f>
        <v/>
      </c>
      <c r="M294" s="14" t="str">
        <f aca="false">IF($J294="","",$J294-$K294-N($H294)-$L294)</f>
        <v/>
      </c>
      <c r="N294" s="15" t="str">
        <f aca="false">IF($J294="","",IF($J294&gt;0,$M294/$J294,""))</f>
        <v/>
      </c>
      <c r="O294" s="12"/>
      <c r="P294" s="12"/>
      <c r="Q294" s="11"/>
      <c r="R294" s="11"/>
      <c r="S294" s="12"/>
      <c r="T294" s="16" t="str">
        <f aca="false">IF($J294="","",IF($C294="",1,$C294))</f>
        <v/>
      </c>
    </row>
    <row r="295" customFormat="false" ht="15" hidden="false" customHeight="false" outlineLevel="0" collapsed="false">
      <c r="A295" s="7"/>
      <c r="B295" s="8"/>
      <c r="C295" s="9"/>
      <c r="D295" s="10"/>
      <c r="E295" s="11"/>
      <c r="F295" s="11"/>
      <c r="G295" s="8"/>
      <c r="H295" s="11"/>
      <c r="I295" s="12"/>
      <c r="J295" s="13" t="str">
        <f aca="false">IF(OR($A295="",$D295=""),"",IF($C295="",1,$C295)*$D295+N($E295)-N($F295))</f>
        <v/>
      </c>
      <c r="K295" s="13" t="str">
        <f aca="false">IF($J295="","",IF($R295&lt;&gt;"",$R295,IF($G295="",0,MAX(IFERROR(INDEX(Settings!$D$6:$D$15,MATCH($G295,Settings!$A$6:$A$15,0)),0),$J295*IFERROR(INDEX(Settings!$B$6:$B$15,MATCH($G295,Settings!$A$6:$A$15,0)),0)+IFERROR(INDEX(Settings!$C$6:$C$15,MATCH($G295,Settings!$A$6:$A$15,0)),0)))))</f>
        <v/>
      </c>
      <c r="L295" s="13" t="str">
        <f aca="false">IF($J295="","",IF($C295="",1,$C295)*IF($Q295&lt;&gt;"",$Q295,IFERROR(INDEX(Products!$D$5:$D$54,MATCH($B295,Products!$A$5:$A$54,0)),0)))</f>
        <v/>
      </c>
      <c r="M295" s="14" t="str">
        <f aca="false">IF($J295="","",$J295-$K295-N($H295)-$L295)</f>
        <v/>
      </c>
      <c r="N295" s="15" t="str">
        <f aca="false">IF($J295="","",IF($J295&gt;0,$M295/$J295,""))</f>
        <v/>
      </c>
      <c r="O295" s="12"/>
      <c r="P295" s="12"/>
      <c r="Q295" s="11"/>
      <c r="R295" s="11"/>
      <c r="S295" s="12"/>
      <c r="T295" s="16" t="str">
        <f aca="false">IF($J295="","",IF($C295="",1,$C295))</f>
        <v/>
      </c>
    </row>
    <row r="296" customFormat="false" ht="15" hidden="false" customHeight="false" outlineLevel="0" collapsed="false">
      <c r="A296" s="7"/>
      <c r="B296" s="8"/>
      <c r="C296" s="9"/>
      <c r="D296" s="10"/>
      <c r="E296" s="11"/>
      <c r="F296" s="11"/>
      <c r="G296" s="8"/>
      <c r="H296" s="11"/>
      <c r="I296" s="12"/>
      <c r="J296" s="13" t="str">
        <f aca="false">IF(OR($A296="",$D296=""),"",IF($C296="",1,$C296)*$D296+N($E296)-N($F296))</f>
        <v/>
      </c>
      <c r="K296" s="13" t="str">
        <f aca="false">IF($J296="","",IF($R296&lt;&gt;"",$R296,IF($G296="",0,MAX(IFERROR(INDEX(Settings!$D$6:$D$15,MATCH($G296,Settings!$A$6:$A$15,0)),0),$J296*IFERROR(INDEX(Settings!$B$6:$B$15,MATCH($G296,Settings!$A$6:$A$15,0)),0)+IFERROR(INDEX(Settings!$C$6:$C$15,MATCH($G296,Settings!$A$6:$A$15,0)),0)))))</f>
        <v/>
      </c>
      <c r="L296" s="13" t="str">
        <f aca="false">IF($J296="","",IF($C296="",1,$C296)*IF($Q296&lt;&gt;"",$Q296,IFERROR(INDEX(Products!$D$5:$D$54,MATCH($B296,Products!$A$5:$A$54,0)),0)))</f>
        <v/>
      </c>
      <c r="M296" s="14" t="str">
        <f aca="false">IF($J296="","",$J296-$K296-N($H296)-$L296)</f>
        <v/>
      </c>
      <c r="N296" s="15" t="str">
        <f aca="false">IF($J296="","",IF($J296&gt;0,$M296/$J296,""))</f>
        <v/>
      </c>
      <c r="O296" s="12"/>
      <c r="P296" s="12"/>
      <c r="Q296" s="11"/>
      <c r="R296" s="11"/>
      <c r="S296" s="12"/>
      <c r="T296" s="16" t="str">
        <f aca="false">IF($J296="","",IF($C296="",1,$C296))</f>
        <v/>
      </c>
    </row>
    <row r="297" customFormat="false" ht="15" hidden="false" customHeight="false" outlineLevel="0" collapsed="false">
      <c r="A297" s="7"/>
      <c r="B297" s="8"/>
      <c r="C297" s="9"/>
      <c r="D297" s="10"/>
      <c r="E297" s="11"/>
      <c r="F297" s="11"/>
      <c r="G297" s="8"/>
      <c r="H297" s="11"/>
      <c r="I297" s="12"/>
      <c r="J297" s="13" t="str">
        <f aca="false">IF(OR($A297="",$D297=""),"",IF($C297="",1,$C297)*$D297+N($E297)-N($F297))</f>
        <v/>
      </c>
      <c r="K297" s="13" t="str">
        <f aca="false">IF($J297="","",IF($R297&lt;&gt;"",$R297,IF($G297="",0,MAX(IFERROR(INDEX(Settings!$D$6:$D$15,MATCH($G297,Settings!$A$6:$A$15,0)),0),$J297*IFERROR(INDEX(Settings!$B$6:$B$15,MATCH($G297,Settings!$A$6:$A$15,0)),0)+IFERROR(INDEX(Settings!$C$6:$C$15,MATCH($G297,Settings!$A$6:$A$15,0)),0)))))</f>
        <v/>
      </c>
      <c r="L297" s="13" t="str">
        <f aca="false">IF($J297="","",IF($C297="",1,$C297)*IF($Q297&lt;&gt;"",$Q297,IFERROR(INDEX(Products!$D$5:$D$54,MATCH($B297,Products!$A$5:$A$54,0)),0)))</f>
        <v/>
      </c>
      <c r="M297" s="14" t="str">
        <f aca="false">IF($J297="","",$J297-$K297-N($H297)-$L297)</f>
        <v/>
      </c>
      <c r="N297" s="15" t="str">
        <f aca="false">IF($J297="","",IF($J297&gt;0,$M297/$J297,""))</f>
        <v/>
      </c>
      <c r="O297" s="12"/>
      <c r="P297" s="12"/>
      <c r="Q297" s="11"/>
      <c r="R297" s="11"/>
      <c r="S297" s="12"/>
      <c r="T297" s="16" t="str">
        <f aca="false">IF($J297="","",IF($C297="",1,$C297))</f>
        <v/>
      </c>
    </row>
    <row r="298" customFormat="false" ht="15" hidden="false" customHeight="false" outlineLevel="0" collapsed="false">
      <c r="A298" s="7"/>
      <c r="B298" s="8"/>
      <c r="C298" s="9"/>
      <c r="D298" s="10"/>
      <c r="E298" s="11"/>
      <c r="F298" s="11"/>
      <c r="G298" s="8"/>
      <c r="H298" s="11"/>
      <c r="I298" s="12"/>
      <c r="J298" s="13" t="str">
        <f aca="false">IF(OR($A298="",$D298=""),"",IF($C298="",1,$C298)*$D298+N($E298)-N($F298))</f>
        <v/>
      </c>
      <c r="K298" s="13" t="str">
        <f aca="false">IF($J298="","",IF($R298&lt;&gt;"",$R298,IF($G298="",0,MAX(IFERROR(INDEX(Settings!$D$6:$D$15,MATCH($G298,Settings!$A$6:$A$15,0)),0),$J298*IFERROR(INDEX(Settings!$B$6:$B$15,MATCH($G298,Settings!$A$6:$A$15,0)),0)+IFERROR(INDEX(Settings!$C$6:$C$15,MATCH($G298,Settings!$A$6:$A$15,0)),0)))))</f>
        <v/>
      </c>
      <c r="L298" s="13" t="str">
        <f aca="false">IF($J298="","",IF($C298="",1,$C298)*IF($Q298&lt;&gt;"",$Q298,IFERROR(INDEX(Products!$D$5:$D$54,MATCH($B298,Products!$A$5:$A$54,0)),0)))</f>
        <v/>
      </c>
      <c r="M298" s="14" t="str">
        <f aca="false">IF($J298="","",$J298-$K298-N($H298)-$L298)</f>
        <v/>
      </c>
      <c r="N298" s="15" t="str">
        <f aca="false">IF($J298="","",IF($J298&gt;0,$M298/$J298,""))</f>
        <v/>
      </c>
      <c r="O298" s="12"/>
      <c r="P298" s="12"/>
      <c r="Q298" s="11"/>
      <c r="R298" s="11"/>
      <c r="S298" s="12"/>
      <c r="T298" s="16" t="str">
        <f aca="false">IF($J298="","",IF($C298="",1,$C298))</f>
        <v/>
      </c>
    </row>
    <row r="299" customFormat="false" ht="15" hidden="false" customHeight="false" outlineLevel="0" collapsed="false">
      <c r="A299" s="7"/>
      <c r="B299" s="8"/>
      <c r="C299" s="9"/>
      <c r="D299" s="10"/>
      <c r="E299" s="11"/>
      <c r="F299" s="11"/>
      <c r="G299" s="8"/>
      <c r="H299" s="11"/>
      <c r="I299" s="12"/>
      <c r="J299" s="13" t="str">
        <f aca="false">IF(OR($A299="",$D299=""),"",IF($C299="",1,$C299)*$D299+N($E299)-N($F299))</f>
        <v/>
      </c>
      <c r="K299" s="13" t="str">
        <f aca="false">IF($J299="","",IF($R299&lt;&gt;"",$R299,IF($G299="",0,MAX(IFERROR(INDEX(Settings!$D$6:$D$15,MATCH($G299,Settings!$A$6:$A$15,0)),0),$J299*IFERROR(INDEX(Settings!$B$6:$B$15,MATCH($G299,Settings!$A$6:$A$15,0)),0)+IFERROR(INDEX(Settings!$C$6:$C$15,MATCH($G299,Settings!$A$6:$A$15,0)),0)))))</f>
        <v/>
      </c>
      <c r="L299" s="13" t="str">
        <f aca="false">IF($J299="","",IF($C299="",1,$C299)*IF($Q299&lt;&gt;"",$Q299,IFERROR(INDEX(Products!$D$5:$D$54,MATCH($B299,Products!$A$5:$A$54,0)),0)))</f>
        <v/>
      </c>
      <c r="M299" s="14" t="str">
        <f aca="false">IF($J299="","",$J299-$K299-N($H299)-$L299)</f>
        <v/>
      </c>
      <c r="N299" s="15" t="str">
        <f aca="false">IF($J299="","",IF($J299&gt;0,$M299/$J299,""))</f>
        <v/>
      </c>
      <c r="O299" s="12"/>
      <c r="P299" s="12"/>
      <c r="Q299" s="11"/>
      <c r="R299" s="11"/>
      <c r="S299" s="12"/>
      <c r="T299" s="16" t="str">
        <f aca="false">IF($J299="","",IF($C299="",1,$C299))</f>
        <v/>
      </c>
    </row>
    <row r="300" customFormat="false" ht="15" hidden="false" customHeight="false" outlineLevel="0" collapsed="false">
      <c r="A300" s="7"/>
      <c r="B300" s="8"/>
      <c r="C300" s="9"/>
      <c r="D300" s="10"/>
      <c r="E300" s="11"/>
      <c r="F300" s="11"/>
      <c r="G300" s="8"/>
      <c r="H300" s="11"/>
      <c r="I300" s="12"/>
      <c r="J300" s="13" t="str">
        <f aca="false">IF(OR($A300="",$D300=""),"",IF($C300="",1,$C300)*$D300+N($E300)-N($F300))</f>
        <v/>
      </c>
      <c r="K300" s="13" t="str">
        <f aca="false">IF($J300="","",IF($R300&lt;&gt;"",$R300,IF($G300="",0,MAX(IFERROR(INDEX(Settings!$D$6:$D$15,MATCH($G300,Settings!$A$6:$A$15,0)),0),$J300*IFERROR(INDEX(Settings!$B$6:$B$15,MATCH($G300,Settings!$A$6:$A$15,0)),0)+IFERROR(INDEX(Settings!$C$6:$C$15,MATCH($G300,Settings!$A$6:$A$15,0)),0)))))</f>
        <v/>
      </c>
      <c r="L300" s="13" t="str">
        <f aca="false">IF($J300="","",IF($C300="",1,$C300)*IF($Q300&lt;&gt;"",$Q300,IFERROR(INDEX(Products!$D$5:$D$54,MATCH($B300,Products!$A$5:$A$54,0)),0)))</f>
        <v/>
      </c>
      <c r="M300" s="14" t="str">
        <f aca="false">IF($J300="","",$J300-$K300-N($H300)-$L300)</f>
        <v/>
      </c>
      <c r="N300" s="15" t="str">
        <f aca="false">IF($J300="","",IF($J300&gt;0,$M300/$J300,""))</f>
        <v/>
      </c>
      <c r="O300" s="12"/>
      <c r="P300" s="12"/>
      <c r="Q300" s="11"/>
      <c r="R300" s="11"/>
      <c r="S300" s="12"/>
      <c r="T300" s="16" t="str">
        <f aca="false">IF($J300="","",IF($C300="",1,$C300))</f>
        <v/>
      </c>
    </row>
    <row r="301" customFormat="false" ht="15" hidden="false" customHeight="false" outlineLevel="0" collapsed="false">
      <c r="A301" s="7"/>
      <c r="B301" s="8"/>
      <c r="C301" s="9"/>
      <c r="D301" s="10"/>
      <c r="E301" s="11"/>
      <c r="F301" s="11"/>
      <c r="G301" s="8"/>
      <c r="H301" s="11"/>
      <c r="I301" s="12"/>
      <c r="J301" s="13" t="str">
        <f aca="false">IF(OR($A301="",$D301=""),"",IF($C301="",1,$C301)*$D301+N($E301)-N($F301))</f>
        <v/>
      </c>
      <c r="K301" s="13" t="str">
        <f aca="false">IF($J301="","",IF($R301&lt;&gt;"",$R301,IF($G301="",0,MAX(IFERROR(INDEX(Settings!$D$6:$D$15,MATCH($G301,Settings!$A$6:$A$15,0)),0),$J301*IFERROR(INDEX(Settings!$B$6:$B$15,MATCH($G301,Settings!$A$6:$A$15,0)),0)+IFERROR(INDEX(Settings!$C$6:$C$15,MATCH($G301,Settings!$A$6:$A$15,0)),0)))))</f>
        <v/>
      </c>
      <c r="L301" s="13" t="str">
        <f aca="false">IF($J301="","",IF($C301="",1,$C301)*IF($Q301&lt;&gt;"",$Q301,IFERROR(INDEX(Products!$D$5:$D$54,MATCH($B301,Products!$A$5:$A$54,0)),0)))</f>
        <v/>
      </c>
      <c r="M301" s="14" t="str">
        <f aca="false">IF($J301="","",$J301-$K301-N($H301)-$L301)</f>
        <v/>
      </c>
      <c r="N301" s="15" t="str">
        <f aca="false">IF($J301="","",IF($J301&gt;0,$M301/$J301,""))</f>
        <v/>
      </c>
      <c r="O301" s="12"/>
      <c r="P301" s="12"/>
      <c r="Q301" s="11"/>
      <c r="R301" s="11"/>
      <c r="S301" s="12"/>
      <c r="T301" s="16" t="str">
        <f aca="false">IF($J301="","",IF($C301="",1,$C301))</f>
        <v/>
      </c>
    </row>
    <row r="302" customFormat="false" ht="15" hidden="false" customHeight="false" outlineLevel="0" collapsed="false">
      <c r="A302" s="7"/>
      <c r="B302" s="8"/>
      <c r="C302" s="9"/>
      <c r="D302" s="10"/>
      <c r="E302" s="11"/>
      <c r="F302" s="11"/>
      <c r="G302" s="8"/>
      <c r="H302" s="11"/>
      <c r="I302" s="12"/>
      <c r="J302" s="13" t="str">
        <f aca="false">IF(OR($A302="",$D302=""),"",IF($C302="",1,$C302)*$D302+N($E302)-N($F302))</f>
        <v/>
      </c>
      <c r="K302" s="13" t="str">
        <f aca="false">IF($J302="","",IF($R302&lt;&gt;"",$R302,IF($G302="",0,MAX(IFERROR(INDEX(Settings!$D$6:$D$15,MATCH($G302,Settings!$A$6:$A$15,0)),0),$J302*IFERROR(INDEX(Settings!$B$6:$B$15,MATCH($G302,Settings!$A$6:$A$15,0)),0)+IFERROR(INDEX(Settings!$C$6:$C$15,MATCH($G302,Settings!$A$6:$A$15,0)),0)))))</f>
        <v/>
      </c>
      <c r="L302" s="13" t="str">
        <f aca="false">IF($J302="","",IF($C302="",1,$C302)*IF($Q302&lt;&gt;"",$Q302,IFERROR(INDEX(Products!$D$5:$D$54,MATCH($B302,Products!$A$5:$A$54,0)),0)))</f>
        <v/>
      </c>
      <c r="M302" s="14" t="str">
        <f aca="false">IF($J302="","",$J302-$K302-N($H302)-$L302)</f>
        <v/>
      </c>
      <c r="N302" s="15" t="str">
        <f aca="false">IF($J302="","",IF($J302&gt;0,$M302/$J302,""))</f>
        <v/>
      </c>
      <c r="O302" s="12"/>
      <c r="P302" s="12"/>
      <c r="Q302" s="11"/>
      <c r="R302" s="11"/>
      <c r="S302" s="12"/>
      <c r="T302" s="16" t="str">
        <f aca="false">IF($J302="","",IF($C302="",1,$C302))</f>
        <v/>
      </c>
    </row>
    <row r="303" customFormat="false" ht="15" hidden="false" customHeight="false" outlineLevel="0" collapsed="false">
      <c r="A303" s="7"/>
      <c r="B303" s="8"/>
      <c r="C303" s="9"/>
      <c r="D303" s="10"/>
      <c r="E303" s="11"/>
      <c r="F303" s="11"/>
      <c r="G303" s="8"/>
      <c r="H303" s="11"/>
      <c r="I303" s="12"/>
      <c r="J303" s="13" t="str">
        <f aca="false">IF(OR($A303="",$D303=""),"",IF($C303="",1,$C303)*$D303+N($E303)-N($F303))</f>
        <v/>
      </c>
      <c r="K303" s="13" t="str">
        <f aca="false">IF($J303="","",IF($R303&lt;&gt;"",$R303,IF($G303="",0,MAX(IFERROR(INDEX(Settings!$D$6:$D$15,MATCH($G303,Settings!$A$6:$A$15,0)),0),$J303*IFERROR(INDEX(Settings!$B$6:$B$15,MATCH($G303,Settings!$A$6:$A$15,0)),0)+IFERROR(INDEX(Settings!$C$6:$C$15,MATCH($G303,Settings!$A$6:$A$15,0)),0)))))</f>
        <v/>
      </c>
      <c r="L303" s="13" t="str">
        <f aca="false">IF($J303="","",IF($C303="",1,$C303)*IF($Q303&lt;&gt;"",$Q303,IFERROR(INDEX(Products!$D$5:$D$54,MATCH($B303,Products!$A$5:$A$54,0)),0)))</f>
        <v/>
      </c>
      <c r="M303" s="14" t="str">
        <f aca="false">IF($J303="","",$J303-$K303-N($H303)-$L303)</f>
        <v/>
      </c>
      <c r="N303" s="15" t="str">
        <f aca="false">IF($J303="","",IF($J303&gt;0,$M303/$J303,""))</f>
        <v/>
      </c>
      <c r="O303" s="12"/>
      <c r="P303" s="12"/>
      <c r="Q303" s="11"/>
      <c r="R303" s="11"/>
      <c r="S303" s="12"/>
      <c r="T303" s="16" t="str">
        <f aca="false">IF($J303="","",IF($C303="",1,$C303))</f>
        <v/>
      </c>
    </row>
    <row r="304" customFormat="false" ht="15" hidden="false" customHeight="false" outlineLevel="0" collapsed="false">
      <c r="A304" s="7"/>
      <c r="B304" s="8"/>
      <c r="C304" s="9"/>
      <c r="D304" s="10"/>
      <c r="E304" s="11"/>
      <c r="F304" s="11"/>
      <c r="G304" s="8"/>
      <c r="H304" s="11"/>
      <c r="I304" s="12"/>
      <c r="J304" s="13" t="str">
        <f aca="false">IF(OR($A304="",$D304=""),"",IF($C304="",1,$C304)*$D304+N($E304)-N($F304))</f>
        <v/>
      </c>
      <c r="K304" s="13" t="str">
        <f aca="false">IF($J304="","",IF($R304&lt;&gt;"",$R304,IF($G304="",0,MAX(IFERROR(INDEX(Settings!$D$6:$D$15,MATCH($G304,Settings!$A$6:$A$15,0)),0),$J304*IFERROR(INDEX(Settings!$B$6:$B$15,MATCH($G304,Settings!$A$6:$A$15,0)),0)+IFERROR(INDEX(Settings!$C$6:$C$15,MATCH($G304,Settings!$A$6:$A$15,0)),0)))))</f>
        <v/>
      </c>
      <c r="L304" s="13" t="str">
        <f aca="false">IF($J304="","",IF($C304="",1,$C304)*IF($Q304&lt;&gt;"",$Q304,IFERROR(INDEX(Products!$D$5:$D$54,MATCH($B304,Products!$A$5:$A$54,0)),0)))</f>
        <v/>
      </c>
      <c r="M304" s="14" t="str">
        <f aca="false">IF($J304="","",$J304-$K304-N($H304)-$L304)</f>
        <v/>
      </c>
      <c r="N304" s="15" t="str">
        <f aca="false">IF($J304="","",IF($J304&gt;0,$M304/$J304,""))</f>
        <v/>
      </c>
      <c r="O304" s="12"/>
      <c r="P304" s="12"/>
      <c r="Q304" s="11"/>
      <c r="R304" s="11"/>
      <c r="S304" s="12"/>
      <c r="T304" s="16" t="str">
        <f aca="false">IF($J304="","",IF($C304="",1,$C304))</f>
        <v/>
      </c>
    </row>
    <row r="305" customFormat="false" ht="15" hidden="false" customHeight="false" outlineLevel="0" collapsed="false">
      <c r="A305" s="7"/>
      <c r="B305" s="8"/>
      <c r="C305" s="9"/>
      <c r="D305" s="10"/>
      <c r="E305" s="11"/>
      <c r="F305" s="11"/>
      <c r="G305" s="8"/>
      <c r="H305" s="11"/>
      <c r="I305" s="12"/>
      <c r="J305" s="13" t="str">
        <f aca="false">IF(OR($A305="",$D305=""),"",IF($C305="",1,$C305)*$D305+N($E305)-N($F305))</f>
        <v/>
      </c>
      <c r="K305" s="13" t="str">
        <f aca="false">IF($J305="","",IF($R305&lt;&gt;"",$R305,IF($G305="",0,MAX(IFERROR(INDEX(Settings!$D$6:$D$15,MATCH($G305,Settings!$A$6:$A$15,0)),0),$J305*IFERROR(INDEX(Settings!$B$6:$B$15,MATCH($G305,Settings!$A$6:$A$15,0)),0)+IFERROR(INDEX(Settings!$C$6:$C$15,MATCH($G305,Settings!$A$6:$A$15,0)),0)))))</f>
        <v/>
      </c>
      <c r="L305" s="13" t="str">
        <f aca="false">IF($J305="","",IF($C305="",1,$C305)*IF($Q305&lt;&gt;"",$Q305,IFERROR(INDEX(Products!$D$5:$D$54,MATCH($B305,Products!$A$5:$A$54,0)),0)))</f>
        <v/>
      </c>
      <c r="M305" s="14" t="str">
        <f aca="false">IF($J305="","",$J305-$K305-N($H305)-$L305)</f>
        <v/>
      </c>
      <c r="N305" s="15" t="str">
        <f aca="false">IF($J305="","",IF($J305&gt;0,$M305/$J305,""))</f>
        <v/>
      </c>
      <c r="O305" s="12"/>
      <c r="P305" s="12"/>
      <c r="Q305" s="11"/>
      <c r="R305" s="11"/>
      <c r="S305" s="12"/>
      <c r="T305" s="16" t="str">
        <f aca="false">IF($J305="","",IF($C305="",1,$C305))</f>
        <v/>
      </c>
    </row>
    <row r="306" customFormat="false" ht="15" hidden="false" customHeight="false" outlineLevel="0" collapsed="false">
      <c r="A306" s="7"/>
      <c r="B306" s="8"/>
      <c r="C306" s="9"/>
      <c r="D306" s="10"/>
      <c r="E306" s="11"/>
      <c r="F306" s="11"/>
      <c r="G306" s="8"/>
      <c r="H306" s="11"/>
      <c r="I306" s="12"/>
      <c r="J306" s="13" t="str">
        <f aca="false">IF(OR($A306="",$D306=""),"",IF($C306="",1,$C306)*$D306+N($E306)-N($F306))</f>
        <v/>
      </c>
      <c r="K306" s="13" t="str">
        <f aca="false">IF($J306="","",IF($R306&lt;&gt;"",$R306,IF($G306="",0,MAX(IFERROR(INDEX(Settings!$D$6:$D$15,MATCH($G306,Settings!$A$6:$A$15,0)),0),$J306*IFERROR(INDEX(Settings!$B$6:$B$15,MATCH($G306,Settings!$A$6:$A$15,0)),0)+IFERROR(INDEX(Settings!$C$6:$C$15,MATCH($G306,Settings!$A$6:$A$15,0)),0)))))</f>
        <v/>
      </c>
      <c r="L306" s="13" t="str">
        <f aca="false">IF($J306="","",IF($C306="",1,$C306)*IF($Q306&lt;&gt;"",$Q306,IFERROR(INDEX(Products!$D$5:$D$54,MATCH($B306,Products!$A$5:$A$54,0)),0)))</f>
        <v/>
      </c>
      <c r="M306" s="14" t="str">
        <f aca="false">IF($J306="","",$J306-$K306-N($H306)-$L306)</f>
        <v/>
      </c>
      <c r="N306" s="15" t="str">
        <f aca="false">IF($J306="","",IF($J306&gt;0,$M306/$J306,""))</f>
        <v/>
      </c>
      <c r="O306" s="12"/>
      <c r="P306" s="12"/>
      <c r="Q306" s="11"/>
      <c r="R306" s="11"/>
      <c r="S306" s="12"/>
      <c r="T306" s="16" t="str">
        <f aca="false">IF($J306="","",IF($C306="",1,$C306))</f>
        <v/>
      </c>
    </row>
    <row r="307" customFormat="false" ht="15" hidden="false" customHeight="false" outlineLevel="0" collapsed="false">
      <c r="A307" s="7"/>
      <c r="B307" s="8"/>
      <c r="C307" s="9"/>
      <c r="D307" s="10"/>
      <c r="E307" s="11"/>
      <c r="F307" s="11"/>
      <c r="G307" s="8"/>
      <c r="H307" s="11"/>
      <c r="I307" s="12"/>
      <c r="J307" s="13" t="str">
        <f aca="false">IF(OR($A307="",$D307=""),"",IF($C307="",1,$C307)*$D307+N($E307)-N($F307))</f>
        <v/>
      </c>
      <c r="K307" s="13" t="str">
        <f aca="false">IF($J307="","",IF($R307&lt;&gt;"",$R307,IF($G307="",0,MAX(IFERROR(INDEX(Settings!$D$6:$D$15,MATCH($G307,Settings!$A$6:$A$15,0)),0),$J307*IFERROR(INDEX(Settings!$B$6:$B$15,MATCH($G307,Settings!$A$6:$A$15,0)),0)+IFERROR(INDEX(Settings!$C$6:$C$15,MATCH($G307,Settings!$A$6:$A$15,0)),0)))))</f>
        <v/>
      </c>
      <c r="L307" s="13" t="str">
        <f aca="false">IF($J307="","",IF($C307="",1,$C307)*IF($Q307&lt;&gt;"",$Q307,IFERROR(INDEX(Products!$D$5:$D$54,MATCH($B307,Products!$A$5:$A$54,0)),0)))</f>
        <v/>
      </c>
      <c r="M307" s="14" t="str">
        <f aca="false">IF($J307="","",$J307-$K307-N($H307)-$L307)</f>
        <v/>
      </c>
      <c r="N307" s="15" t="str">
        <f aca="false">IF($J307="","",IF($J307&gt;0,$M307/$J307,""))</f>
        <v/>
      </c>
      <c r="O307" s="12"/>
      <c r="P307" s="12"/>
      <c r="Q307" s="11"/>
      <c r="R307" s="11"/>
      <c r="S307" s="12"/>
      <c r="T307" s="16" t="str">
        <f aca="false">IF($J307="","",IF($C307="",1,$C307))</f>
        <v/>
      </c>
    </row>
    <row r="308" customFormat="false" ht="15" hidden="false" customHeight="false" outlineLevel="0" collapsed="false">
      <c r="A308" s="7"/>
      <c r="B308" s="8"/>
      <c r="C308" s="9"/>
      <c r="D308" s="10"/>
      <c r="E308" s="11"/>
      <c r="F308" s="11"/>
      <c r="G308" s="8"/>
      <c r="H308" s="11"/>
      <c r="I308" s="12"/>
      <c r="J308" s="13" t="str">
        <f aca="false">IF(OR($A308="",$D308=""),"",IF($C308="",1,$C308)*$D308+N($E308)-N($F308))</f>
        <v/>
      </c>
      <c r="K308" s="13" t="str">
        <f aca="false">IF($J308="","",IF($R308&lt;&gt;"",$R308,IF($G308="",0,MAX(IFERROR(INDEX(Settings!$D$6:$D$15,MATCH($G308,Settings!$A$6:$A$15,0)),0),$J308*IFERROR(INDEX(Settings!$B$6:$B$15,MATCH($G308,Settings!$A$6:$A$15,0)),0)+IFERROR(INDEX(Settings!$C$6:$C$15,MATCH($G308,Settings!$A$6:$A$15,0)),0)))))</f>
        <v/>
      </c>
      <c r="L308" s="13" t="str">
        <f aca="false">IF($J308="","",IF($C308="",1,$C308)*IF($Q308&lt;&gt;"",$Q308,IFERROR(INDEX(Products!$D$5:$D$54,MATCH($B308,Products!$A$5:$A$54,0)),0)))</f>
        <v/>
      </c>
      <c r="M308" s="14" t="str">
        <f aca="false">IF($J308="","",$J308-$K308-N($H308)-$L308)</f>
        <v/>
      </c>
      <c r="N308" s="15" t="str">
        <f aca="false">IF($J308="","",IF($J308&gt;0,$M308/$J308,""))</f>
        <v/>
      </c>
      <c r="O308" s="12"/>
      <c r="P308" s="12"/>
      <c r="Q308" s="11"/>
      <c r="R308" s="11"/>
      <c r="S308" s="12"/>
      <c r="T308" s="16" t="str">
        <f aca="false">IF($J308="","",IF($C308="",1,$C308))</f>
        <v/>
      </c>
    </row>
    <row r="309" customFormat="false" ht="15" hidden="false" customHeight="false" outlineLevel="0" collapsed="false">
      <c r="A309" s="7"/>
      <c r="B309" s="8"/>
      <c r="C309" s="9"/>
      <c r="D309" s="10"/>
      <c r="E309" s="11"/>
      <c r="F309" s="11"/>
      <c r="G309" s="8"/>
      <c r="H309" s="11"/>
      <c r="I309" s="12"/>
      <c r="J309" s="13" t="str">
        <f aca="false">IF(OR($A309="",$D309=""),"",IF($C309="",1,$C309)*$D309+N($E309)-N($F309))</f>
        <v/>
      </c>
      <c r="K309" s="13" t="str">
        <f aca="false">IF($J309="","",IF($R309&lt;&gt;"",$R309,IF($G309="",0,MAX(IFERROR(INDEX(Settings!$D$6:$D$15,MATCH($G309,Settings!$A$6:$A$15,0)),0),$J309*IFERROR(INDEX(Settings!$B$6:$B$15,MATCH($G309,Settings!$A$6:$A$15,0)),0)+IFERROR(INDEX(Settings!$C$6:$C$15,MATCH($G309,Settings!$A$6:$A$15,0)),0)))))</f>
        <v/>
      </c>
      <c r="L309" s="13" t="str">
        <f aca="false">IF($J309="","",IF($C309="",1,$C309)*IF($Q309&lt;&gt;"",$Q309,IFERROR(INDEX(Products!$D$5:$D$54,MATCH($B309,Products!$A$5:$A$54,0)),0)))</f>
        <v/>
      </c>
      <c r="M309" s="14" t="str">
        <f aca="false">IF($J309="","",$J309-$K309-N($H309)-$L309)</f>
        <v/>
      </c>
      <c r="N309" s="15" t="str">
        <f aca="false">IF($J309="","",IF($J309&gt;0,$M309/$J309,""))</f>
        <v/>
      </c>
      <c r="O309" s="12"/>
      <c r="P309" s="12"/>
      <c r="Q309" s="11"/>
      <c r="R309" s="11"/>
      <c r="S309" s="12"/>
      <c r="T309" s="16" t="str">
        <f aca="false">IF($J309="","",IF($C309="",1,$C309))</f>
        <v/>
      </c>
    </row>
    <row r="310" customFormat="false" ht="15" hidden="false" customHeight="false" outlineLevel="0" collapsed="false">
      <c r="A310" s="7"/>
      <c r="B310" s="8"/>
      <c r="C310" s="9"/>
      <c r="D310" s="10"/>
      <c r="E310" s="11"/>
      <c r="F310" s="11"/>
      <c r="G310" s="8"/>
      <c r="H310" s="11"/>
      <c r="I310" s="12"/>
      <c r="J310" s="13" t="str">
        <f aca="false">IF(OR($A310="",$D310=""),"",IF($C310="",1,$C310)*$D310+N($E310)-N($F310))</f>
        <v/>
      </c>
      <c r="K310" s="13" t="str">
        <f aca="false">IF($J310="","",IF($R310&lt;&gt;"",$R310,IF($G310="",0,MAX(IFERROR(INDEX(Settings!$D$6:$D$15,MATCH($G310,Settings!$A$6:$A$15,0)),0),$J310*IFERROR(INDEX(Settings!$B$6:$B$15,MATCH($G310,Settings!$A$6:$A$15,0)),0)+IFERROR(INDEX(Settings!$C$6:$C$15,MATCH($G310,Settings!$A$6:$A$15,0)),0)))))</f>
        <v/>
      </c>
      <c r="L310" s="13" t="str">
        <f aca="false">IF($J310="","",IF($C310="",1,$C310)*IF($Q310&lt;&gt;"",$Q310,IFERROR(INDEX(Products!$D$5:$D$54,MATCH($B310,Products!$A$5:$A$54,0)),0)))</f>
        <v/>
      </c>
      <c r="M310" s="14" t="str">
        <f aca="false">IF($J310="","",$J310-$K310-N($H310)-$L310)</f>
        <v/>
      </c>
      <c r="N310" s="15" t="str">
        <f aca="false">IF($J310="","",IF($J310&gt;0,$M310/$J310,""))</f>
        <v/>
      </c>
      <c r="O310" s="12"/>
      <c r="P310" s="12"/>
      <c r="Q310" s="11"/>
      <c r="R310" s="11"/>
      <c r="S310" s="12"/>
      <c r="T310" s="16" t="str">
        <f aca="false">IF($J310="","",IF($C310="",1,$C310))</f>
        <v/>
      </c>
    </row>
    <row r="311" customFormat="false" ht="15" hidden="false" customHeight="false" outlineLevel="0" collapsed="false">
      <c r="A311" s="7"/>
      <c r="B311" s="8"/>
      <c r="C311" s="9"/>
      <c r="D311" s="10"/>
      <c r="E311" s="11"/>
      <c r="F311" s="11"/>
      <c r="G311" s="8"/>
      <c r="H311" s="11"/>
      <c r="I311" s="12"/>
      <c r="J311" s="13" t="str">
        <f aca="false">IF(OR($A311="",$D311=""),"",IF($C311="",1,$C311)*$D311+N($E311)-N($F311))</f>
        <v/>
      </c>
      <c r="K311" s="13" t="str">
        <f aca="false">IF($J311="","",IF($R311&lt;&gt;"",$R311,IF($G311="",0,MAX(IFERROR(INDEX(Settings!$D$6:$D$15,MATCH($G311,Settings!$A$6:$A$15,0)),0),$J311*IFERROR(INDEX(Settings!$B$6:$B$15,MATCH($G311,Settings!$A$6:$A$15,0)),0)+IFERROR(INDEX(Settings!$C$6:$C$15,MATCH($G311,Settings!$A$6:$A$15,0)),0)))))</f>
        <v/>
      </c>
      <c r="L311" s="13" t="str">
        <f aca="false">IF($J311="","",IF($C311="",1,$C311)*IF($Q311&lt;&gt;"",$Q311,IFERROR(INDEX(Products!$D$5:$D$54,MATCH($B311,Products!$A$5:$A$54,0)),0)))</f>
        <v/>
      </c>
      <c r="M311" s="14" t="str">
        <f aca="false">IF($J311="","",$J311-$K311-N($H311)-$L311)</f>
        <v/>
      </c>
      <c r="N311" s="15" t="str">
        <f aca="false">IF($J311="","",IF($J311&gt;0,$M311/$J311,""))</f>
        <v/>
      </c>
      <c r="O311" s="12"/>
      <c r="P311" s="12"/>
      <c r="Q311" s="11"/>
      <c r="R311" s="11"/>
      <c r="S311" s="12"/>
      <c r="T311" s="16" t="str">
        <f aca="false">IF($J311="","",IF($C311="",1,$C311))</f>
        <v/>
      </c>
    </row>
    <row r="312" customFormat="false" ht="15" hidden="false" customHeight="false" outlineLevel="0" collapsed="false">
      <c r="A312" s="7"/>
      <c r="B312" s="8"/>
      <c r="C312" s="9"/>
      <c r="D312" s="10"/>
      <c r="E312" s="11"/>
      <c r="F312" s="11"/>
      <c r="G312" s="8"/>
      <c r="H312" s="11"/>
      <c r="I312" s="12"/>
      <c r="J312" s="13" t="str">
        <f aca="false">IF(OR($A312="",$D312=""),"",IF($C312="",1,$C312)*$D312+N($E312)-N($F312))</f>
        <v/>
      </c>
      <c r="K312" s="13" t="str">
        <f aca="false">IF($J312="","",IF($R312&lt;&gt;"",$R312,IF($G312="",0,MAX(IFERROR(INDEX(Settings!$D$6:$D$15,MATCH($G312,Settings!$A$6:$A$15,0)),0),$J312*IFERROR(INDEX(Settings!$B$6:$B$15,MATCH($G312,Settings!$A$6:$A$15,0)),0)+IFERROR(INDEX(Settings!$C$6:$C$15,MATCH($G312,Settings!$A$6:$A$15,0)),0)))))</f>
        <v/>
      </c>
      <c r="L312" s="13" t="str">
        <f aca="false">IF($J312="","",IF($C312="",1,$C312)*IF($Q312&lt;&gt;"",$Q312,IFERROR(INDEX(Products!$D$5:$D$54,MATCH($B312,Products!$A$5:$A$54,0)),0)))</f>
        <v/>
      </c>
      <c r="M312" s="14" t="str">
        <f aca="false">IF($J312="","",$J312-$K312-N($H312)-$L312)</f>
        <v/>
      </c>
      <c r="N312" s="15" t="str">
        <f aca="false">IF($J312="","",IF($J312&gt;0,$M312/$J312,""))</f>
        <v/>
      </c>
      <c r="O312" s="12"/>
      <c r="P312" s="12"/>
      <c r="Q312" s="11"/>
      <c r="R312" s="11"/>
      <c r="S312" s="12"/>
      <c r="T312" s="16" t="str">
        <f aca="false">IF($J312="","",IF($C312="",1,$C312))</f>
        <v/>
      </c>
    </row>
    <row r="313" customFormat="false" ht="15" hidden="false" customHeight="false" outlineLevel="0" collapsed="false">
      <c r="A313" s="7"/>
      <c r="B313" s="8"/>
      <c r="C313" s="9"/>
      <c r="D313" s="10"/>
      <c r="E313" s="11"/>
      <c r="F313" s="11"/>
      <c r="G313" s="8"/>
      <c r="H313" s="11"/>
      <c r="I313" s="12"/>
      <c r="J313" s="13" t="str">
        <f aca="false">IF(OR($A313="",$D313=""),"",IF($C313="",1,$C313)*$D313+N($E313)-N($F313))</f>
        <v/>
      </c>
      <c r="K313" s="13" t="str">
        <f aca="false">IF($J313="","",IF($R313&lt;&gt;"",$R313,IF($G313="",0,MAX(IFERROR(INDEX(Settings!$D$6:$D$15,MATCH($G313,Settings!$A$6:$A$15,0)),0),$J313*IFERROR(INDEX(Settings!$B$6:$B$15,MATCH($G313,Settings!$A$6:$A$15,0)),0)+IFERROR(INDEX(Settings!$C$6:$C$15,MATCH($G313,Settings!$A$6:$A$15,0)),0)))))</f>
        <v/>
      </c>
      <c r="L313" s="13" t="str">
        <f aca="false">IF($J313="","",IF($C313="",1,$C313)*IF($Q313&lt;&gt;"",$Q313,IFERROR(INDEX(Products!$D$5:$D$54,MATCH($B313,Products!$A$5:$A$54,0)),0)))</f>
        <v/>
      </c>
      <c r="M313" s="14" t="str">
        <f aca="false">IF($J313="","",$J313-$K313-N($H313)-$L313)</f>
        <v/>
      </c>
      <c r="N313" s="15" t="str">
        <f aca="false">IF($J313="","",IF($J313&gt;0,$M313/$J313,""))</f>
        <v/>
      </c>
      <c r="O313" s="12"/>
      <c r="P313" s="12"/>
      <c r="Q313" s="11"/>
      <c r="R313" s="11"/>
      <c r="S313" s="12"/>
      <c r="T313" s="16" t="str">
        <f aca="false">IF($J313="","",IF($C313="",1,$C313))</f>
        <v/>
      </c>
    </row>
    <row r="314" customFormat="false" ht="15" hidden="false" customHeight="false" outlineLevel="0" collapsed="false">
      <c r="A314" s="7"/>
      <c r="B314" s="8"/>
      <c r="C314" s="9"/>
      <c r="D314" s="10"/>
      <c r="E314" s="11"/>
      <c r="F314" s="11"/>
      <c r="G314" s="8"/>
      <c r="H314" s="11"/>
      <c r="I314" s="12"/>
      <c r="J314" s="13" t="str">
        <f aca="false">IF(OR($A314="",$D314=""),"",IF($C314="",1,$C314)*$D314+N($E314)-N($F314))</f>
        <v/>
      </c>
      <c r="K314" s="13" t="str">
        <f aca="false">IF($J314="","",IF($R314&lt;&gt;"",$R314,IF($G314="",0,MAX(IFERROR(INDEX(Settings!$D$6:$D$15,MATCH($G314,Settings!$A$6:$A$15,0)),0),$J314*IFERROR(INDEX(Settings!$B$6:$B$15,MATCH($G314,Settings!$A$6:$A$15,0)),0)+IFERROR(INDEX(Settings!$C$6:$C$15,MATCH($G314,Settings!$A$6:$A$15,0)),0)))))</f>
        <v/>
      </c>
      <c r="L314" s="13" t="str">
        <f aca="false">IF($J314="","",IF($C314="",1,$C314)*IF($Q314&lt;&gt;"",$Q314,IFERROR(INDEX(Products!$D$5:$D$54,MATCH($B314,Products!$A$5:$A$54,0)),0)))</f>
        <v/>
      </c>
      <c r="M314" s="14" t="str">
        <f aca="false">IF($J314="","",$J314-$K314-N($H314)-$L314)</f>
        <v/>
      </c>
      <c r="N314" s="15" t="str">
        <f aca="false">IF($J314="","",IF($J314&gt;0,$M314/$J314,""))</f>
        <v/>
      </c>
      <c r="O314" s="12"/>
      <c r="P314" s="12"/>
      <c r="Q314" s="11"/>
      <c r="R314" s="11"/>
      <c r="S314" s="12"/>
      <c r="T314" s="16" t="str">
        <f aca="false">IF($J314="","",IF($C314="",1,$C314))</f>
        <v/>
      </c>
    </row>
    <row r="315" customFormat="false" ht="15" hidden="false" customHeight="false" outlineLevel="0" collapsed="false">
      <c r="A315" s="7"/>
      <c r="B315" s="8"/>
      <c r="C315" s="9"/>
      <c r="D315" s="10"/>
      <c r="E315" s="11"/>
      <c r="F315" s="11"/>
      <c r="G315" s="8"/>
      <c r="H315" s="11"/>
      <c r="I315" s="12"/>
      <c r="J315" s="13" t="str">
        <f aca="false">IF(OR($A315="",$D315=""),"",IF($C315="",1,$C315)*$D315+N($E315)-N($F315))</f>
        <v/>
      </c>
      <c r="K315" s="13" t="str">
        <f aca="false">IF($J315="","",IF($R315&lt;&gt;"",$R315,IF($G315="",0,MAX(IFERROR(INDEX(Settings!$D$6:$D$15,MATCH($G315,Settings!$A$6:$A$15,0)),0),$J315*IFERROR(INDEX(Settings!$B$6:$B$15,MATCH($G315,Settings!$A$6:$A$15,0)),0)+IFERROR(INDEX(Settings!$C$6:$C$15,MATCH($G315,Settings!$A$6:$A$15,0)),0)))))</f>
        <v/>
      </c>
      <c r="L315" s="13" t="str">
        <f aca="false">IF($J315="","",IF($C315="",1,$C315)*IF($Q315&lt;&gt;"",$Q315,IFERROR(INDEX(Products!$D$5:$D$54,MATCH($B315,Products!$A$5:$A$54,0)),0)))</f>
        <v/>
      </c>
      <c r="M315" s="14" t="str">
        <f aca="false">IF($J315="","",$J315-$K315-N($H315)-$L315)</f>
        <v/>
      </c>
      <c r="N315" s="15" t="str">
        <f aca="false">IF($J315="","",IF($J315&gt;0,$M315/$J315,""))</f>
        <v/>
      </c>
      <c r="O315" s="12"/>
      <c r="P315" s="12"/>
      <c r="Q315" s="11"/>
      <c r="R315" s="11"/>
      <c r="S315" s="12"/>
      <c r="T315" s="16" t="str">
        <f aca="false">IF($J315="","",IF($C315="",1,$C315))</f>
        <v/>
      </c>
    </row>
    <row r="316" customFormat="false" ht="15" hidden="false" customHeight="false" outlineLevel="0" collapsed="false">
      <c r="A316" s="7"/>
      <c r="B316" s="8"/>
      <c r="C316" s="9"/>
      <c r="D316" s="10"/>
      <c r="E316" s="11"/>
      <c r="F316" s="11"/>
      <c r="G316" s="8"/>
      <c r="H316" s="11"/>
      <c r="I316" s="12"/>
      <c r="J316" s="13" t="str">
        <f aca="false">IF(OR($A316="",$D316=""),"",IF($C316="",1,$C316)*$D316+N($E316)-N($F316))</f>
        <v/>
      </c>
      <c r="K316" s="13" t="str">
        <f aca="false">IF($J316="","",IF($R316&lt;&gt;"",$R316,IF($G316="",0,MAX(IFERROR(INDEX(Settings!$D$6:$D$15,MATCH($G316,Settings!$A$6:$A$15,0)),0),$J316*IFERROR(INDEX(Settings!$B$6:$B$15,MATCH($G316,Settings!$A$6:$A$15,0)),0)+IFERROR(INDEX(Settings!$C$6:$C$15,MATCH($G316,Settings!$A$6:$A$15,0)),0)))))</f>
        <v/>
      </c>
      <c r="L316" s="13" t="str">
        <f aca="false">IF($J316="","",IF($C316="",1,$C316)*IF($Q316&lt;&gt;"",$Q316,IFERROR(INDEX(Products!$D$5:$D$54,MATCH($B316,Products!$A$5:$A$54,0)),0)))</f>
        <v/>
      </c>
      <c r="M316" s="14" t="str">
        <f aca="false">IF($J316="","",$J316-$K316-N($H316)-$L316)</f>
        <v/>
      </c>
      <c r="N316" s="15" t="str">
        <f aca="false">IF($J316="","",IF($J316&gt;0,$M316/$J316,""))</f>
        <v/>
      </c>
      <c r="O316" s="12"/>
      <c r="P316" s="12"/>
      <c r="Q316" s="11"/>
      <c r="R316" s="11"/>
      <c r="S316" s="12"/>
      <c r="T316" s="16" t="str">
        <f aca="false">IF($J316="","",IF($C316="",1,$C316))</f>
        <v/>
      </c>
    </row>
    <row r="317" customFormat="false" ht="15" hidden="false" customHeight="false" outlineLevel="0" collapsed="false">
      <c r="A317" s="7"/>
      <c r="B317" s="8"/>
      <c r="C317" s="9"/>
      <c r="D317" s="10"/>
      <c r="E317" s="11"/>
      <c r="F317" s="11"/>
      <c r="G317" s="8"/>
      <c r="H317" s="11"/>
      <c r="I317" s="12"/>
      <c r="J317" s="13" t="str">
        <f aca="false">IF(OR($A317="",$D317=""),"",IF($C317="",1,$C317)*$D317+N($E317)-N($F317))</f>
        <v/>
      </c>
      <c r="K317" s="13" t="str">
        <f aca="false">IF($J317="","",IF($R317&lt;&gt;"",$R317,IF($G317="",0,MAX(IFERROR(INDEX(Settings!$D$6:$D$15,MATCH($G317,Settings!$A$6:$A$15,0)),0),$J317*IFERROR(INDEX(Settings!$B$6:$B$15,MATCH($G317,Settings!$A$6:$A$15,0)),0)+IFERROR(INDEX(Settings!$C$6:$C$15,MATCH($G317,Settings!$A$6:$A$15,0)),0)))))</f>
        <v/>
      </c>
      <c r="L317" s="13" t="str">
        <f aca="false">IF($J317="","",IF($C317="",1,$C317)*IF($Q317&lt;&gt;"",$Q317,IFERROR(INDEX(Products!$D$5:$D$54,MATCH($B317,Products!$A$5:$A$54,0)),0)))</f>
        <v/>
      </c>
      <c r="M317" s="14" t="str">
        <f aca="false">IF($J317="","",$J317-$K317-N($H317)-$L317)</f>
        <v/>
      </c>
      <c r="N317" s="15" t="str">
        <f aca="false">IF($J317="","",IF($J317&gt;0,$M317/$J317,""))</f>
        <v/>
      </c>
      <c r="O317" s="12"/>
      <c r="P317" s="12"/>
      <c r="Q317" s="11"/>
      <c r="R317" s="11"/>
      <c r="S317" s="12"/>
      <c r="T317" s="16" t="str">
        <f aca="false">IF($J317="","",IF($C317="",1,$C317))</f>
        <v/>
      </c>
    </row>
    <row r="318" customFormat="false" ht="15" hidden="false" customHeight="false" outlineLevel="0" collapsed="false">
      <c r="A318" s="7"/>
      <c r="B318" s="8"/>
      <c r="C318" s="9"/>
      <c r="D318" s="10"/>
      <c r="E318" s="11"/>
      <c r="F318" s="11"/>
      <c r="G318" s="8"/>
      <c r="H318" s="11"/>
      <c r="I318" s="12"/>
      <c r="J318" s="13" t="str">
        <f aca="false">IF(OR($A318="",$D318=""),"",IF($C318="",1,$C318)*$D318+N($E318)-N($F318))</f>
        <v/>
      </c>
      <c r="K318" s="13" t="str">
        <f aca="false">IF($J318="","",IF($R318&lt;&gt;"",$R318,IF($G318="",0,MAX(IFERROR(INDEX(Settings!$D$6:$D$15,MATCH($G318,Settings!$A$6:$A$15,0)),0),$J318*IFERROR(INDEX(Settings!$B$6:$B$15,MATCH($G318,Settings!$A$6:$A$15,0)),0)+IFERROR(INDEX(Settings!$C$6:$C$15,MATCH($G318,Settings!$A$6:$A$15,0)),0)))))</f>
        <v/>
      </c>
      <c r="L318" s="13" t="str">
        <f aca="false">IF($J318="","",IF($C318="",1,$C318)*IF($Q318&lt;&gt;"",$Q318,IFERROR(INDEX(Products!$D$5:$D$54,MATCH($B318,Products!$A$5:$A$54,0)),0)))</f>
        <v/>
      </c>
      <c r="M318" s="14" t="str">
        <f aca="false">IF($J318="","",$J318-$K318-N($H318)-$L318)</f>
        <v/>
      </c>
      <c r="N318" s="15" t="str">
        <f aca="false">IF($J318="","",IF($J318&gt;0,$M318/$J318,""))</f>
        <v/>
      </c>
      <c r="O318" s="12"/>
      <c r="P318" s="12"/>
      <c r="Q318" s="11"/>
      <c r="R318" s="11"/>
      <c r="S318" s="12"/>
      <c r="T318" s="16" t="str">
        <f aca="false">IF($J318="","",IF($C318="",1,$C318))</f>
        <v/>
      </c>
    </row>
    <row r="319" customFormat="false" ht="15" hidden="false" customHeight="false" outlineLevel="0" collapsed="false">
      <c r="A319" s="7"/>
      <c r="B319" s="8"/>
      <c r="C319" s="9"/>
      <c r="D319" s="10"/>
      <c r="E319" s="11"/>
      <c r="F319" s="11"/>
      <c r="G319" s="8"/>
      <c r="H319" s="11"/>
      <c r="I319" s="12"/>
      <c r="J319" s="13" t="str">
        <f aca="false">IF(OR($A319="",$D319=""),"",IF($C319="",1,$C319)*$D319+N($E319)-N($F319))</f>
        <v/>
      </c>
      <c r="K319" s="13" t="str">
        <f aca="false">IF($J319="","",IF($R319&lt;&gt;"",$R319,IF($G319="",0,MAX(IFERROR(INDEX(Settings!$D$6:$D$15,MATCH($G319,Settings!$A$6:$A$15,0)),0),$J319*IFERROR(INDEX(Settings!$B$6:$B$15,MATCH($G319,Settings!$A$6:$A$15,0)),0)+IFERROR(INDEX(Settings!$C$6:$C$15,MATCH($G319,Settings!$A$6:$A$15,0)),0)))))</f>
        <v/>
      </c>
      <c r="L319" s="13" t="str">
        <f aca="false">IF($J319="","",IF($C319="",1,$C319)*IF($Q319&lt;&gt;"",$Q319,IFERROR(INDEX(Products!$D$5:$D$54,MATCH($B319,Products!$A$5:$A$54,0)),0)))</f>
        <v/>
      </c>
      <c r="M319" s="14" t="str">
        <f aca="false">IF($J319="","",$J319-$K319-N($H319)-$L319)</f>
        <v/>
      </c>
      <c r="N319" s="15" t="str">
        <f aca="false">IF($J319="","",IF($J319&gt;0,$M319/$J319,""))</f>
        <v/>
      </c>
      <c r="O319" s="12"/>
      <c r="P319" s="12"/>
      <c r="Q319" s="11"/>
      <c r="R319" s="11"/>
      <c r="S319" s="12"/>
      <c r="T319" s="16" t="str">
        <f aca="false">IF($J319="","",IF($C319="",1,$C319))</f>
        <v/>
      </c>
    </row>
    <row r="320" customFormat="false" ht="15" hidden="false" customHeight="false" outlineLevel="0" collapsed="false">
      <c r="A320" s="7"/>
      <c r="B320" s="8"/>
      <c r="C320" s="9"/>
      <c r="D320" s="10"/>
      <c r="E320" s="11"/>
      <c r="F320" s="11"/>
      <c r="G320" s="8"/>
      <c r="H320" s="11"/>
      <c r="I320" s="12"/>
      <c r="J320" s="13" t="str">
        <f aca="false">IF(OR($A320="",$D320=""),"",IF($C320="",1,$C320)*$D320+N($E320)-N($F320))</f>
        <v/>
      </c>
      <c r="K320" s="13" t="str">
        <f aca="false">IF($J320="","",IF($R320&lt;&gt;"",$R320,IF($G320="",0,MAX(IFERROR(INDEX(Settings!$D$6:$D$15,MATCH($G320,Settings!$A$6:$A$15,0)),0),$J320*IFERROR(INDEX(Settings!$B$6:$B$15,MATCH($G320,Settings!$A$6:$A$15,0)),0)+IFERROR(INDEX(Settings!$C$6:$C$15,MATCH($G320,Settings!$A$6:$A$15,0)),0)))))</f>
        <v/>
      </c>
      <c r="L320" s="13" t="str">
        <f aca="false">IF($J320="","",IF($C320="",1,$C320)*IF($Q320&lt;&gt;"",$Q320,IFERROR(INDEX(Products!$D$5:$D$54,MATCH($B320,Products!$A$5:$A$54,0)),0)))</f>
        <v/>
      </c>
      <c r="M320" s="14" t="str">
        <f aca="false">IF($J320="","",$J320-$K320-N($H320)-$L320)</f>
        <v/>
      </c>
      <c r="N320" s="15" t="str">
        <f aca="false">IF($J320="","",IF($J320&gt;0,$M320/$J320,""))</f>
        <v/>
      </c>
      <c r="O320" s="12"/>
      <c r="P320" s="12"/>
      <c r="Q320" s="11"/>
      <c r="R320" s="11"/>
      <c r="S320" s="12"/>
      <c r="T320" s="16" t="str">
        <f aca="false">IF($J320="","",IF($C320="",1,$C320))</f>
        <v/>
      </c>
    </row>
    <row r="321" customFormat="false" ht="15" hidden="false" customHeight="false" outlineLevel="0" collapsed="false">
      <c r="A321" s="7"/>
      <c r="B321" s="8"/>
      <c r="C321" s="9"/>
      <c r="D321" s="10"/>
      <c r="E321" s="11"/>
      <c r="F321" s="11"/>
      <c r="G321" s="8"/>
      <c r="H321" s="11"/>
      <c r="I321" s="12"/>
      <c r="J321" s="13" t="str">
        <f aca="false">IF(OR($A321="",$D321=""),"",IF($C321="",1,$C321)*$D321+N($E321)-N($F321))</f>
        <v/>
      </c>
      <c r="K321" s="13" t="str">
        <f aca="false">IF($J321="","",IF($R321&lt;&gt;"",$R321,IF($G321="",0,MAX(IFERROR(INDEX(Settings!$D$6:$D$15,MATCH($G321,Settings!$A$6:$A$15,0)),0),$J321*IFERROR(INDEX(Settings!$B$6:$B$15,MATCH($G321,Settings!$A$6:$A$15,0)),0)+IFERROR(INDEX(Settings!$C$6:$C$15,MATCH($G321,Settings!$A$6:$A$15,0)),0)))))</f>
        <v/>
      </c>
      <c r="L321" s="13" t="str">
        <f aca="false">IF($J321="","",IF($C321="",1,$C321)*IF($Q321&lt;&gt;"",$Q321,IFERROR(INDEX(Products!$D$5:$D$54,MATCH($B321,Products!$A$5:$A$54,0)),0)))</f>
        <v/>
      </c>
      <c r="M321" s="14" t="str">
        <f aca="false">IF($J321="","",$J321-$K321-N($H321)-$L321)</f>
        <v/>
      </c>
      <c r="N321" s="15" t="str">
        <f aca="false">IF($J321="","",IF($J321&gt;0,$M321/$J321,""))</f>
        <v/>
      </c>
      <c r="O321" s="12"/>
      <c r="P321" s="12"/>
      <c r="Q321" s="11"/>
      <c r="R321" s="11"/>
      <c r="S321" s="12"/>
      <c r="T321" s="16" t="str">
        <f aca="false">IF($J321="","",IF($C321="",1,$C321))</f>
        <v/>
      </c>
    </row>
    <row r="322" customFormat="false" ht="15" hidden="false" customHeight="false" outlineLevel="0" collapsed="false">
      <c r="A322" s="7"/>
      <c r="B322" s="8"/>
      <c r="C322" s="9"/>
      <c r="D322" s="10"/>
      <c r="E322" s="11"/>
      <c r="F322" s="11"/>
      <c r="G322" s="8"/>
      <c r="H322" s="11"/>
      <c r="I322" s="12"/>
      <c r="J322" s="13" t="str">
        <f aca="false">IF(OR($A322="",$D322=""),"",IF($C322="",1,$C322)*$D322+N($E322)-N($F322))</f>
        <v/>
      </c>
      <c r="K322" s="13" t="str">
        <f aca="false">IF($J322="","",IF($R322&lt;&gt;"",$R322,IF($G322="",0,MAX(IFERROR(INDEX(Settings!$D$6:$D$15,MATCH($G322,Settings!$A$6:$A$15,0)),0),$J322*IFERROR(INDEX(Settings!$B$6:$B$15,MATCH($G322,Settings!$A$6:$A$15,0)),0)+IFERROR(INDEX(Settings!$C$6:$C$15,MATCH($G322,Settings!$A$6:$A$15,0)),0)))))</f>
        <v/>
      </c>
      <c r="L322" s="13" t="str">
        <f aca="false">IF($J322="","",IF($C322="",1,$C322)*IF($Q322&lt;&gt;"",$Q322,IFERROR(INDEX(Products!$D$5:$D$54,MATCH($B322,Products!$A$5:$A$54,0)),0)))</f>
        <v/>
      </c>
      <c r="M322" s="14" t="str">
        <f aca="false">IF($J322="","",$J322-$K322-N($H322)-$L322)</f>
        <v/>
      </c>
      <c r="N322" s="15" t="str">
        <f aca="false">IF($J322="","",IF($J322&gt;0,$M322/$J322,""))</f>
        <v/>
      </c>
      <c r="O322" s="12"/>
      <c r="P322" s="12"/>
      <c r="Q322" s="11"/>
      <c r="R322" s="11"/>
      <c r="S322" s="12"/>
      <c r="T322" s="16" t="str">
        <f aca="false">IF($J322="","",IF($C322="",1,$C322))</f>
        <v/>
      </c>
    </row>
    <row r="323" customFormat="false" ht="15" hidden="false" customHeight="false" outlineLevel="0" collapsed="false">
      <c r="A323" s="7"/>
      <c r="B323" s="8"/>
      <c r="C323" s="9"/>
      <c r="D323" s="10"/>
      <c r="E323" s="11"/>
      <c r="F323" s="11"/>
      <c r="G323" s="8"/>
      <c r="H323" s="11"/>
      <c r="I323" s="12"/>
      <c r="J323" s="13" t="str">
        <f aca="false">IF(OR($A323="",$D323=""),"",IF($C323="",1,$C323)*$D323+N($E323)-N($F323))</f>
        <v/>
      </c>
      <c r="K323" s="13" t="str">
        <f aca="false">IF($J323="","",IF($R323&lt;&gt;"",$R323,IF($G323="",0,MAX(IFERROR(INDEX(Settings!$D$6:$D$15,MATCH($G323,Settings!$A$6:$A$15,0)),0),$J323*IFERROR(INDEX(Settings!$B$6:$B$15,MATCH($G323,Settings!$A$6:$A$15,0)),0)+IFERROR(INDEX(Settings!$C$6:$C$15,MATCH($G323,Settings!$A$6:$A$15,0)),0)))))</f>
        <v/>
      </c>
      <c r="L323" s="13" t="str">
        <f aca="false">IF($J323="","",IF($C323="",1,$C323)*IF($Q323&lt;&gt;"",$Q323,IFERROR(INDEX(Products!$D$5:$D$54,MATCH($B323,Products!$A$5:$A$54,0)),0)))</f>
        <v/>
      </c>
      <c r="M323" s="14" t="str">
        <f aca="false">IF($J323="","",$J323-$K323-N($H323)-$L323)</f>
        <v/>
      </c>
      <c r="N323" s="15" t="str">
        <f aca="false">IF($J323="","",IF($J323&gt;0,$M323/$J323,""))</f>
        <v/>
      </c>
      <c r="O323" s="12"/>
      <c r="P323" s="12"/>
      <c r="Q323" s="11"/>
      <c r="R323" s="11"/>
      <c r="S323" s="12"/>
      <c r="T323" s="16" t="str">
        <f aca="false">IF($J323="","",IF($C323="",1,$C323))</f>
        <v/>
      </c>
    </row>
    <row r="324" customFormat="false" ht="15" hidden="false" customHeight="false" outlineLevel="0" collapsed="false">
      <c r="A324" s="7"/>
      <c r="B324" s="8"/>
      <c r="C324" s="9"/>
      <c r="D324" s="10"/>
      <c r="E324" s="11"/>
      <c r="F324" s="11"/>
      <c r="G324" s="8"/>
      <c r="H324" s="11"/>
      <c r="I324" s="12"/>
      <c r="J324" s="13" t="str">
        <f aca="false">IF(OR($A324="",$D324=""),"",IF($C324="",1,$C324)*$D324+N($E324)-N($F324))</f>
        <v/>
      </c>
      <c r="K324" s="13" t="str">
        <f aca="false">IF($J324="","",IF($R324&lt;&gt;"",$R324,IF($G324="",0,MAX(IFERROR(INDEX(Settings!$D$6:$D$15,MATCH($G324,Settings!$A$6:$A$15,0)),0),$J324*IFERROR(INDEX(Settings!$B$6:$B$15,MATCH($G324,Settings!$A$6:$A$15,0)),0)+IFERROR(INDEX(Settings!$C$6:$C$15,MATCH($G324,Settings!$A$6:$A$15,0)),0)))))</f>
        <v/>
      </c>
      <c r="L324" s="13" t="str">
        <f aca="false">IF($J324="","",IF($C324="",1,$C324)*IF($Q324&lt;&gt;"",$Q324,IFERROR(INDEX(Products!$D$5:$D$54,MATCH($B324,Products!$A$5:$A$54,0)),0)))</f>
        <v/>
      </c>
      <c r="M324" s="14" t="str">
        <f aca="false">IF($J324="","",$J324-$K324-N($H324)-$L324)</f>
        <v/>
      </c>
      <c r="N324" s="15" t="str">
        <f aca="false">IF($J324="","",IF($J324&gt;0,$M324/$J324,""))</f>
        <v/>
      </c>
      <c r="O324" s="12"/>
      <c r="P324" s="12"/>
      <c r="Q324" s="11"/>
      <c r="R324" s="11"/>
      <c r="S324" s="12"/>
      <c r="T324" s="16" t="str">
        <f aca="false">IF($J324="","",IF($C324="",1,$C324))</f>
        <v/>
      </c>
    </row>
    <row r="325" customFormat="false" ht="15" hidden="false" customHeight="false" outlineLevel="0" collapsed="false">
      <c r="A325" s="7"/>
      <c r="B325" s="8"/>
      <c r="C325" s="9"/>
      <c r="D325" s="10"/>
      <c r="E325" s="11"/>
      <c r="F325" s="11"/>
      <c r="G325" s="8"/>
      <c r="H325" s="11"/>
      <c r="I325" s="12"/>
      <c r="J325" s="13" t="str">
        <f aca="false">IF(OR($A325="",$D325=""),"",IF($C325="",1,$C325)*$D325+N($E325)-N($F325))</f>
        <v/>
      </c>
      <c r="K325" s="13" t="str">
        <f aca="false">IF($J325="","",IF($R325&lt;&gt;"",$R325,IF($G325="",0,MAX(IFERROR(INDEX(Settings!$D$6:$D$15,MATCH($G325,Settings!$A$6:$A$15,0)),0),$J325*IFERROR(INDEX(Settings!$B$6:$B$15,MATCH($G325,Settings!$A$6:$A$15,0)),0)+IFERROR(INDEX(Settings!$C$6:$C$15,MATCH($G325,Settings!$A$6:$A$15,0)),0)))))</f>
        <v/>
      </c>
      <c r="L325" s="13" t="str">
        <f aca="false">IF($J325="","",IF($C325="",1,$C325)*IF($Q325&lt;&gt;"",$Q325,IFERROR(INDEX(Products!$D$5:$D$54,MATCH($B325,Products!$A$5:$A$54,0)),0)))</f>
        <v/>
      </c>
      <c r="M325" s="14" t="str">
        <f aca="false">IF($J325="","",$J325-$K325-N($H325)-$L325)</f>
        <v/>
      </c>
      <c r="N325" s="15" t="str">
        <f aca="false">IF($J325="","",IF($J325&gt;0,$M325/$J325,""))</f>
        <v/>
      </c>
      <c r="O325" s="12"/>
      <c r="P325" s="12"/>
      <c r="Q325" s="11"/>
      <c r="R325" s="11"/>
      <c r="S325" s="12"/>
      <c r="T325" s="16" t="str">
        <f aca="false">IF($J325="","",IF($C325="",1,$C325))</f>
        <v/>
      </c>
    </row>
    <row r="326" customFormat="false" ht="15" hidden="false" customHeight="false" outlineLevel="0" collapsed="false">
      <c r="A326" s="7"/>
      <c r="B326" s="8"/>
      <c r="C326" s="9"/>
      <c r="D326" s="10"/>
      <c r="E326" s="11"/>
      <c r="F326" s="11"/>
      <c r="G326" s="8"/>
      <c r="H326" s="11"/>
      <c r="I326" s="12"/>
      <c r="J326" s="13" t="str">
        <f aca="false">IF(OR($A326="",$D326=""),"",IF($C326="",1,$C326)*$D326+N($E326)-N($F326))</f>
        <v/>
      </c>
      <c r="K326" s="13" t="str">
        <f aca="false">IF($J326="","",IF($R326&lt;&gt;"",$R326,IF($G326="",0,MAX(IFERROR(INDEX(Settings!$D$6:$D$15,MATCH($G326,Settings!$A$6:$A$15,0)),0),$J326*IFERROR(INDEX(Settings!$B$6:$B$15,MATCH($G326,Settings!$A$6:$A$15,0)),0)+IFERROR(INDEX(Settings!$C$6:$C$15,MATCH($G326,Settings!$A$6:$A$15,0)),0)))))</f>
        <v/>
      </c>
      <c r="L326" s="13" t="str">
        <f aca="false">IF($J326="","",IF($C326="",1,$C326)*IF($Q326&lt;&gt;"",$Q326,IFERROR(INDEX(Products!$D$5:$D$54,MATCH($B326,Products!$A$5:$A$54,0)),0)))</f>
        <v/>
      </c>
      <c r="M326" s="14" t="str">
        <f aca="false">IF($J326="","",$J326-$K326-N($H326)-$L326)</f>
        <v/>
      </c>
      <c r="N326" s="15" t="str">
        <f aca="false">IF($J326="","",IF($J326&gt;0,$M326/$J326,""))</f>
        <v/>
      </c>
      <c r="O326" s="12"/>
      <c r="P326" s="12"/>
      <c r="Q326" s="11"/>
      <c r="R326" s="11"/>
      <c r="S326" s="12"/>
      <c r="T326" s="16" t="str">
        <f aca="false">IF($J326="","",IF($C326="",1,$C326))</f>
        <v/>
      </c>
    </row>
    <row r="327" customFormat="false" ht="15" hidden="false" customHeight="false" outlineLevel="0" collapsed="false">
      <c r="A327" s="7"/>
      <c r="B327" s="8"/>
      <c r="C327" s="9"/>
      <c r="D327" s="10"/>
      <c r="E327" s="11"/>
      <c r="F327" s="11"/>
      <c r="G327" s="8"/>
      <c r="H327" s="11"/>
      <c r="I327" s="12"/>
      <c r="J327" s="13" t="str">
        <f aca="false">IF(OR($A327="",$D327=""),"",IF($C327="",1,$C327)*$D327+N($E327)-N($F327))</f>
        <v/>
      </c>
      <c r="K327" s="13" t="str">
        <f aca="false">IF($J327="","",IF($R327&lt;&gt;"",$R327,IF($G327="",0,MAX(IFERROR(INDEX(Settings!$D$6:$D$15,MATCH($G327,Settings!$A$6:$A$15,0)),0),$J327*IFERROR(INDEX(Settings!$B$6:$B$15,MATCH($G327,Settings!$A$6:$A$15,0)),0)+IFERROR(INDEX(Settings!$C$6:$C$15,MATCH($G327,Settings!$A$6:$A$15,0)),0)))))</f>
        <v/>
      </c>
      <c r="L327" s="13" t="str">
        <f aca="false">IF($J327="","",IF($C327="",1,$C327)*IF($Q327&lt;&gt;"",$Q327,IFERROR(INDEX(Products!$D$5:$D$54,MATCH($B327,Products!$A$5:$A$54,0)),0)))</f>
        <v/>
      </c>
      <c r="M327" s="14" t="str">
        <f aca="false">IF($J327="","",$J327-$K327-N($H327)-$L327)</f>
        <v/>
      </c>
      <c r="N327" s="15" t="str">
        <f aca="false">IF($J327="","",IF($J327&gt;0,$M327/$J327,""))</f>
        <v/>
      </c>
      <c r="O327" s="12"/>
      <c r="P327" s="12"/>
      <c r="Q327" s="11"/>
      <c r="R327" s="11"/>
      <c r="S327" s="12"/>
      <c r="T327" s="16" t="str">
        <f aca="false">IF($J327="","",IF($C327="",1,$C327))</f>
        <v/>
      </c>
    </row>
    <row r="328" customFormat="false" ht="15" hidden="false" customHeight="false" outlineLevel="0" collapsed="false">
      <c r="A328" s="7"/>
      <c r="B328" s="8"/>
      <c r="C328" s="9"/>
      <c r="D328" s="10"/>
      <c r="E328" s="11"/>
      <c r="F328" s="11"/>
      <c r="G328" s="8"/>
      <c r="H328" s="11"/>
      <c r="I328" s="12"/>
      <c r="J328" s="13" t="str">
        <f aca="false">IF(OR($A328="",$D328=""),"",IF($C328="",1,$C328)*$D328+N($E328)-N($F328))</f>
        <v/>
      </c>
      <c r="K328" s="13" t="str">
        <f aca="false">IF($J328="","",IF($R328&lt;&gt;"",$R328,IF($G328="",0,MAX(IFERROR(INDEX(Settings!$D$6:$D$15,MATCH($G328,Settings!$A$6:$A$15,0)),0),$J328*IFERROR(INDEX(Settings!$B$6:$B$15,MATCH($G328,Settings!$A$6:$A$15,0)),0)+IFERROR(INDEX(Settings!$C$6:$C$15,MATCH($G328,Settings!$A$6:$A$15,0)),0)))))</f>
        <v/>
      </c>
      <c r="L328" s="13" t="str">
        <f aca="false">IF($J328="","",IF($C328="",1,$C328)*IF($Q328&lt;&gt;"",$Q328,IFERROR(INDEX(Products!$D$5:$D$54,MATCH($B328,Products!$A$5:$A$54,0)),0)))</f>
        <v/>
      </c>
      <c r="M328" s="14" t="str">
        <f aca="false">IF($J328="","",$J328-$K328-N($H328)-$L328)</f>
        <v/>
      </c>
      <c r="N328" s="15" t="str">
        <f aca="false">IF($J328="","",IF($J328&gt;0,$M328/$J328,""))</f>
        <v/>
      </c>
      <c r="O328" s="12"/>
      <c r="P328" s="12"/>
      <c r="Q328" s="11"/>
      <c r="R328" s="11"/>
      <c r="S328" s="12"/>
      <c r="T328" s="16" t="str">
        <f aca="false">IF($J328="","",IF($C328="",1,$C328))</f>
        <v/>
      </c>
    </row>
    <row r="329" customFormat="false" ht="15" hidden="false" customHeight="false" outlineLevel="0" collapsed="false">
      <c r="A329" s="7"/>
      <c r="B329" s="8"/>
      <c r="C329" s="9"/>
      <c r="D329" s="10"/>
      <c r="E329" s="11"/>
      <c r="F329" s="11"/>
      <c r="G329" s="8"/>
      <c r="H329" s="11"/>
      <c r="I329" s="12"/>
      <c r="J329" s="13" t="str">
        <f aca="false">IF(OR($A329="",$D329=""),"",IF($C329="",1,$C329)*$D329+N($E329)-N($F329))</f>
        <v/>
      </c>
      <c r="K329" s="13" t="str">
        <f aca="false">IF($J329="","",IF($R329&lt;&gt;"",$R329,IF($G329="",0,MAX(IFERROR(INDEX(Settings!$D$6:$D$15,MATCH($G329,Settings!$A$6:$A$15,0)),0),$J329*IFERROR(INDEX(Settings!$B$6:$B$15,MATCH($G329,Settings!$A$6:$A$15,0)),0)+IFERROR(INDEX(Settings!$C$6:$C$15,MATCH($G329,Settings!$A$6:$A$15,0)),0)))))</f>
        <v/>
      </c>
      <c r="L329" s="13" t="str">
        <f aca="false">IF($J329="","",IF($C329="",1,$C329)*IF($Q329&lt;&gt;"",$Q329,IFERROR(INDEX(Products!$D$5:$D$54,MATCH($B329,Products!$A$5:$A$54,0)),0)))</f>
        <v/>
      </c>
      <c r="M329" s="14" t="str">
        <f aca="false">IF($J329="","",$J329-$K329-N($H329)-$L329)</f>
        <v/>
      </c>
      <c r="N329" s="15" t="str">
        <f aca="false">IF($J329="","",IF($J329&gt;0,$M329/$J329,""))</f>
        <v/>
      </c>
      <c r="O329" s="12"/>
      <c r="P329" s="12"/>
      <c r="Q329" s="11"/>
      <c r="R329" s="11"/>
      <c r="S329" s="12"/>
      <c r="T329" s="16" t="str">
        <f aca="false">IF($J329="","",IF($C329="",1,$C329))</f>
        <v/>
      </c>
    </row>
    <row r="330" customFormat="false" ht="15" hidden="false" customHeight="false" outlineLevel="0" collapsed="false">
      <c r="A330" s="7"/>
      <c r="B330" s="8"/>
      <c r="C330" s="9"/>
      <c r="D330" s="10"/>
      <c r="E330" s="11"/>
      <c r="F330" s="11"/>
      <c r="G330" s="8"/>
      <c r="H330" s="11"/>
      <c r="I330" s="12"/>
      <c r="J330" s="13" t="str">
        <f aca="false">IF(OR($A330="",$D330=""),"",IF($C330="",1,$C330)*$D330+N($E330)-N($F330))</f>
        <v/>
      </c>
      <c r="K330" s="13" t="str">
        <f aca="false">IF($J330="","",IF($R330&lt;&gt;"",$R330,IF($G330="",0,MAX(IFERROR(INDEX(Settings!$D$6:$D$15,MATCH($G330,Settings!$A$6:$A$15,0)),0),$J330*IFERROR(INDEX(Settings!$B$6:$B$15,MATCH($G330,Settings!$A$6:$A$15,0)),0)+IFERROR(INDEX(Settings!$C$6:$C$15,MATCH($G330,Settings!$A$6:$A$15,0)),0)))))</f>
        <v/>
      </c>
      <c r="L330" s="13" t="str">
        <f aca="false">IF($J330="","",IF($C330="",1,$C330)*IF($Q330&lt;&gt;"",$Q330,IFERROR(INDEX(Products!$D$5:$D$54,MATCH($B330,Products!$A$5:$A$54,0)),0)))</f>
        <v/>
      </c>
      <c r="M330" s="14" t="str">
        <f aca="false">IF($J330="","",$J330-$K330-N($H330)-$L330)</f>
        <v/>
      </c>
      <c r="N330" s="15" t="str">
        <f aca="false">IF($J330="","",IF($J330&gt;0,$M330/$J330,""))</f>
        <v/>
      </c>
      <c r="O330" s="12"/>
      <c r="P330" s="12"/>
      <c r="Q330" s="11"/>
      <c r="R330" s="11"/>
      <c r="S330" s="12"/>
      <c r="T330" s="16" t="str">
        <f aca="false">IF($J330="","",IF($C330="",1,$C330))</f>
        <v/>
      </c>
    </row>
    <row r="331" customFormat="false" ht="15" hidden="false" customHeight="false" outlineLevel="0" collapsed="false">
      <c r="A331" s="7"/>
      <c r="B331" s="8"/>
      <c r="C331" s="9"/>
      <c r="D331" s="10"/>
      <c r="E331" s="11"/>
      <c r="F331" s="11"/>
      <c r="G331" s="8"/>
      <c r="H331" s="11"/>
      <c r="I331" s="12"/>
      <c r="J331" s="13" t="str">
        <f aca="false">IF(OR($A331="",$D331=""),"",IF($C331="",1,$C331)*$D331+N($E331)-N($F331))</f>
        <v/>
      </c>
      <c r="K331" s="13" t="str">
        <f aca="false">IF($J331="","",IF($R331&lt;&gt;"",$R331,IF($G331="",0,MAX(IFERROR(INDEX(Settings!$D$6:$D$15,MATCH($G331,Settings!$A$6:$A$15,0)),0),$J331*IFERROR(INDEX(Settings!$B$6:$B$15,MATCH($G331,Settings!$A$6:$A$15,0)),0)+IFERROR(INDEX(Settings!$C$6:$C$15,MATCH($G331,Settings!$A$6:$A$15,0)),0)))))</f>
        <v/>
      </c>
      <c r="L331" s="13" t="str">
        <f aca="false">IF($J331="","",IF($C331="",1,$C331)*IF($Q331&lt;&gt;"",$Q331,IFERROR(INDEX(Products!$D$5:$D$54,MATCH($B331,Products!$A$5:$A$54,0)),0)))</f>
        <v/>
      </c>
      <c r="M331" s="14" t="str">
        <f aca="false">IF($J331="","",$J331-$K331-N($H331)-$L331)</f>
        <v/>
      </c>
      <c r="N331" s="15" t="str">
        <f aca="false">IF($J331="","",IF($J331&gt;0,$M331/$J331,""))</f>
        <v/>
      </c>
      <c r="O331" s="12"/>
      <c r="P331" s="12"/>
      <c r="Q331" s="11"/>
      <c r="R331" s="11"/>
      <c r="S331" s="12"/>
      <c r="T331" s="16" t="str">
        <f aca="false">IF($J331="","",IF($C331="",1,$C331))</f>
        <v/>
      </c>
    </row>
    <row r="332" customFormat="false" ht="15" hidden="false" customHeight="false" outlineLevel="0" collapsed="false">
      <c r="A332" s="7"/>
      <c r="B332" s="8"/>
      <c r="C332" s="9"/>
      <c r="D332" s="10"/>
      <c r="E332" s="11"/>
      <c r="F332" s="11"/>
      <c r="G332" s="8"/>
      <c r="H332" s="11"/>
      <c r="I332" s="12"/>
      <c r="J332" s="13" t="str">
        <f aca="false">IF(OR($A332="",$D332=""),"",IF($C332="",1,$C332)*$D332+N($E332)-N($F332))</f>
        <v/>
      </c>
      <c r="K332" s="13" t="str">
        <f aca="false">IF($J332="","",IF($R332&lt;&gt;"",$R332,IF($G332="",0,MAX(IFERROR(INDEX(Settings!$D$6:$D$15,MATCH($G332,Settings!$A$6:$A$15,0)),0),$J332*IFERROR(INDEX(Settings!$B$6:$B$15,MATCH($G332,Settings!$A$6:$A$15,0)),0)+IFERROR(INDEX(Settings!$C$6:$C$15,MATCH($G332,Settings!$A$6:$A$15,0)),0)))))</f>
        <v/>
      </c>
      <c r="L332" s="13" t="str">
        <f aca="false">IF($J332="","",IF($C332="",1,$C332)*IF($Q332&lt;&gt;"",$Q332,IFERROR(INDEX(Products!$D$5:$D$54,MATCH($B332,Products!$A$5:$A$54,0)),0)))</f>
        <v/>
      </c>
      <c r="M332" s="14" t="str">
        <f aca="false">IF($J332="","",$J332-$K332-N($H332)-$L332)</f>
        <v/>
      </c>
      <c r="N332" s="15" t="str">
        <f aca="false">IF($J332="","",IF($J332&gt;0,$M332/$J332,""))</f>
        <v/>
      </c>
      <c r="O332" s="12"/>
      <c r="P332" s="12"/>
      <c r="Q332" s="11"/>
      <c r="R332" s="11"/>
      <c r="S332" s="12"/>
      <c r="T332" s="16" t="str">
        <f aca="false">IF($J332="","",IF($C332="",1,$C332))</f>
        <v/>
      </c>
    </row>
    <row r="333" customFormat="false" ht="15" hidden="false" customHeight="false" outlineLevel="0" collapsed="false">
      <c r="A333" s="7"/>
      <c r="B333" s="8"/>
      <c r="C333" s="9"/>
      <c r="D333" s="10"/>
      <c r="E333" s="11"/>
      <c r="F333" s="11"/>
      <c r="G333" s="8"/>
      <c r="H333" s="11"/>
      <c r="I333" s="12"/>
      <c r="J333" s="13" t="str">
        <f aca="false">IF(OR($A333="",$D333=""),"",IF($C333="",1,$C333)*$D333+N($E333)-N($F333))</f>
        <v/>
      </c>
      <c r="K333" s="13" t="str">
        <f aca="false">IF($J333="","",IF($R333&lt;&gt;"",$R333,IF($G333="",0,MAX(IFERROR(INDEX(Settings!$D$6:$D$15,MATCH($G333,Settings!$A$6:$A$15,0)),0),$J333*IFERROR(INDEX(Settings!$B$6:$B$15,MATCH($G333,Settings!$A$6:$A$15,0)),0)+IFERROR(INDEX(Settings!$C$6:$C$15,MATCH($G333,Settings!$A$6:$A$15,0)),0)))))</f>
        <v/>
      </c>
      <c r="L333" s="13" t="str">
        <f aca="false">IF($J333="","",IF($C333="",1,$C333)*IF($Q333&lt;&gt;"",$Q333,IFERROR(INDEX(Products!$D$5:$D$54,MATCH($B333,Products!$A$5:$A$54,0)),0)))</f>
        <v/>
      </c>
      <c r="M333" s="14" t="str">
        <f aca="false">IF($J333="","",$J333-$K333-N($H333)-$L333)</f>
        <v/>
      </c>
      <c r="N333" s="15" t="str">
        <f aca="false">IF($J333="","",IF($J333&gt;0,$M333/$J333,""))</f>
        <v/>
      </c>
      <c r="O333" s="12"/>
      <c r="P333" s="12"/>
      <c r="Q333" s="11"/>
      <c r="R333" s="11"/>
      <c r="S333" s="12"/>
      <c r="T333" s="16" t="str">
        <f aca="false">IF($J333="","",IF($C333="",1,$C333))</f>
        <v/>
      </c>
    </row>
    <row r="334" customFormat="false" ht="15" hidden="false" customHeight="false" outlineLevel="0" collapsed="false">
      <c r="A334" s="7"/>
      <c r="B334" s="8"/>
      <c r="C334" s="9"/>
      <c r="D334" s="10"/>
      <c r="E334" s="11"/>
      <c r="F334" s="11"/>
      <c r="G334" s="8"/>
      <c r="H334" s="11"/>
      <c r="I334" s="12"/>
      <c r="J334" s="13" t="str">
        <f aca="false">IF(OR($A334="",$D334=""),"",IF($C334="",1,$C334)*$D334+N($E334)-N($F334))</f>
        <v/>
      </c>
      <c r="K334" s="13" t="str">
        <f aca="false">IF($J334="","",IF($R334&lt;&gt;"",$R334,IF($G334="",0,MAX(IFERROR(INDEX(Settings!$D$6:$D$15,MATCH($G334,Settings!$A$6:$A$15,0)),0),$J334*IFERROR(INDEX(Settings!$B$6:$B$15,MATCH($G334,Settings!$A$6:$A$15,0)),0)+IFERROR(INDEX(Settings!$C$6:$C$15,MATCH($G334,Settings!$A$6:$A$15,0)),0)))))</f>
        <v/>
      </c>
      <c r="L334" s="13" t="str">
        <f aca="false">IF($J334="","",IF($C334="",1,$C334)*IF($Q334&lt;&gt;"",$Q334,IFERROR(INDEX(Products!$D$5:$D$54,MATCH($B334,Products!$A$5:$A$54,0)),0)))</f>
        <v/>
      </c>
      <c r="M334" s="14" t="str">
        <f aca="false">IF($J334="","",$J334-$K334-N($H334)-$L334)</f>
        <v/>
      </c>
      <c r="N334" s="15" t="str">
        <f aca="false">IF($J334="","",IF($J334&gt;0,$M334/$J334,""))</f>
        <v/>
      </c>
      <c r="O334" s="12"/>
      <c r="P334" s="12"/>
      <c r="Q334" s="11"/>
      <c r="R334" s="11"/>
      <c r="S334" s="12"/>
      <c r="T334" s="16" t="str">
        <f aca="false">IF($J334="","",IF($C334="",1,$C334))</f>
        <v/>
      </c>
    </row>
    <row r="335" customFormat="false" ht="15" hidden="false" customHeight="false" outlineLevel="0" collapsed="false">
      <c r="A335" s="7"/>
      <c r="B335" s="8"/>
      <c r="C335" s="9"/>
      <c r="D335" s="10"/>
      <c r="E335" s="11"/>
      <c r="F335" s="11"/>
      <c r="G335" s="8"/>
      <c r="H335" s="11"/>
      <c r="I335" s="12"/>
      <c r="J335" s="13" t="str">
        <f aca="false">IF(OR($A335="",$D335=""),"",IF($C335="",1,$C335)*$D335+N($E335)-N($F335))</f>
        <v/>
      </c>
      <c r="K335" s="13" t="str">
        <f aca="false">IF($J335="","",IF($R335&lt;&gt;"",$R335,IF($G335="",0,MAX(IFERROR(INDEX(Settings!$D$6:$D$15,MATCH($G335,Settings!$A$6:$A$15,0)),0),$J335*IFERROR(INDEX(Settings!$B$6:$B$15,MATCH($G335,Settings!$A$6:$A$15,0)),0)+IFERROR(INDEX(Settings!$C$6:$C$15,MATCH($G335,Settings!$A$6:$A$15,0)),0)))))</f>
        <v/>
      </c>
      <c r="L335" s="13" t="str">
        <f aca="false">IF($J335="","",IF($C335="",1,$C335)*IF($Q335&lt;&gt;"",$Q335,IFERROR(INDEX(Products!$D$5:$D$54,MATCH($B335,Products!$A$5:$A$54,0)),0)))</f>
        <v/>
      </c>
      <c r="M335" s="14" t="str">
        <f aca="false">IF($J335="","",$J335-$K335-N($H335)-$L335)</f>
        <v/>
      </c>
      <c r="N335" s="15" t="str">
        <f aca="false">IF($J335="","",IF($J335&gt;0,$M335/$J335,""))</f>
        <v/>
      </c>
      <c r="O335" s="12"/>
      <c r="P335" s="12"/>
      <c r="Q335" s="11"/>
      <c r="R335" s="11"/>
      <c r="S335" s="12"/>
      <c r="T335" s="16" t="str">
        <f aca="false">IF($J335="","",IF($C335="",1,$C335))</f>
        <v/>
      </c>
    </row>
    <row r="336" customFormat="false" ht="15" hidden="false" customHeight="false" outlineLevel="0" collapsed="false">
      <c r="A336" s="7"/>
      <c r="B336" s="8"/>
      <c r="C336" s="9"/>
      <c r="D336" s="10"/>
      <c r="E336" s="11"/>
      <c r="F336" s="11"/>
      <c r="G336" s="8"/>
      <c r="H336" s="11"/>
      <c r="I336" s="12"/>
      <c r="J336" s="13" t="str">
        <f aca="false">IF(OR($A336="",$D336=""),"",IF($C336="",1,$C336)*$D336+N($E336)-N($F336))</f>
        <v/>
      </c>
      <c r="K336" s="13" t="str">
        <f aca="false">IF($J336="","",IF($R336&lt;&gt;"",$R336,IF($G336="",0,MAX(IFERROR(INDEX(Settings!$D$6:$D$15,MATCH($G336,Settings!$A$6:$A$15,0)),0),$J336*IFERROR(INDEX(Settings!$B$6:$B$15,MATCH($G336,Settings!$A$6:$A$15,0)),0)+IFERROR(INDEX(Settings!$C$6:$C$15,MATCH($G336,Settings!$A$6:$A$15,0)),0)))))</f>
        <v/>
      </c>
      <c r="L336" s="13" t="str">
        <f aca="false">IF($J336="","",IF($C336="",1,$C336)*IF($Q336&lt;&gt;"",$Q336,IFERROR(INDEX(Products!$D$5:$D$54,MATCH($B336,Products!$A$5:$A$54,0)),0)))</f>
        <v/>
      </c>
      <c r="M336" s="14" t="str">
        <f aca="false">IF($J336="","",$J336-$K336-N($H336)-$L336)</f>
        <v/>
      </c>
      <c r="N336" s="15" t="str">
        <f aca="false">IF($J336="","",IF($J336&gt;0,$M336/$J336,""))</f>
        <v/>
      </c>
      <c r="O336" s="12"/>
      <c r="P336" s="12"/>
      <c r="Q336" s="11"/>
      <c r="R336" s="11"/>
      <c r="S336" s="12"/>
      <c r="T336" s="16" t="str">
        <f aca="false">IF($J336="","",IF($C336="",1,$C336))</f>
        <v/>
      </c>
    </row>
    <row r="337" customFormat="false" ht="15" hidden="false" customHeight="false" outlineLevel="0" collapsed="false">
      <c r="A337" s="7"/>
      <c r="B337" s="8"/>
      <c r="C337" s="9"/>
      <c r="D337" s="10"/>
      <c r="E337" s="11"/>
      <c r="F337" s="11"/>
      <c r="G337" s="8"/>
      <c r="H337" s="11"/>
      <c r="I337" s="12"/>
      <c r="J337" s="13" t="str">
        <f aca="false">IF(OR($A337="",$D337=""),"",IF($C337="",1,$C337)*$D337+N($E337)-N($F337))</f>
        <v/>
      </c>
      <c r="K337" s="13" t="str">
        <f aca="false">IF($J337="","",IF($R337&lt;&gt;"",$R337,IF($G337="",0,MAX(IFERROR(INDEX(Settings!$D$6:$D$15,MATCH($G337,Settings!$A$6:$A$15,0)),0),$J337*IFERROR(INDEX(Settings!$B$6:$B$15,MATCH($G337,Settings!$A$6:$A$15,0)),0)+IFERROR(INDEX(Settings!$C$6:$C$15,MATCH($G337,Settings!$A$6:$A$15,0)),0)))))</f>
        <v/>
      </c>
      <c r="L337" s="13" t="str">
        <f aca="false">IF($J337="","",IF($C337="",1,$C337)*IF($Q337&lt;&gt;"",$Q337,IFERROR(INDEX(Products!$D$5:$D$54,MATCH($B337,Products!$A$5:$A$54,0)),0)))</f>
        <v/>
      </c>
      <c r="M337" s="14" t="str">
        <f aca="false">IF($J337="","",$J337-$K337-N($H337)-$L337)</f>
        <v/>
      </c>
      <c r="N337" s="15" t="str">
        <f aca="false">IF($J337="","",IF($J337&gt;0,$M337/$J337,""))</f>
        <v/>
      </c>
      <c r="O337" s="12"/>
      <c r="P337" s="12"/>
      <c r="Q337" s="11"/>
      <c r="R337" s="11"/>
      <c r="S337" s="12"/>
      <c r="T337" s="16" t="str">
        <f aca="false">IF($J337="","",IF($C337="",1,$C337))</f>
        <v/>
      </c>
    </row>
    <row r="338" customFormat="false" ht="15" hidden="false" customHeight="false" outlineLevel="0" collapsed="false">
      <c r="A338" s="7"/>
      <c r="B338" s="8"/>
      <c r="C338" s="9"/>
      <c r="D338" s="10"/>
      <c r="E338" s="11"/>
      <c r="F338" s="11"/>
      <c r="G338" s="8"/>
      <c r="H338" s="11"/>
      <c r="I338" s="12"/>
      <c r="J338" s="13" t="str">
        <f aca="false">IF(OR($A338="",$D338=""),"",IF($C338="",1,$C338)*$D338+N($E338)-N($F338))</f>
        <v/>
      </c>
      <c r="K338" s="13" t="str">
        <f aca="false">IF($J338="","",IF($R338&lt;&gt;"",$R338,IF($G338="",0,MAX(IFERROR(INDEX(Settings!$D$6:$D$15,MATCH($G338,Settings!$A$6:$A$15,0)),0),$J338*IFERROR(INDEX(Settings!$B$6:$B$15,MATCH($G338,Settings!$A$6:$A$15,0)),0)+IFERROR(INDEX(Settings!$C$6:$C$15,MATCH($G338,Settings!$A$6:$A$15,0)),0)))))</f>
        <v/>
      </c>
      <c r="L338" s="13" t="str">
        <f aca="false">IF($J338="","",IF($C338="",1,$C338)*IF($Q338&lt;&gt;"",$Q338,IFERROR(INDEX(Products!$D$5:$D$54,MATCH($B338,Products!$A$5:$A$54,0)),0)))</f>
        <v/>
      </c>
      <c r="M338" s="14" t="str">
        <f aca="false">IF($J338="","",$J338-$K338-N($H338)-$L338)</f>
        <v/>
      </c>
      <c r="N338" s="15" t="str">
        <f aca="false">IF($J338="","",IF($J338&gt;0,$M338/$J338,""))</f>
        <v/>
      </c>
      <c r="O338" s="12"/>
      <c r="P338" s="12"/>
      <c r="Q338" s="11"/>
      <c r="R338" s="11"/>
      <c r="S338" s="12"/>
      <c r="T338" s="16" t="str">
        <f aca="false">IF($J338="","",IF($C338="",1,$C338))</f>
        <v/>
      </c>
    </row>
    <row r="339" customFormat="false" ht="15" hidden="false" customHeight="false" outlineLevel="0" collapsed="false">
      <c r="A339" s="7"/>
      <c r="B339" s="8"/>
      <c r="C339" s="9"/>
      <c r="D339" s="10"/>
      <c r="E339" s="11"/>
      <c r="F339" s="11"/>
      <c r="G339" s="8"/>
      <c r="H339" s="11"/>
      <c r="I339" s="12"/>
      <c r="J339" s="13" t="str">
        <f aca="false">IF(OR($A339="",$D339=""),"",IF($C339="",1,$C339)*$D339+N($E339)-N($F339))</f>
        <v/>
      </c>
      <c r="K339" s="13" t="str">
        <f aca="false">IF($J339="","",IF($R339&lt;&gt;"",$R339,IF($G339="",0,MAX(IFERROR(INDEX(Settings!$D$6:$D$15,MATCH($G339,Settings!$A$6:$A$15,0)),0),$J339*IFERROR(INDEX(Settings!$B$6:$B$15,MATCH($G339,Settings!$A$6:$A$15,0)),0)+IFERROR(INDEX(Settings!$C$6:$C$15,MATCH($G339,Settings!$A$6:$A$15,0)),0)))))</f>
        <v/>
      </c>
      <c r="L339" s="13" t="str">
        <f aca="false">IF($J339="","",IF($C339="",1,$C339)*IF($Q339&lt;&gt;"",$Q339,IFERROR(INDEX(Products!$D$5:$D$54,MATCH($B339,Products!$A$5:$A$54,0)),0)))</f>
        <v/>
      </c>
      <c r="M339" s="14" t="str">
        <f aca="false">IF($J339="","",$J339-$K339-N($H339)-$L339)</f>
        <v/>
      </c>
      <c r="N339" s="15" t="str">
        <f aca="false">IF($J339="","",IF($J339&gt;0,$M339/$J339,""))</f>
        <v/>
      </c>
      <c r="O339" s="12"/>
      <c r="P339" s="12"/>
      <c r="Q339" s="11"/>
      <c r="R339" s="11"/>
      <c r="S339" s="12"/>
      <c r="T339" s="16" t="str">
        <f aca="false">IF($J339="","",IF($C339="",1,$C339))</f>
        <v/>
      </c>
    </row>
    <row r="340" customFormat="false" ht="15" hidden="false" customHeight="false" outlineLevel="0" collapsed="false">
      <c r="A340" s="7"/>
      <c r="B340" s="8"/>
      <c r="C340" s="9"/>
      <c r="D340" s="10"/>
      <c r="E340" s="11"/>
      <c r="F340" s="11"/>
      <c r="G340" s="8"/>
      <c r="H340" s="11"/>
      <c r="I340" s="12"/>
      <c r="J340" s="13" t="str">
        <f aca="false">IF(OR($A340="",$D340=""),"",IF($C340="",1,$C340)*$D340+N($E340)-N($F340))</f>
        <v/>
      </c>
      <c r="K340" s="13" t="str">
        <f aca="false">IF($J340="","",IF($R340&lt;&gt;"",$R340,IF($G340="",0,MAX(IFERROR(INDEX(Settings!$D$6:$D$15,MATCH($G340,Settings!$A$6:$A$15,0)),0),$J340*IFERROR(INDEX(Settings!$B$6:$B$15,MATCH($G340,Settings!$A$6:$A$15,0)),0)+IFERROR(INDEX(Settings!$C$6:$C$15,MATCH($G340,Settings!$A$6:$A$15,0)),0)))))</f>
        <v/>
      </c>
      <c r="L340" s="13" t="str">
        <f aca="false">IF($J340="","",IF($C340="",1,$C340)*IF($Q340&lt;&gt;"",$Q340,IFERROR(INDEX(Products!$D$5:$D$54,MATCH($B340,Products!$A$5:$A$54,0)),0)))</f>
        <v/>
      </c>
      <c r="M340" s="14" t="str">
        <f aca="false">IF($J340="","",$J340-$K340-N($H340)-$L340)</f>
        <v/>
      </c>
      <c r="N340" s="15" t="str">
        <f aca="false">IF($J340="","",IF($J340&gt;0,$M340/$J340,""))</f>
        <v/>
      </c>
      <c r="O340" s="12"/>
      <c r="P340" s="12"/>
      <c r="Q340" s="11"/>
      <c r="R340" s="11"/>
      <c r="S340" s="12"/>
      <c r="T340" s="16" t="str">
        <f aca="false">IF($J340="","",IF($C340="",1,$C340))</f>
        <v/>
      </c>
    </row>
    <row r="341" customFormat="false" ht="15" hidden="false" customHeight="false" outlineLevel="0" collapsed="false">
      <c r="A341" s="7"/>
      <c r="B341" s="8"/>
      <c r="C341" s="9"/>
      <c r="D341" s="10"/>
      <c r="E341" s="11"/>
      <c r="F341" s="11"/>
      <c r="G341" s="8"/>
      <c r="H341" s="11"/>
      <c r="I341" s="12"/>
      <c r="J341" s="13" t="str">
        <f aca="false">IF(OR($A341="",$D341=""),"",IF($C341="",1,$C341)*$D341+N($E341)-N($F341))</f>
        <v/>
      </c>
      <c r="K341" s="13" t="str">
        <f aca="false">IF($J341="","",IF($R341&lt;&gt;"",$R341,IF($G341="",0,MAX(IFERROR(INDEX(Settings!$D$6:$D$15,MATCH($G341,Settings!$A$6:$A$15,0)),0),$J341*IFERROR(INDEX(Settings!$B$6:$B$15,MATCH($G341,Settings!$A$6:$A$15,0)),0)+IFERROR(INDEX(Settings!$C$6:$C$15,MATCH($G341,Settings!$A$6:$A$15,0)),0)))))</f>
        <v/>
      </c>
      <c r="L341" s="13" t="str">
        <f aca="false">IF($J341="","",IF($C341="",1,$C341)*IF($Q341&lt;&gt;"",$Q341,IFERROR(INDEX(Products!$D$5:$D$54,MATCH($B341,Products!$A$5:$A$54,0)),0)))</f>
        <v/>
      </c>
      <c r="M341" s="14" t="str">
        <f aca="false">IF($J341="","",$J341-$K341-N($H341)-$L341)</f>
        <v/>
      </c>
      <c r="N341" s="15" t="str">
        <f aca="false">IF($J341="","",IF($J341&gt;0,$M341/$J341,""))</f>
        <v/>
      </c>
      <c r="O341" s="12"/>
      <c r="P341" s="12"/>
      <c r="Q341" s="11"/>
      <c r="R341" s="11"/>
      <c r="S341" s="12"/>
      <c r="T341" s="16" t="str">
        <f aca="false">IF($J341="","",IF($C341="",1,$C341))</f>
        <v/>
      </c>
    </row>
    <row r="342" customFormat="false" ht="15" hidden="false" customHeight="false" outlineLevel="0" collapsed="false">
      <c r="A342" s="7"/>
      <c r="B342" s="8"/>
      <c r="C342" s="9"/>
      <c r="D342" s="10"/>
      <c r="E342" s="11"/>
      <c r="F342" s="11"/>
      <c r="G342" s="8"/>
      <c r="H342" s="11"/>
      <c r="I342" s="12"/>
      <c r="J342" s="13" t="str">
        <f aca="false">IF(OR($A342="",$D342=""),"",IF($C342="",1,$C342)*$D342+N($E342)-N($F342))</f>
        <v/>
      </c>
      <c r="K342" s="13" t="str">
        <f aca="false">IF($J342="","",IF($R342&lt;&gt;"",$R342,IF($G342="",0,MAX(IFERROR(INDEX(Settings!$D$6:$D$15,MATCH($G342,Settings!$A$6:$A$15,0)),0),$J342*IFERROR(INDEX(Settings!$B$6:$B$15,MATCH($G342,Settings!$A$6:$A$15,0)),0)+IFERROR(INDEX(Settings!$C$6:$C$15,MATCH($G342,Settings!$A$6:$A$15,0)),0)))))</f>
        <v/>
      </c>
      <c r="L342" s="13" t="str">
        <f aca="false">IF($J342="","",IF($C342="",1,$C342)*IF($Q342&lt;&gt;"",$Q342,IFERROR(INDEX(Products!$D$5:$D$54,MATCH($B342,Products!$A$5:$A$54,0)),0)))</f>
        <v/>
      </c>
      <c r="M342" s="14" t="str">
        <f aca="false">IF($J342="","",$J342-$K342-N($H342)-$L342)</f>
        <v/>
      </c>
      <c r="N342" s="15" t="str">
        <f aca="false">IF($J342="","",IF($J342&gt;0,$M342/$J342,""))</f>
        <v/>
      </c>
      <c r="O342" s="12"/>
      <c r="P342" s="12"/>
      <c r="Q342" s="11"/>
      <c r="R342" s="11"/>
      <c r="S342" s="12"/>
      <c r="T342" s="16" t="str">
        <f aca="false">IF($J342="","",IF($C342="",1,$C342))</f>
        <v/>
      </c>
    </row>
    <row r="343" customFormat="false" ht="15" hidden="false" customHeight="false" outlineLevel="0" collapsed="false">
      <c r="A343" s="7"/>
      <c r="B343" s="8"/>
      <c r="C343" s="9"/>
      <c r="D343" s="10"/>
      <c r="E343" s="11"/>
      <c r="F343" s="11"/>
      <c r="G343" s="8"/>
      <c r="H343" s="11"/>
      <c r="I343" s="12"/>
      <c r="J343" s="13" t="str">
        <f aca="false">IF(OR($A343="",$D343=""),"",IF($C343="",1,$C343)*$D343+N($E343)-N($F343))</f>
        <v/>
      </c>
      <c r="K343" s="13" t="str">
        <f aca="false">IF($J343="","",IF($R343&lt;&gt;"",$R343,IF($G343="",0,MAX(IFERROR(INDEX(Settings!$D$6:$D$15,MATCH($G343,Settings!$A$6:$A$15,0)),0),$J343*IFERROR(INDEX(Settings!$B$6:$B$15,MATCH($G343,Settings!$A$6:$A$15,0)),0)+IFERROR(INDEX(Settings!$C$6:$C$15,MATCH($G343,Settings!$A$6:$A$15,0)),0)))))</f>
        <v/>
      </c>
      <c r="L343" s="13" t="str">
        <f aca="false">IF($J343="","",IF($C343="",1,$C343)*IF($Q343&lt;&gt;"",$Q343,IFERROR(INDEX(Products!$D$5:$D$54,MATCH($B343,Products!$A$5:$A$54,0)),0)))</f>
        <v/>
      </c>
      <c r="M343" s="14" t="str">
        <f aca="false">IF($J343="","",$J343-$K343-N($H343)-$L343)</f>
        <v/>
      </c>
      <c r="N343" s="15" t="str">
        <f aca="false">IF($J343="","",IF($J343&gt;0,$M343/$J343,""))</f>
        <v/>
      </c>
      <c r="O343" s="12"/>
      <c r="P343" s="12"/>
      <c r="Q343" s="11"/>
      <c r="R343" s="11"/>
      <c r="S343" s="12"/>
      <c r="T343" s="16" t="str">
        <f aca="false">IF($J343="","",IF($C343="",1,$C343))</f>
        <v/>
      </c>
    </row>
    <row r="344" customFormat="false" ht="15" hidden="false" customHeight="false" outlineLevel="0" collapsed="false">
      <c r="A344" s="7"/>
      <c r="B344" s="8"/>
      <c r="C344" s="9"/>
      <c r="D344" s="10"/>
      <c r="E344" s="11"/>
      <c r="F344" s="11"/>
      <c r="G344" s="8"/>
      <c r="H344" s="11"/>
      <c r="I344" s="12"/>
      <c r="J344" s="13" t="str">
        <f aca="false">IF(OR($A344="",$D344=""),"",IF($C344="",1,$C344)*$D344+N($E344)-N($F344))</f>
        <v/>
      </c>
      <c r="K344" s="13" t="str">
        <f aca="false">IF($J344="","",IF($R344&lt;&gt;"",$R344,IF($G344="",0,MAX(IFERROR(INDEX(Settings!$D$6:$D$15,MATCH($G344,Settings!$A$6:$A$15,0)),0),$J344*IFERROR(INDEX(Settings!$B$6:$B$15,MATCH($G344,Settings!$A$6:$A$15,0)),0)+IFERROR(INDEX(Settings!$C$6:$C$15,MATCH($G344,Settings!$A$6:$A$15,0)),0)))))</f>
        <v/>
      </c>
      <c r="L344" s="13" t="str">
        <f aca="false">IF($J344="","",IF($C344="",1,$C344)*IF($Q344&lt;&gt;"",$Q344,IFERROR(INDEX(Products!$D$5:$D$54,MATCH($B344,Products!$A$5:$A$54,0)),0)))</f>
        <v/>
      </c>
      <c r="M344" s="14" t="str">
        <f aca="false">IF($J344="","",$J344-$K344-N($H344)-$L344)</f>
        <v/>
      </c>
      <c r="N344" s="15" t="str">
        <f aca="false">IF($J344="","",IF($J344&gt;0,$M344/$J344,""))</f>
        <v/>
      </c>
      <c r="O344" s="12"/>
      <c r="P344" s="12"/>
      <c r="Q344" s="11"/>
      <c r="R344" s="11"/>
      <c r="S344" s="12"/>
      <c r="T344" s="16" t="str">
        <f aca="false">IF($J344="","",IF($C344="",1,$C344))</f>
        <v/>
      </c>
    </row>
    <row r="345" customFormat="false" ht="15" hidden="false" customHeight="false" outlineLevel="0" collapsed="false">
      <c r="A345" s="7"/>
      <c r="B345" s="8"/>
      <c r="C345" s="9"/>
      <c r="D345" s="10"/>
      <c r="E345" s="11"/>
      <c r="F345" s="11"/>
      <c r="G345" s="8"/>
      <c r="H345" s="11"/>
      <c r="I345" s="12"/>
      <c r="J345" s="13" t="str">
        <f aca="false">IF(OR($A345="",$D345=""),"",IF($C345="",1,$C345)*$D345+N($E345)-N($F345))</f>
        <v/>
      </c>
      <c r="K345" s="13" t="str">
        <f aca="false">IF($J345="","",IF($R345&lt;&gt;"",$R345,IF($G345="",0,MAX(IFERROR(INDEX(Settings!$D$6:$D$15,MATCH($G345,Settings!$A$6:$A$15,0)),0),$J345*IFERROR(INDEX(Settings!$B$6:$B$15,MATCH($G345,Settings!$A$6:$A$15,0)),0)+IFERROR(INDEX(Settings!$C$6:$C$15,MATCH($G345,Settings!$A$6:$A$15,0)),0)))))</f>
        <v/>
      </c>
      <c r="L345" s="13" t="str">
        <f aca="false">IF($J345="","",IF($C345="",1,$C345)*IF($Q345&lt;&gt;"",$Q345,IFERROR(INDEX(Products!$D$5:$D$54,MATCH($B345,Products!$A$5:$A$54,0)),0)))</f>
        <v/>
      </c>
      <c r="M345" s="14" t="str">
        <f aca="false">IF($J345="","",$J345-$K345-N($H345)-$L345)</f>
        <v/>
      </c>
      <c r="N345" s="15" t="str">
        <f aca="false">IF($J345="","",IF($J345&gt;0,$M345/$J345,""))</f>
        <v/>
      </c>
      <c r="O345" s="12"/>
      <c r="P345" s="12"/>
      <c r="Q345" s="11"/>
      <c r="R345" s="11"/>
      <c r="S345" s="12"/>
      <c r="T345" s="16" t="str">
        <f aca="false">IF($J345="","",IF($C345="",1,$C345))</f>
        <v/>
      </c>
    </row>
    <row r="346" customFormat="false" ht="15" hidden="false" customHeight="false" outlineLevel="0" collapsed="false">
      <c r="A346" s="7"/>
      <c r="B346" s="8"/>
      <c r="C346" s="9"/>
      <c r="D346" s="10"/>
      <c r="E346" s="11"/>
      <c r="F346" s="11"/>
      <c r="G346" s="8"/>
      <c r="H346" s="11"/>
      <c r="I346" s="12"/>
      <c r="J346" s="13" t="str">
        <f aca="false">IF(OR($A346="",$D346=""),"",IF($C346="",1,$C346)*$D346+N($E346)-N($F346))</f>
        <v/>
      </c>
      <c r="K346" s="13" t="str">
        <f aca="false">IF($J346="","",IF($R346&lt;&gt;"",$R346,IF($G346="",0,MAX(IFERROR(INDEX(Settings!$D$6:$D$15,MATCH($G346,Settings!$A$6:$A$15,0)),0),$J346*IFERROR(INDEX(Settings!$B$6:$B$15,MATCH($G346,Settings!$A$6:$A$15,0)),0)+IFERROR(INDEX(Settings!$C$6:$C$15,MATCH($G346,Settings!$A$6:$A$15,0)),0)))))</f>
        <v/>
      </c>
      <c r="L346" s="13" t="str">
        <f aca="false">IF($J346="","",IF($C346="",1,$C346)*IF($Q346&lt;&gt;"",$Q346,IFERROR(INDEX(Products!$D$5:$D$54,MATCH($B346,Products!$A$5:$A$54,0)),0)))</f>
        <v/>
      </c>
      <c r="M346" s="14" t="str">
        <f aca="false">IF($J346="","",$J346-$K346-N($H346)-$L346)</f>
        <v/>
      </c>
      <c r="N346" s="15" t="str">
        <f aca="false">IF($J346="","",IF($J346&gt;0,$M346/$J346,""))</f>
        <v/>
      </c>
      <c r="O346" s="12"/>
      <c r="P346" s="12"/>
      <c r="Q346" s="11"/>
      <c r="R346" s="11"/>
      <c r="S346" s="12"/>
      <c r="T346" s="16" t="str">
        <f aca="false">IF($J346="","",IF($C346="",1,$C346))</f>
        <v/>
      </c>
    </row>
    <row r="347" customFormat="false" ht="15" hidden="false" customHeight="false" outlineLevel="0" collapsed="false">
      <c r="A347" s="7"/>
      <c r="B347" s="8"/>
      <c r="C347" s="9"/>
      <c r="D347" s="10"/>
      <c r="E347" s="11"/>
      <c r="F347" s="11"/>
      <c r="G347" s="8"/>
      <c r="H347" s="11"/>
      <c r="I347" s="12"/>
      <c r="J347" s="13" t="str">
        <f aca="false">IF(OR($A347="",$D347=""),"",IF($C347="",1,$C347)*$D347+N($E347)-N($F347))</f>
        <v/>
      </c>
      <c r="K347" s="13" t="str">
        <f aca="false">IF($J347="","",IF($R347&lt;&gt;"",$R347,IF($G347="",0,MAX(IFERROR(INDEX(Settings!$D$6:$D$15,MATCH($G347,Settings!$A$6:$A$15,0)),0),$J347*IFERROR(INDEX(Settings!$B$6:$B$15,MATCH($G347,Settings!$A$6:$A$15,0)),0)+IFERROR(INDEX(Settings!$C$6:$C$15,MATCH($G347,Settings!$A$6:$A$15,0)),0)))))</f>
        <v/>
      </c>
      <c r="L347" s="13" t="str">
        <f aca="false">IF($J347="","",IF($C347="",1,$C347)*IF($Q347&lt;&gt;"",$Q347,IFERROR(INDEX(Products!$D$5:$D$54,MATCH($B347,Products!$A$5:$A$54,0)),0)))</f>
        <v/>
      </c>
      <c r="M347" s="14" t="str">
        <f aca="false">IF($J347="","",$J347-$K347-N($H347)-$L347)</f>
        <v/>
      </c>
      <c r="N347" s="15" t="str">
        <f aca="false">IF($J347="","",IF($J347&gt;0,$M347/$J347,""))</f>
        <v/>
      </c>
      <c r="O347" s="12"/>
      <c r="P347" s="12"/>
      <c r="Q347" s="11"/>
      <c r="R347" s="11"/>
      <c r="S347" s="12"/>
      <c r="T347" s="16" t="str">
        <f aca="false">IF($J347="","",IF($C347="",1,$C347))</f>
        <v/>
      </c>
    </row>
    <row r="348" customFormat="false" ht="15" hidden="false" customHeight="false" outlineLevel="0" collapsed="false">
      <c r="A348" s="7"/>
      <c r="B348" s="8"/>
      <c r="C348" s="9"/>
      <c r="D348" s="10"/>
      <c r="E348" s="11"/>
      <c r="F348" s="11"/>
      <c r="G348" s="8"/>
      <c r="H348" s="11"/>
      <c r="I348" s="12"/>
      <c r="J348" s="13" t="str">
        <f aca="false">IF(OR($A348="",$D348=""),"",IF($C348="",1,$C348)*$D348+N($E348)-N($F348))</f>
        <v/>
      </c>
      <c r="K348" s="13" t="str">
        <f aca="false">IF($J348="","",IF($R348&lt;&gt;"",$R348,IF($G348="",0,MAX(IFERROR(INDEX(Settings!$D$6:$D$15,MATCH($G348,Settings!$A$6:$A$15,0)),0),$J348*IFERROR(INDEX(Settings!$B$6:$B$15,MATCH($G348,Settings!$A$6:$A$15,0)),0)+IFERROR(INDEX(Settings!$C$6:$C$15,MATCH($G348,Settings!$A$6:$A$15,0)),0)))))</f>
        <v/>
      </c>
      <c r="L348" s="13" t="str">
        <f aca="false">IF($J348="","",IF($C348="",1,$C348)*IF($Q348&lt;&gt;"",$Q348,IFERROR(INDEX(Products!$D$5:$D$54,MATCH($B348,Products!$A$5:$A$54,0)),0)))</f>
        <v/>
      </c>
      <c r="M348" s="14" t="str">
        <f aca="false">IF($J348="","",$J348-$K348-N($H348)-$L348)</f>
        <v/>
      </c>
      <c r="N348" s="15" t="str">
        <f aca="false">IF($J348="","",IF($J348&gt;0,$M348/$J348,""))</f>
        <v/>
      </c>
      <c r="O348" s="12"/>
      <c r="P348" s="12"/>
      <c r="Q348" s="11"/>
      <c r="R348" s="11"/>
      <c r="S348" s="12"/>
      <c r="T348" s="16" t="str">
        <f aca="false">IF($J348="","",IF($C348="",1,$C348))</f>
        <v/>
      </c>
    </row>
    <row r="349" customFormat="false" ht="15" hidden="false" customHeight="false" outlineLevel="0" collapsed="false">
      <c r="A349" s="7"/>
      <c r="B349" s="8"/>
      <c r="C349" s="9"/>
      <c r="D349" s="10"/>
      <c r="E349" s="11"/>
      <c r="F349" s="11"/>
      <c r="G349" s="8"/>
      <c r="H349" s="11"/>
      <c r="I349" s="12"/>
      <c r="J349" s="13" t="str">
        <f aca="false">IF(OR($A349="",$D349=""),"",IF($C349="",1,$C349)*$D349+N($E349)-N($F349))</f>
        <v/>
      </c>
      <c r="K349" s="13" t="str">
        <f aca="false">IF($J349="","",IF($R349&lt;&gt;"",$R349,IF($G349="",0,MAX(IFERROR(INDEX(Settings!$D$6:$D$15,MATCH($G349,Settings!$A$6:$A$15,0)),0),$J349*IFERROR(INDEX(Settings!$B$6:$B$15,MATCH($G349,Settings!$A$6:$A$15,0)),0)+IFERROR(INDEX(Settings!$C$6:$C$15,MATCH($G349,Settings!$A$6:$A$15,0)),0)))))</f>
        <v/>
      </c>
      <c r="L349" s="13" t="str">
        <f aca="false">IF($J349="","",IF($C349="",1,$C349)*IF($Q349&lt;&gt;"",$Q349,IFERROR(INDEX(Products!$D$5:$D$54,MATCH($B349,Products!$A$5:$A$54,0)),0)))</f>
        <v/>
      </c>
      <c r="M349" s="14" t="str">
        <f aca="false">IF($J349="","",$J349-$K349-N($H349)-$L349)</f>
        <v/>
      </c>
      <c r="N349" s="15" t="str">
        <f aca="false">IF($J349="","",IF($J349&gt;0,$M349/$J349,""))</f>
        <v/>
      </c>
      <c r="O349" s="12"/>
      <c r="P349" s="12"/>
      <c r="Q349" s="11"/>
      <c r="R349" s="11"/>
      <c r="S349" s="12"/>
      <c r="T349" s="16" t="str">
        <f aca="false">IF($J349="","",IF($C349="",1,$C349))</f>
        <v/>
      </c>
    </row>
    <row r="350" customFormat="false" ht="15" hidden="false" customHeight="false" outlineLevel="0" collapsed="false">
      <c r="A350" s="7"/>
      <c r="B350" s="8"/>
      <c r="C350" s="9"/>
      <c r="D350" s="10"/>
      <c r="E350" s="11"/>
      <c r="F350" s="11"/>
      <c r="G350" s="8"/>
      <c r="H350" s="11"/>
      <c r="I350" s="12"/>
      <c r="J350" s="13" t="str">
        <f aca="false">IF(OR($A350="",$D350=""),"",IF($C350="",1,$C350)*$D350+N($E350)-N($F350))</f>
        <v/>
      </c>
      <c r="K350" s="13" t="str">
        <f aca="false">IF($J350="","",IF($R350&lt;&gt;"",$R350,IF($G350="",0,MAX(IFERROR(INDEX(Settings!$D$6:$D$15,MATCH($G350,Settings!$A$6:$A$15,0)),0),$J350*IFERROR(INDEX(Settings!$B$6:$B$15,MATCH($G350,Settings!$A$6:$A$15,0)),0)+IFERROR(INDEX(Settings!$C$6:$C$15,MATCH($G350,Settings!$A$6:$A$15,0)),0)))))</f>
        <v/>
      </c>
      <c r="L350" s="13" t="str">
        <f aca="false">IF($J350="","",IF($C350="",1,$C350)*IF($Q350&lt;&gt;"",$Q350,IFERROR(INDEX(Products!$D$5:$D$54,MATCH($B350,Products!$A$5:$A$54,0)),0)))</f>
        <v/>
      </c>
      <c r="M350" s="14" t="str">
        <f aca="false">IF($J350="","",$J350-$K350-N($H350)-$L350)</f>
        <v/>
      </c>
      <c r="N350" s="15" t="str">
        <f aca="false">IF($J350="","",IF($J350&gt;0,$M350/$J350,""))</f>
        <v/>
      </c>
      <c r="O350" s="12"/>
      <c r="P350" s="12"/>
      <c r="Q350" s="11"/>
      <c r="R350" s="11"/>
      <c r="S350" s="12"/>
      <c r="T350" s="16" t="str">
        <f aca="false">IF($J350="","",IF($C350="",1,$C350))</f>
        <v/>
      </c>
    </row>
    <row r="351" customFormat="false" ht="15" hidden="false" customHeight="false" outlineLevel="0" collapsed="false">
      <c r="A351" s="7"/>
      <c r="B351" s="8"/>
      <c r="C351" s="9"/>
      <c r="D351" s="10"/>
      <c r="E351" s="11"/>
      <c r="F351" s="11"/>
      <c r="G351" s="8"/>
      <c r="H351" s="11"/>
      <c r="I351" s="12"/>
      <c r="J351" s="13" t="str">
        <f aca="false">IF(OR($A351="",$D351=""),"",IF($C351="",1,$C351)*$D351+N($E351)-N($F351))</f>
        <v/>
      </c>
      <c r="K351" s="13" t="str">
        <f aca="false">IF($J351="","",IF($R351&lt;&gt;"",$R351,IF($G351="",0,MAX(IFERROR(INDEX(Settings!$D$6:$D$15,MATCH($G351,Settings!$A$6:$A$15,0)),0),$J351*IFERROR(INDEX(Settings!$B$6:$B$15,MATCH($G351,Settings!$A$6:$A$15,0)),0)+IFERROR(INDEX(Settings!$C$6:$C$15,MATCH($G351,Settings!$A$6:$A$15,0)),0)))))</f>
        <v/>
      </c>
      <c r="L351" s="13" t="str">
        <f aca="false">IF($J351="","",IF($C351="",1,$C351)*IF($Q351&lt;&gt;"",$Q351,IFERROR(INDEX(Products!$D$5:$D$54,MATCH($B351,Products!$A$5:$A$54,0)),0)))</f>
        <v/>
      </c>
      <c r="M351" s="14" t="str">
        <f aca="false">IF($J351="","",$J351-$K351-N($H351)-$L351)</f>
        <v/>
      </c>
      <c r="N351" s="15" t="str">
        <f aca="false">IF($J351="","",IF($J351&gt;0,$M351/$J351,""))</f>
        <v/>
      </c>
      <c r="O351" s="12"/>
      <c r="P351" s="12"/>
      <c r="Q351" s="11"/>
      <c r="R351" s="11"/>
      <c r="S351" s="12"/>
      <c r="T351" s="16" t="str">
        <f aca="false">IF($J351="","",IF($C351="",1,$C351))</f>
        <v/>
      </c>
    </row>
    <row r="352" customFormat="false" ht="15" hidden="false" customHeight="false" outlineLevel="0" collapsed="false">
      <c r="A352" s="7"/>
      <c r="B352" s="8"/>
      <c r="C352" s="9"/>
      <c r="D352" s="10"/>
      <c r="E352" s="11"/>
      <c r="F352" s="11"/>
      <c r="G352" s="8"/>
      <c r="H352" s="11"/>
      <c r="I352" s="12"/>
      <c r="J352" s="13" t="str">
        <f aca="false">IF(OR($A352="",$D352=""),"",IF($C352="",1,$C352)*$D352+N($E352)-N($F352))</f>
        <v/>
      </c>
      <c r="K352" s="13" t="str">
        <f aca="false">IF($J352="","",IF($R352&lt;&gt;"",$R352,IF($G352="",0,MAX(IFERROR(INDEX(Settings!$D$6:$D$15,MATCH($G352,Settings!$A$6:$A$15,0)),0),$J352*IFERROR(INDEX(Settings!$B$6:$B$15,MATCH($G352,Settings!$A$6:$A$15,0)),0)+IFERROR(INDEX(Settings!$C$6:$C$15,MATCH($G352,Settings!$A$6:$A$15,0)),0)))))</f>
        <v/>
      </c>
      <c r="L352" s="13" t="str">
        <f aca="false">IF($J352="","",IF($C352="",1,$C352)*IF($Q352&lt;&gt;"",$Q352,IFERROR(INDEX(Products!$D$5:$D$54,MATCH($B352,Products!$A$5:$A$54,0)),0)))</f>
        <v/>
      </c>
      <c r="M352" s="14" t="str">
        <f aca="false">IF($J352="","",$J352-$K352-N($H352)-$L352)</f>
        <v/>
      </c>
      <c r="N352" s="15" t="str">
        <f aca="false">IF($J352="","",IF($J352&gt;0,$M352/$J352,""))</f>
        <v/>
      </c>
      <c r="O352" s="12"/>
      <c r="P352" s="12"/>
      <c r="Q352" s="11"/>
      <c r="R352" s="11"/>
      <c r="S352" s="12"/>
      <c r="T352" s="16" t="str">
        <f aca="false">IF($J352="","",IF($C352="",1,$C352))</f>
        <v/>
      </c>
    </row>
    <row r="353" customFormat="false" ht="15" hidden="false" customHeight="false" outlineLevel="0" collapsed="false">
      <c r="A353" s="7"/>
      <c r="B353" s="8"/>
      <c r="C353" s="9"/>
      <c r="D353" s="10"/>
      <c r="E353" s="11"/>
      <c r="F353" s="11"/>
      <c r="G353" s="8"/>
      <c r="H353" s="11"/>
      <c r="I353" s="12"/>
      <c r="J353" s="13" t="str">
        <f aca="false">IF(OR($A353="",$D353=""),"",IF($C353="",1,$C353)*$D353+N($E353)-N($F353))</f>
        <v/>
      </c>
      <c r="K353" s="13" t="str">
        <f aca="false">IF($J353="","",IF($R353&lt;&gt;"",$R353,IF($G353="",0,MAX(IFERROR(INDEX(Settings!$D$6:$D$15,MATCH($G353,Settings!$A$6:$A$15,0)),0),$J353*IFERROR(INDEX(Settings!$B$6:$B$15,MATCH($G353,Settings!$A$6:$A$15,0)),0)+IFERROR(INDEX(Settings!$C$6:$C$15,MATCH($G353,Settings!$A$6:$A$15,0)),0)))))</f>
        <v/>
      </c>
      <c r="L353" s="13" t="str">
        <f aca="false">IF($J353="","",IF($C353="",1,$C353)*IF($Q353&lt;&gt;"",$Q353,IFERROR(INDEX(Products!$D$5:$D$54,MATCH($B353,Products!$A$5:$A$54,0)),0)))</f>
        <v/>
      </c>
      <c r="M353" s="14" t="str">
        <f aca="false">IF($J353="","",$J353-$K353-N($H353)-$L353)</f>
        <v/>
      </c>
      <c r="N353" s="15" t="str">
        <f aca="false">IF($J353="","",IF($J353&gt;0,$M353/$J353,""))</f>
        <v/>
      </c>
      <c r="O353" s="12"/>
      <c r="P353" s="12"/>
      <c r="Q353" s="11"/>
      <c r="R353" s="11"/>
      <c r="S353" s="12"/>
      <c r="T353" s="16" t="str">
        <f aca="false">IF($J353="","",IF($C353="",1,$C353))</f>
        <v/>
      </c>
    </row>
    <row r="354" customFormat="false" ht="15" hidden="false" customHeight="false" outlineLevel="0" collapsed="false">
      <c r="A354" s="7"/>
      <c r="B354" s="8"/>
      <c r="C354" s="9"/>
      <c r="D354" s="10"/>
      <c r="E354" s="11"/>
      <c r="F354" s="11"/>
      <c r="G354" s="8"/>
      <c r="H354" s="11"/>
      <c r="I354" s="12"/>
      <c r="J354" s="13" t="str">
        <f aca="false">IF(OR($A354="",$D354=""),"",IF($C354="",1,$C354)*$D354+N($E354)-N($F354))</f>
        <v/>
      </c>
      <c r="K354" s="13" t="str">
        <f aca="false">IF($J354="","",IF($R354&lt;&gt;"",$R354,IF($G354="",0,MAX(IFERROR(INDEX(Settings!$D$6:$D$15,MATCH($G354,Settings!$A$6:$A$15,0)),0),$J354*IFERROR(INDEX(Settings!$B$6:$B$15,MATCH($G354,Settings!$A$6:$A$15,0)),0)+IFERROR(INDEX(Settings!$C$6:$C$15,MATCH($G354,Settings!$A$6:$A$15,0)),0)))))</f>
        <v/>
      </c>
      <c r="L354" s="13" t="str">
        <f aca="false">IF($J354="","",IF($C354="",1,$C354)*IF($Q354&lt;&gt;"",$Q354,IFERROR(INDEX(Products!$D$5:$D$54,MATCH($B354,Products!$A$5:$A$54,0)),0)))</f>
        <v/>
      </c>
      <c r="M354" s="14" t="str">
        <f aca="false">IF($J354="","",$J354-$K354-N($H354)-$L354)</f>
        <v/>
      </c>
      <c r="N354" s="15" t="str">
        <f aca="false">IF($J354="","",IF($J354&gt;0,$M354/$J354,""))</f>
        <v/>
      </c>
      <c r="O354" s="12"/>
      <c r="P354" s="12"/>
      <c r="Q354" s="11"/>
      <c r="R354" s="11"/>
      <c r="S354" s="12"/>
      <c r="T354" s="16" t="str">
        <f aca="false">IF($J354="","",IF($C354="",1,$C354))</f>
        <v/>
      </c>
    </row>
    <row r="355" customFormat="false" ht="15" hidden="false" customHeight="false" outlineLevel="0" collapsed="false">
      <c r="A355" s="7"/>
      <c r="B355" s="8"/>
      <c r="C355" s="9"/>
      <c r="D355" s="10"/>
      <c r="E355" s="11"/>
      <c r="F355" s="11"/>
      <c r="G355" s="8"/>
      <c r="H355" s="11"/>
      <c r="I355" s="12"/>
      <c r="J355" s="13" t="str">
        <f aca="false">IF(OR($A355="",$D355=""),"",IF($C355="",1,$C355)*$D355+N($E355)-N($F355))</f>
        <v/>
      </c>
      <c r="K355" s="13" t="str">
        <f aca="false">IF($J355="","",IF($R355&lt;&gt;"",$R355,IF($G355="",0,MAX(IFERROR(INDEX(Settings!$D$6:$D$15,MATCH($G355,Settings!$A$6:$A$15,0)),0),$J355*IFERROR(INDEX(Settings!$B$6:$B$15,MATCH($G355,Settings!$A$6:$A$15,0)),0)+IFERROR(INDEX(Settings!$C$6:$C$15,MATCH($G355,Settings!$A$6:$A$15,0)),0)))))</f>
        <v/>
      </c>
      <c r="L355" s="13" t="str">
        <f aca="false">IF($J355="","",IF($C355="",1,$C355)*IF($Q355&lt;&gt;"",$Q355,IFERROR(INDEX(Products!$D$5:$D$54,MATCH($B355,Products!$A$5:$A$54,0)),0)))</f>
        <v/>
      </c>
      <c r="M355" s="14" t="str">
        <f aca="false">IF($J355="","",$J355-$K355-N($H355)-$L355)</f>
        <v/>
      </c>
      <c r="N355" s="15" t="str">
        <f aca="false">IF($J355="","",IF($J355&gt;0,$M355/$J355,""))</f>
        <v/>
      </c>
      <c r="O355" s="12"/>
      <c r="P355" s="12"/>
      <c r="Q355" s="11"/>
      <c r="R355" s="11"/>
      <c r="S355" s="12"/>
      <c r="T355" s="16" t="str">
        <f aca="false">IF($J355="","",IF($C355="",1,$C355))</f>
        <v/>
      </c>
    </row>
    <row r="356" customFormat="false" ht="15" hidden="false" customHeight="false" outlineLevel="0" collapsed="false">
      <c r="A356" s="7"/>
      <c r="B356" s="8"/>
      <c r="C356" s="9"/>
      <c r="D356" s="10"/>
      <c r="E356" s="11"/>
      <c r="F356" s="11"/>
      <c r="G356" s="8"/>
      <c r="H356" s="11"/>
      <c r="I356" s="12"/>
      <c r="J356" s="13" t="str">
        <f aca="false">IF(OR($A356="",$D356=""),"",IF($C356="",1,$C356)*$D356+N($E356)-N($F356))</f>
        <v/>
      </c>
      <c r="K356" s="13" t="str">
        <f aca="false">IF($J356="","",IF($R356&lt;&gt;"",$R356,IF($G356="",0,MAX(IFERROR(INDEX(Settings!$D$6:$D$15,MATCH($G356,Settings!$A$6:$A$15,0)),0),$J356*IFERROR(INDEX(Settings!$B$6:$B$15,MATCH($G356,Settings!$A$6:$A$15,0)),0)+IFERROR(INDEX(Settings!$C$6:$C$15,MATCH($G356,Settings!$A$6:$A$15,0)),0)))))</f>
        <v/>
      </c>
      <c r="L356" s="13" t="str">
        <f aca="false">IF($J356="","",IF($C356="",1,$C356)*IF($Q356&lt;&gt;"",$Q356,IFERROR(INDEX(Products!$D$5:$D$54,MATCH($B356,Products!$A$5:$A$54,0)),0)))</f>
        <v/>
      </c>
      <c r="M356" s="14" t="str">
        <f aca="false">IF($J356="","",$J356-$K356-N($H356)-$L356)</f>
        <v/>
      </c>
      <c r="N356" s="15" t="str">
        <f aca="false">IF($J356="","",IF($J356&gt;0,$M356/$J356,""))</f>
        <v/>
      </c>
      <c r="O356" s="12"/>
      <c r="P356" s="12"/>
      <c r="Q356" s="11"/>
      <c r="R356" s="11"/>
      <c r="S356" s="12"/>
      <c r="T356" s="16" t="str">
        <f aca="false">IF($J356="","",IF($C356="",1,$C356))</f>
        <v/>
      </c>
    </row>
    <row r="357" customFormat="false" ht="15" hidden="false" customHeight="false" outlineLevel="0" collapsed="false">
      <c r="A357" s="7"/>
      <c r="B357" s="8"/>
      <c r="C357" s="9"/>
      <c r="D357" s="10"/>
      <c r="E357" s="11"/>
      <c r="F357" s="11"/>
      <c r="G357" s="8"/>
      <c r="H357" s="11"/>
      <c r="I357" s="12"/>
      <c r="J357" s="13" t="str">
        <f aca="false">IF(OR($A357="",$D357=""),"",IF($C357="",1,$C357)*$D357+N($E357)-N($F357))</f>
        <v/>
      </c>
      <c r="K357" s="13" t="str">
        <f aca="false">IF($J357="","",IF($R357&lt;&gt;"",$R357,IF($G357="",0,MAX(IFERROR(INDEX(Settings!$D$6:$D$15,MATCH($G357,Settings!$A$6:$A$15,0)),0),$J357*IFERROR(INDEX(Settings!$B$6:$B$15,MATCH($G357,Settings!$A$6:$A$15,0)),0)+IFERROR(INDEX(Settings!$C$6:$C$15,MATCH($G357,Settings!$A$6:$A$15,0)),0)))))</f>
        <v/>
      </c>
      <c r="L357" s="13" t="str">
        <f aca="false">IF($J357="","",IF($C357="",1,$C357)*IF($Q357&lt;&gt;"",$Q357,IFERROR(INDEX(Products!$D$5:$D$54,MATCH($B357,Products!$A$5:$A$54,0)),0)))</f>
        <v/>
      </c>
      <c r="M357" s="14" t="str">
        <f aca="false">IF($J357="","",$J357-$K357-N($H357)-$L357)</f>
        <v/>
      </c>
      <c r="N357" s="15" t="str">
        <f aca="false">IF($J357="","",IF($J357&gt;0,$M357/$J357,""))</f>
        <v/>
      </c>
      <c r="O357" s="12"/>
      <c r="P357" s="12"/>
      <c r="Q357" s="11"/>
      <c r="R357" s="11"/>
      <c r="S357" s="12"/>
      <c r="T357" s="16" t="str">
        <f aca="false">IF($J357="","",IF($C357="",1,$C357))</f>
        <v/>
      </c>
    </row>
    <row r="358" customFormat="false" ht="15" hidden="false" customHeight="false" outlineLevel="0" collapsed="false">
      <c r="A358" s="7"/>
      <c r="B358" s="8"/>
      <c r="C358" s="9"/>
      <c r="D358" s="10"/>
      <c r="E358" s="11"/>
      <c r="F358" s="11"/>
      <c r="G358" s="8"/>
      <c r="H358" s="11"/>
      <c r="I358" s="12"/>
      <c r="J358" s="13" t="str">
        <f aca="false">IF(OR($A358="",$D358=""),"",IF($C358="",1,$C358)*$D358+N($E358)-N($F358))</f>
        <v/>
      </c>
      <c r="K358" s="13" t="str">
        <f aca="false">IF($J358="","",IF($R358&lt;&gt;"",$R358,IF($G358="",0,MAX(IFERROR(INDEX(Settings!$D$6:$D$15,MATCH($G358,Settings!$A$6:$A$15,0)),0),$J358*IFERROR(INDEX(Settings!$B$6:$B$15,MATCH($G358,Settings!$A$6:$A$15,0)),0)+IFERROR(INDEX(Settings!$C$6:$C$15,MATCH($G358,Settings!$A$6:$A$15,0)),0)))))</f>
        <v/>
      </c>
      <c r="L358" s="13" t="str">
        <f aca="false">IF($J358="","",IF($C358="",1,$C358)*IF($Q358&lt;&gt;"",$Q358,IFERROR(INDEX(Products!$D$5:$D$54,MATCH($B358,Products!$A$5:$A$54,0)),0)))</f>
        <v/>
      </c>
      <c r="M358" s="14" t="str">
        <f aca="false">IF($J358="","",$J358-$K358-N($H358)-$L358)</f>
        <v/>
      </c>
      <c r="N358" s="15" t="str">
        <f aca="false">IF($J358="","",IF($J358&gt;0,$M358/$J358,""))</f>
        <v/>
      </c>
      <c r="O358" s="12"/>
      <c r="P358" s="12"/>
      <c r="Q358" s="11"/>
      <c r="R358" s="11"/>
      <c r="S358" s="12"/>
      <c r="T358" s="16" t="str">
        <f aca="false">IF($J358="","",IF($C358="",1,$C358))</f>
        <v/>
      </c>
    </row>
    <row r="359" customFormat="false" ht="15" hidden="false" customHeight="false" outlineLevel="0" collapsed="false">
      <c r="A359" s="7"/>
      <c r="B359" s="8"/>
      <c r="C359" s="9"/>
      <c r="D359" s="10"/>
      <c r="E359" s="11"/>
      <c r="F359" s="11"/>
      <c r="G359" s="8"/>
      <c r="H359" s="11"/>
      <c r="I359" s="12"/>
      <c r="J359" s="13" t="str">
        <f aca="false">IF(OR($A359="",$D359=""),"",IF($C359="",1,$C359)*$D359+N($E359)-N($F359))</f>
        <v/>
      </c>
      <c r="K359" s="13" t="str">
        <f aca="false">IF($J359="","",IF($R359&lt;&gt;"",$R359,IF($G359="",0,MAX(IFERROR(INDEX(Settings!$D$6:$D$15,MATCH($G359,Settings!$A$6:$A$15,0)),0),$J359*IFERROR(INDEX(Settings!$B$6:$B$15,MATCH($G359,Settings!$A$6:$A$15,0)),0)+IFERROR(INDEX(Settings!$C$6:$C$15,MATCH($G359,Settings!$A$6:$A$15,0)),0)))))</f>
        <v/>
      </c>
      <c r="L359" s="13" t="str">
        <f aca="false">IF($J359="","",IF($C359="",1,$C359)*IF($Q359&lt;&gt;"",$Q359,IFERROR(INDEX(Products!$D$5:$D$54,MATCH($B359,Products!$A$5:$A$54,0)),0)))</f>
        <v/>
      </c>
      <c r="M359" s="14" t="str">
        <f aca="false">IF($J359="","",$J359-$K359-N($H359)-$L359)</f>
        <v/>
      </c>
      <c r="N359" s="15" t="str">
        <f aca="false">IF($J359="","",IF($J359&gt;0,$M359/$J359,""))</f>
        <v/>
      </c>
      <c r="O359" s="12"/>
      <c r="P359" s="12"/>
      <c r="Q359" s="11"/>
      <c r="R359" s="11"/>
      <c r="S359" s="12"/>
      <c r="T359" s="16" t="str">
        <f aca="false">IF($J359="","",IF($C359="",1,$C359))</f>
        <v/>
      </c>
    </row>
    <row r="360" customFormat="false" ht="15" hidden="false" customHeight="false" outlineLevel="0" collapsed="false">
      <c r="A360" s="7"/>
      <c r="B360" s="8"/>
      <c r="C360" s="9"/>
      <c r="D360" s="10"/>
      <c r="E360" s="11"/>
      <c r="F360" s="11"/>
      <c r="G360" s="8"/>
      <c r="H360" s="11"/>
      <c r="I360" s="12"/>
      <c r="J360" s="13" t="str">
        <f aca="false">IF(OR($A360="",$D360=""),"",IF($C360="",1,$C360)*$D360+N($E360)-N($F360))</f>
        <v/>
      </c>
      <c r="K360" s="13" t="str">
        <f aca="false">IF($J360="","",IF($R360&lt;&gt;"",$R360,IF($G360="",0,MAX(IFERROR(INDEX(Settings!$D$6:$D$15,MATCH($G360,Settings!$A$6:$A$15,0)),0),$J360*IFERROR(INDEX(Settings!$B$6:$B$15,MATCH($G360,Settings!$A$6:$A$15,0)),0)+IFERROR(INDEX(Settings!$C$6:$C$15,MATCH($G360,Settings!$A$6:$A$15,0)),0)))))</f>
        <v/>
      </c>
      <c r="L360" s="13" t="str">
        <f aca="false">IF($J360="","",IF($C360="",1,$C360)*IF($Q360&lt;&gt;"",$Q360,IFERROR(INDEX(Products!$D$5:$D$54,MATCH($B360,Products!$A$5:$A$54,0)),0)))</f>
        <v/>
      </c>
      <c r="M360" s="14" t="str">
        <f aca="false">IF($J360="","",$J360-$K360-N($H360)-$L360)</f>
        <v/>
      </c>
      <c r="N360" s="15" t="str">
        <f aca="false">IF($J360="","",IF($J360&gt;0,$M360/$J360,""))</f>
        <v/>
      </c>
      <c r="O360" s="12"/>
      <c r="P360" s="12"/>
      <c r="Q360" s="11"/>
      <c r="R360" s="11"/>
      <c r="S360" s="12"/>
      <c r="T360" s="16" t="str">
        <f aca="false">IF($J360="","",IF($C360="",1,$C360))</f>
        <v/>
      </c>
    </row>
    <row r="361" customFormat="false" ht="15" hidden="false" customHeight="false" outlineLevel="0" collapsed="false">
      <c r="A361" s="7"/>
      <c r="B361" s="8"/>
      <c r="C361" s="9"/>
      <c r="D361" s="10"/>
      <c r="E361" s="11"/>
      <c r="F361" s="11"/>
      <c r="G361" s="8"/>
      <c r="H361" s="11"/>
      <c r="I361" s="12"/>
      <c r="J361" s="13" t="str">
        <f aca="false">IF(OR($A361="",$D361=""),"",IF($C361="",1,$C361)*$D361+N($E361)-N($F361))</f>
        <v/>
      </c>
      <c r="K361" s="13" t="str">
        <f aca="false">IF($J361="","",IF($R361&lt;&gt;"",$R361,IF($G361="",0,MAX(IFERROR(INDEX(Settings!$D$6:$D$15,MATCH($G361,Settings!$A$6:$A$15,0)),0),$J361*IFERROR(INDEX(Settings!$B$6:$B$15,MATCH($G361,Settings!$A$6:$A$15,0)),0)+IFERROR(INDEX(Settings!$C$6:$C$15,MATCH($G361,Settings!$A$6:$A$15,0)),0)))))</f>
        <v/>
      </c>
      <c r="L361" s="13" t="str">
        <f aca="false">IF($J361="","",IF($C361="",1,$C361)*IF($Q361&lt;&gt;"",$Q361,IFERROR(INDEX(Products!$D$5:$D$54,MATCH($B361,Products!$A$5:$A$54,0)),0)))</f>
        <v/>
      </c>
      <c r="M361" s="14" t="str">
        <f aca="false">IF($J361="","",$J361-$K361-N($H361)-$L361)</f>
        <v/>
      </c>
      <c r="N361" s="15" t="str">
        <f aca="false">IF($J361="","",IF($J361&gt;0,$M361/$J361,""))</f>
        <v/>
      </c>
      <c r="O361" s="12"/>
      <c r="P361" s="12"/>
      <c r="Q361" s="11"/>
      <c r="R361" s="11"/>
      <c r="S361" s="12"/>
      <c r="T361" s="16" t="str">
        <f aca="false">IF($J361="","",IF($C361="",1,$C361))</f>
        <v/>
      </c>
    </row>
    <row r="362" customFormat="false" ht="15" hidden="false" customHeight="false" outlineLevel="0" collapsed="false">
      <c r="A362" s="7"/>
      <c r="B362" s="8"/>
      <c r="C362" s="9"/>
      <c r="D362" s="10"/>
      <c r="E362" s="11"/>
      <c r="F362" s="11"/>
      <c r="G362" s="8"/>
      <c r="H362" s="11"/>
      <c r="I362" s="12"/>
      <c r="J362" s="13" t="str">
        <f aca="false">IF(OR($A362="",$D362=""),"",IF($C362="",1,$C362)*$D362+N($E362)-N($F362))</f>
        <v/>
      </c>
      <c r="K362" s="13" t="str">
        <f aca="false">IF($J362="","",IF($R362&lt;&gt;"",$R362,IF($G362="",0,MAX(IFERROR(INDEX(Settings!$D$6:$D$15,MATCH($G362,Settings!$A$6:$A$15,0)),0),$J362*IFERROR(INDEX(Settings!$B$6:$B$15,MATCH($G362,Settings!$A$6:$A$15,0)),0)+IFERROR(INDEX(Settings!$C$6:$C$15,MATCH($G362,Settings!$A$6:$A$15,0)),0)))))</f>
        <v/>
      </c>
      <c r="L362" s="13" t="str">
        <f aca="false">IF($J362="","",IF($C362="",1,$C362)*IF($Q362&lt;&gt;"",$Q362,IFERROR(INDEX(Products!$D$5:$D$54,MATCH($B362,Products!$A$5:$A$54,0)),0)))</f>
        <v/>
      </c>
      <c r="M362" s="14" t="str">
        <f aca="false">IF($J362="","",$J362-$K362-N($H362)-$L362)</f>
        <v/>
      </c>
      <c r="N362" s="15" t="str">
        <f aca="false">IF($J362="","",IF($J362&gt;0,$M362/$J362,""))</f>
        <v/>
      </c>
      <c r="O362" s="12"/>
      <c r="P362" s="12"/>
      <c r="Q362" s="11"/>
      <c r="R362" s="11"/>
      <c r="S362" s="12"/>
      <c r="T362" s="16" t="str">
        <f aca="false">IF($J362="","",IF($C362="",1,$C362))</f>
        <v/>
      </c>
    </row>
    <row r="363" customFormat="false" ht="15" hidden="false" customHeight="false" outlineLevel="0" collapsed="false">
      <c r="A363" s="7"/>
      <c r="B363" s="8"/>
      <c r="C363" s="9"/>
      <c r="D363" s="10"/>
      <c r="E363" s="11"/>
      <c r="F363" s="11"/>
      <c r="G363" s="8"/>
      <c r="H363" s="11"/>
      <c r="I363" s="12"/>
      <c r="J363" s="13" t="str">
        <f aca="false">IF(OR($A363="",$D363=""),"",IF($C363="",1,$C363)*$D363+N($E363)-N($F363))</f>
        <v/>
      </c>
      <c r="K363" s="13" t="str">
        <f aca="false">IF($J363="","",IF($R363&lt;&gt;"",$R363,IF($G363="",0,MAX(IFERROR(INDEX(Settings!$D$6:$D$15,MATCH($G363,Settings!$A$6:$A$15,0)),0),$J363*IFERROR(INDEX(Settings!$B$6:$B$15,MATCH($G363,Settings!$A$6:$A$15,0)),0)+IFERROR(INDEX(Settings!$C$6:$C$15,MATCH($G363,Settings!$A$6:$A$15,0)),0)))))</f>
        <v/>
      </c>
      <c r="L363" s="13" t="str">
        <f aca="false">IF($J363="","",IF($C363="",1,$C363)*IF($Q363&lt;&gt;"",$Q363,IFERROR(INDEX(Products!$D$5:$D$54,MATCH($B363,Products!$A$5:$A$54,0)),0)))</f>
        <v/>
      </c>
      <c r="M363" s="14" t="str">
        <f aca="false">IF($J363="","",$J363-$K363-N($H363)-$L363)</f>
        <v/>
      </c>
      <c r="N363" s="15" t="str">
        <f aca="false">IF($J363="","",IF($J363&gt;0,$M363/$J363,""))</f>
        <v/>
      </c>
      <c r="O363" s="12"/>
      <c r="P363" s="12"/>
      <c r="Q363" s="11"/>
      <c r="R363" s="11"/>
      <c r="S363" s="12"/>
      <c r="T363" s="16" t="str">
        <f aca="false">IF($J363="","",IF($C363="",1,$C363))</f>
        <v/>
      </c>
    </row>
    <row r="364" customFormat="false" ht="15" hidden="false" customHeight="false" outlineLevel="0" collapsed="false">
      <c r="A364" s="7"/>
      <c r="B364" s="8"/>
      <c r="C364" s="9"/>
      <c r="D364" s="10"/>
      <c r="E364" s="11"/>
      <c r="F364" s="11"/>
      <c r="G364" s="8"/>
      <c r="H364" s="11"/>
      <c r="I364" s="12"/>
      <c r="J364" s="13" t="str">
        <f aca="false">IF(OR($A364="",$D364=""),"",IF($C364="",1,$C364)*$D364+N($E364)-N($F364))</f>
        <v/>
      </c>
      <c r="K364" s="13" t="str">
        <f aca="false">IF($J364="","",IF($R364&lt;&gt;"",$R364,IF($G364="",0,MAX(IFERROR(INDEX(Settings!$D$6:$D$15,MATCH($G364,Settings!$A$6:$A$15,0)),0),$J364*IFERROR(INDEX(Settings!$B$6:$B$15,MATCH($G364,Settings!$A$6:$A$15,0)),0)+IFERROR(INDEX(Settings!$C$6:$C$15,MATCH($G364,Settings!$A$6:$A$15,0)),0)))))</f>
        <v/>
      </c>
      <c r="L364" s="13" t="str">
        <f aca="false">IF($J364="","",IF($C364="",1,$C364)*IF($Q364&lt;&gt;"",$Q364,IFERROR(INDEX(Products!$D$5:$D$54,MATCH($B364,Products!$A$5:$A$54,0)),0)))</f>
        <v/>
      </c>
      <c r="M364" s="14" t="str">
        <f aca="false">IF($J364="","",$J364-$K364-N($H364)-$L364)</f>
        <v/>
      </c>
      <c r="N364" s="15" t="str">
        <f aca="false">IF($J364="","",IF($J364&gt;0,$M364/$J364,""))</f>
        <v/>
      </c>
      <c r="O364" s="12"/>
      <c r="P364" s="12"/>
      <c r="Q364" s="11"/>
      <c r="R364" s="11"/>
      <c r="S364" s="12"/>
      <c r="T364" s="16" t="str">
        <f aca="false">IF($J364="","",IF($C364="",1,$C364))</f>
        <v/>
      </c>
    </row>
    <row r="365" customFormat="false" ht="15" hidden="false" customHeight="false" outlineLevel="0" collapsed="false">
      <c r="A365" s="7"/>
      <c r="B365" s="8"/>
      <c r="C365" s="9"/>
      <c r="D365" s="10"/>
      <c r="E365" s="11"/>
      <c r="F365" s="11"/>
      <c r="G365" s="8"/>
      <c r="H365" s="11"/>
      <c r="I365" s="12"/>
      <c r="J365" s="13" t="str">
        <f aca="false">IF(OR($A365="",$D365=""),"",IF($C365="",1,$C365)*$D365+N($E365)-N($F365))</f>
        <v/>
      </c>
      <c r="K365" s="13" t="str">
        <f aca="false">IF($J365="","",IF($R365&lt;&gt;"",$R365,IF($G365="",0,MAX(IFERROR(INDEX(Settings!$D$6:$D$15,MATCH($G365,Settings!$A$6:$A$15,0)),0),$J365*IFERROR(INDEX(Settings!$B$6:$B$15,MATCH($G365,Settings!$A$6:$A$15,0)),0)+IFERROR(INDEX(Settings!$C$6:$C$15,MATCH($G365,Settings!$A$6:$A$15,0)),0)))))</f>
        <v/>
      </c>
      <c r="L365" s="13" t="str">
        <f aca="false">IF($J365="","",IF($C365="",1,$C365)*IF($Q365&lt;&gt;"",$Q365,IFERROR(INDEX(Products!$D$5:$D$54,MATCH($B365,Products!$A$5:$A$54,0)),0)))</f>
        <v/>
      </c>
      <c r="M365" s="14" t="str">
        <f aca="false">IF($J365="","",$J365-$K365-N($H365)-$L365)</f>
        <v/>
      </c>
      <c r="N365" s="15" t="str">
        <f aca="false">IF($J365="","",IF($J365&gt;0,$M365/$J365,""))</f>
        <v/>
      </c>
      <c r="O365" s="12"/>
      <c r="P365" s="12"/>
      <c r="Q365" s="11"/>
      <c r="R365" s="11"/>
      <c r="S365" s="12"/>
      <c r="T365" s="16" t="str">
        <f aca="false">IF($J365="","",IF($C365="",1,$C365))</f>
        <v/>
      </c>
    </row>
    <row r="366" customFormat="false" ht="15" hidden="false" customHeight="false" outlineLevel="0" collapsed="false">
      <c r="A366" s="7"/>
      <c r="B366" s="8"/>
      <c r="C366" s="9"/>
      <c r="D366" s="10"/>
      <c r="E366" s="11"/>
      <c r="F366" s="11"/>
      <c r="G366" s="8"/>
      <c r="H366" s="11"/>
      <c r="I366" s="12"/>
      <c r="J366" s="13" t="str">
        <f aca="false">IF(OR($A366="",$D366=""),"",IF($C366="",1,$C366)*$D366+N($E366)-N($F366))</f>
        <v/>
      </c>
      <c r="K366" s="13" t="str">
        <f aca="false">IF($J366="","",IF($R366&lt;&gt;"",$R366,IF($G366="",0,MAX(IFERROR(INDEX(Settings!$D$6:$D$15,MATCH($G366,Settings!$A$6:$A$15,0)),0),$J366*IFERROR(INDEX(Settings!$B$6:$B$15,MATCH($G366,Settings!$A$6:$A$15,0)),0)+IFERROR(INDEX(Settings!$C$6:$C$15,MATCH($G366,Settings!$A$6:$A$15,0)),0)))))</f>
        <v/>
      </c>
      <c r="L366" s="13" t="str">
        <f aca="false">IF($J366="","",IF($C366="",1,$C366)*IF($Q366&lt;&gt;"",$Q366,IFERROR(INDEX(Products!$D$5:$D$54,MATCH($B366,Products!$A$5:$A$54,0)),0)))</f>
        <v/>
      </c>
      <c r="M366" s="14" t="str">
        <f aca="false">IF($J366="","",$J366-$K366-N($H366)-$L366)</f>
        <v/>
      </c>
      <c r="N366" s="15" t="str">
        <f aca="false">IF($J366="","",IF($J366&gt;0,$M366/$J366,""))</f>
        <v/>
      </c>
      <c r="O366" s="12"/>
      <c r="P366" s="12"/>
      <c r="Q366" s="11"/>
      <c r="R366" s="11"/>
      <c r="S366" s="12"/>
      <c r="T366" s="16" t="str">
        <f aca="false">IF($J366="","",IF($C366="",1,$C366))</f>
        <v/>
      </c>
    </row>
    <row r="367" customFormat="false" ht="15" hidden="false" customHeight="false" outlineLevel="0" collapsed="false">
      <c r="A367" s="7"/>
      <c r="B367" s="8"/>
      <c r="C367" s="9"/>
      <c r="D367" s="10"/>
      <c r="E367" s="11"/>
      <c r="F367" s="11"/>
      <c r="G367" s="8"/>
      <c r="H367" s="11"/>
      <c r="I367" s="12"/>
      <c r="J367" s="13" t="str">
        <f aca="false">IF(OR($A367="",$D367=""),"",IF($C367="",1,$C367)*$D367+N($E367)-N($F367))</f>
        <v/>
      </c>
      <c r="K367" s="13" t="str">
        <f aca="false">IF($J367="","",IF($R367&lt;&gt;"",$R367,IF($G367="",0,MAX(IFERROR(INDEX(Settings!$D$6:$D$15,MATCH($G367,Settings!$A$6:$A$15,0)),0),$J367*IFERROR(INDEX(Settings!$B$6:$B$15,MATCH($G367,Settings!$A$6:$A$15,0)),0)+IFERROR(INDEX(Settings!$C$6:$C$15,MATCH($G367,Settings!$A$6:$A$15,0)),0)))))</f>
        <v/>
      </c>
      <c r="L367" s="13" t="str">
        <f aca="false">IF($J367="","",IF($C367="",1,$C367)*IF($Q367&lt;&gt;"",$Q367,IFERROR(INDEX(Products!$D$5:$D$54,MATCH($B367,Products!$A$5:$A$54,0)),0)))</f>
        <v/>
      </c>
      <c r="M367" s="14" t="str">
        <f aca="false">IF($J367="","",$J367-$K367-N($H367)-$L367)</f>
        <v/>
      </c>
      <c r="N367" s="15" t="str">
        <f aca="false">IF($J367="","",IF($J367&gt;0,$M367/$J367,""))</f>
        <v/>
      </c>
      <c r="O367" s="12"/>
      <c r="P367" s="12"/>
      <c r="Q367" s="11"/>
      <c r="R367" s="11"/>
      <c r="S367" s="12"/>
      <c r="T367" s="16" t="str">
        <f aca="false">IF($J367="","",IF($C367="",1,$C367))</f>
        <v/>
      </c>
    </row>
    <row r="368" customFormat="false" ht="15" hidden="false" customHeight="false" outlineLevel="0" collapsed="false">
      <c r="A368" s="7"/>
      <c r="B368" s="8"/>
      <c r="C368" s="9"/>
      <c r="D368" s="10"/>
      <c r="E368" s="11"/>
      <c r="F368" s="11"/>
      <c r="G368" s="8"/>
      <c r="H368" s="11"/>
      <c r="I368" s="12"/>
      <c r="J368" s="13" t="str">
        <f aca="false">IF(OR($A368="",$D368=""),"",IF($C368="",1,$C368)*$D368+N($E368)-N($F368))</f>
        <v/>
      </c>
      <c r="K368" s="13" t="str">
        <f aca="false">IF($J368="","",IF($R368&lt;&gt;"",$R368,IF($G368="",0,MAX(IFERROR(INDEX(Settings!$D$6:$D$15,MATCH($G368,Settings!$A$6:$A$15,0)),0),$J368*IFERROR(INDEX(Settings!$B$6:$B$15,MATCH($G368,Settings!$A$6:$A$15,0)),0)+IFERROR(INDEX(Settings!$C$6:$C$15,MATCH($G368,Settings!$A$6:$A$15,0)),0)))))</f>
        <v/>
      </c>
      <c r="L368" s="13" t="str">
        <f aca="false">IF($J368="","",IF($C368="",1,$C368)*IF($Q368&lt;&gt;"",$Q368,IFERROR(INDEX(Products!$D$5:$D$54,MATCH($B368,Products!$A$5:$A$54,0)),0)))</f>
        <v/>
      </c>
      <c r="M368" s="14" t="str">
        <f aca="false">IF($J368="","",$J368-$K368-N($H368)-$L368)</f>
        <v/>
      </c>
      <c r="N368" s="15" t="str">
        <f aca="false">IF($J368="","",IF($J368&gt;0,$M368/$J368,""))</f>
        <v/>
      </c>
      <c r="O368" s="12"/>
      <c r="P368" s="12"/>
      <c r="Q368" s="11"/>
      <c r="R368" s="11"/>
      <c r="S368" s="12"/>
      <c r="T368" s="16" t="str">
        <f aca="false">IF($J368="","",IF($C368="",1,$C368))</f>
        <v/>
      </c>
    </row>
    <row r="369" customFormat="false" ht="15" hidden="false" customHeight="false" outlineLevel="0" collapsed="false">
      <c r="A369" s="7"/>
      <c r="B369" s="8"/>
      <c r="C369" s="9"/>
      <c r="D369" s="10"/>
      <c r="E369" s="11"/>
      <c r="F369" s="11"/>
      <c r="G369" s="8"/>
      <c r="H369" s="11"/>
      <c r="I369" s="12"/>
      <c r="J369" s="13" t="str">
        <f aca="false">IF(OR($A369="",$D369=""),"",IF($C369="",1,$C369)*$D369+N($E369)-N($F369))</f>
        <v/>
      </c>
      <c r="K369" s="13" t="str">
        <f aca="false">IF($J369="","",IF($R369&lt;&gt;"",$R369,IF($G369="",0,MAX(IFERROR(INDEX(Settings!$D$6:$D$15,MATCH($G369,Settings!$A$6:$A$15,0)),0),$J369*IFERROR(INDEX(Settings!$B$6:$B$15,MATCH($G369,Settings!$A$6:$A$15,0)),0)+IFERROR(INDEX(Settings!$C$6:$C$15,MATCH($G369,Settings!$A$6:$A$15,0)),0)))))</f>
        <v/>
      </c>
      <c r="L369" s="13" t="str">
        <f aca="false">IF($J369="","",IF($C369="",1,$C369)*IF($Q369&lt;&gt;"",$Q369,IFERROR(INDEX(Products!$D$5:$D$54,MATCH($B369,Products!$A$5:$A$54,0)),0)))</f>
        <v/>
      </c>
      <c r="M369" s="14" t="str">
        <f aca="false">IF($J369="","",$J369-$K369-N($H369)-$L369)</f>
        <v/>
      </c>
      <c r="N369" s="15" t="str">
        <f aca="false">IF($J369="","",IF($J369&gt;0,$M369/$J369,""))</f>
        <v/>
      </c>
      <c r="O369" s="12"/>
      <c r="P369" s="12"/>
      <c r="Q369" s="11"/>
      <c r="R369" s="11"/>
      <c r="S369" s="12"/>
      <c r="T369" s="16" t="str">
        <f aca="false">IF($J369="","",IF($C369="",1,$C369))</f>
        <v/>
      </c>
    </row>
    <row r="370" customFormat="false" ht="15" hidden="false" customHeight="false" outlineLevel="0" collapsed="false">
      <c r="A370" s="7"/>
      <c r="B370" s="8"/>
      <c r="C370" s="9"/>
      <c r="D370" s="10"/>
      <c r="E370" s="11"/>
      <c r="F370" s="11"/>
      <c r="G370" s="8"/>
      <c r="H370" s="11"/>
      <c r="I370" s="12"/>
      <c r="J370" s="13" t="str">
        <f aca="false">IF(OR($A370="",$D370=""),"",IF($C370="",1,$C370)*$D370+N($E370)-N($F370))</f>
        <v/>
      </c>
      <c r="K370" s="13" t="str">
        <f aca="false">IF($J370="","",IF($R370&lt;&gt;"",$R370,IF($G370="",0,MAX(IFERROR(INDEX(Settings!$D$6:$D$15,MATCH($G370,Settings!$A$6:$A$15,0)),0),$J370*IFERROR(INDEX(Settings!$B$6:$B$15,MATCH($G370,Settings!$A$6:$A$15,0)),0)+IFERROR(INDEX(Settings!$C$6:$C$15,MATCH($G370,Settings!$A$6:$A$15,0)),0)))))</f>
        <v/>
      </c>
      <c r="L370" s="13" t="str">
        <f aca="false">IF($J370="","",IF($C370="",1,$C370)*IF($Q370&lt;&gt;"",$Q370,IFERROR(INDEX(Products!$D$5:$D$54,MATCH($B370,Products!$A$5:$A$54,0)),0)))</f>
        <v/>
      </c>
      <c r="M370" s="14" t="str">
        <f aca="false">IF($J370="","",$J370-$K370-N($H370)-$L370)</f>
        <v/>
      </c>
      <c r="N370" s="15" t="str">
        <f aca="false">IF($J370="","",IF($J370&gt;0,$M370/$J370,""))</f>
        <v/>
      </c>
      <c r="O370" s="12"/>
      <c r="P370" s="12"/>
      <c r="Q370" s="11"/>
      <c r="R370" s="11"/>
      <c r="S370" s="12"/>
      <c r="T370" s="16" t="str">
        <f aca="false">IF($J370="","",IF($C370="",1,$C370))</f>
        <v/>
      </c>
    </row>
    <row r="371" customFormat="false" ht="15" hidden="false" customHeight="false" outlineLevel="0" collapsed="false">
      <c r="A371" s="7"/>
      <c r="B371" s="8"/>
      <c r="C371" s="9"/>
      <c r="D371" s="10"/>
      <c r="E371" s="11"/>
      <c r="F371" s="11"/>
      <c r="G371" s="8"/>
      <c r="H371" s="11"/>
      <c r="I371" s="12"/>
      <c r="J371" s="13" t="str">
        <f aca="false">IF(OR($A371="",$D371=""),"",IF($C371="",1,$C371)*$D371+N($E371)-N($F371))</f>
        <v/>
      </c>
      <c r="K371" s="13" t="str">
        <f aca="false">IF($J371="","",IF($R371&lt;&gt;"",$R371,IF($G371="",0,MAX(IFERROR(INDEX(Settings!$D$6:$D$15,MATCH($G371,Settings!$A$6:$A$15,0)),0),$J371*IFERROR(INDEX(Settings!$B$6:$B$15,MATCH($G371,Settings!$A$6:$A$15,0)),0)+IFERROR(INDEX(Settings!$C$6:$C$15,MATCH($G371,Settings!$A$6:$A$15,0)),0)))))</f>
        <v/>
      </c>
      <c r="L371" s="13" t="str">
        <f aca="false">IF($J371="","",IF($C371="",1,$C371)*IF($Q371&lt;&gt;"",$Q371,IFERROR(INDEX(Products!$D$5:$D$54,MATCH($B371,Products!$A$5:$A$54,0)),0)))</f>
        <v/>
      </c>
      <c r="M371" s="14" t="str">
        <f aca="false">IF($J371="","",$J371-$K371-N($H371)-$L371)</f>
        <v/>
      </c>
      <c r="N371" s="15" t="str">
        <f aca="false">IF($J371="","",IF($J371&gt;0,$M371/$J371,""))</f>
        <v/>
      </c>
      <c r="O371" s="12"/>
      <c r="P371" s="12"/>
      <c r="Q371" s="11"/>
      <c r="R371" s="11"/>
      <c r="S371" s="12"/>
      <c r="T371" s="16" t="str">
        <f aca="false">IF($J371="","",IF($C371="",1,$C371))</f>
        <v/>
      </c>
    </row>
    <row r="372" customFormat="false" ht="15" hidden="false" customHeight="false" outlineLevel="0" collapsed="false">
      <c r="A372" s="7"/>
      <c r="B372" s="8"/>
      <c r="C372" s="9"/>
      <c r="D372" s="10"/>
      <c r="E372" s="11"/>
      <c r="F372" s="11"/>
      <c r="G372" s="8"/>
      <c r="H372" s="11"/>
      <c r="I372" s="12"/>
      <c r="J372" s="13" t="str">
        <f aca="false">IF(OR($A372="",$D372=""),"",IF($C372="",1,$C372)*$D372+N($E372)-N($F372))</f>
        <v/>
      </c>
      <c r="K372" s="13" t="str">
        <f aca="false">IF($J372="","",IF($R372&lt;&gt;"",$R372,IF($G372="",0,MAX(IFERROR(INDEX(Settings!$D$6:$D$15,MATCH($G372,Settings!$A$6:$A$15,0)),0),$J372*IFERROR(INDEX(Settings!$B$6:$B$15,MATCH($G372,Settings!$A$6:$A$15,0)),0)+IFERROR(INDEX(Settings!$C$6:$C$15,MATCH($G372,Settings!$A$6:$A$15,0)),0)))))</f>
        <v/>
      </c>
      <c r="L372" s="13" t="str">
        <f aca="false">IF($J372="","",IF($C372="",1,$C372)*IF($Q372&lt;&gt;"",$Q372,IFERROR(INDEX(Products!$D$5:$D$54,MATCH($B372,Products!$A$5:$A$54,0)),0)))</f>
        <v/>
      </c>
      <c r="M372" s="14" t="str">
        <f aca="false">IF($J372="","",$J372-$K372-N($H372)-$L372)</f>
        <v/>
      </c>
      <c r="N372" s="15" t="str">
        <f aca="false">IF($J372="","",IF($J372&gt;0,$M372/$J372,""))</f>
        <v/>
      </c>
      <c r="O372" s="12"/>
      <c r="P372" s="12"/>
      <c r="Q372" s="11"/>
      <c r="R372" s="11"/>
      <c r="S372" s="12"/>
      <c r="T372" s="16" t="str">
        <f aca="false">IF($J372="","",IF($C372="",1,$C372))</f>
        <v/>
      </c>
    </row>
    <row r="373" customFormat="false" ht="15" hidden="false" customHeight="false" outlineLevel="0" collapsed="false">
      <c r="A373" s="7"/>
      <c r="B373" s="8"/>
      <c r="C373" s="9"/>
      <c r="D373" s="10"/>
      <c r="E373" s="11"/>
      <c r="F373" s="11"/>
      <c r="G373" s="8"/>
      <c r="H373" s="11"/>
      <c r="I373" s="12"/>
      <c r="J373" s="13" t="str">
        <f aca="false">IF(OR($A373="",$D373=""),"",IF($C373="",1,$C373)*$D373+N($E373)-N($F373))</f>
        <v/>
      </c>
      <c r="K373" s="13" t="str">
        <f aca="false">IF($J373="","",IF($R373&lt;&gt;"",$R373,IF($G373="",0,MAX(IFERROR(INDEX(Settings!$D$6:$D$15,MATCH($G373,Settings!$A$6:$A$15,0)),0),$J373*IFERROR(INDEX(Settings!$B$6:$B$15,MATCH($G373,Settings!$A$6:$A$15,0)),0)+IFERROR(INDEX(Settings!$C$6:$C$15,MATCH($G373,Settings!$A$6:$A$15,0)),0)))))</f>
        <v/>
      </c>
      <c r="L373" s="13" t="str">
        <f aca="false">IF($J373="","",IF($C373="",1,$C373)*IF($Q373&lt;&gt;"",$Q373,IFERROR(INDEX(Products!$D$5:$D$54,MATCH($B373,Products!$A$5:$A$54,0)),0)))</f>
        <v/>
      </c>
      <c r="M373" s="14" t="str">
        <f aca="false">IF($J373="","",$J373-$K373-N($H373)-$L373)</f>
        <v/>
      </c>
      <c r="N373" s="15" t="str">
        <f aca="false">IF($J373="","",IF($J373&gt;0,$M373/$J373,""))</f>
        <v/>
      </c>
      <c r="O373" s="12"/>
      <c r="P373" s="12"/>
      <c r="Q373" s="11"/>
      <c r="R373" s="11"/>
      <c r="S373" s="12"/>
      <c r="T373" s="16" t="str">
        <f aca="false">IF($J373="","",IF($C373="",1,$C373))</f>
        <v/>
      </c>
    </row>
    <row r="374" customFormat="false" ht="15" hidden="false" customHeight="false" outlineLevel="0" collapsed="false">
      <c r="A374" s="7"/>
      <c r="B374" s="8"/>
      <c r="C374" s="9"/>
      <c r="D374" s="10"/>
      <c r="E374" s="11"/>
      <c r="F374" s="11"/>
      <c r="G374" s="8"/>
      <c r="H374" s="11"/>
      <c r="I374" s="12"/>
      <c r="J374" s="13" t="str">
        <f aca="false">IF(OR($A374="",$D374=""),"",IF($C374="",1,$C374)*$D374+N($E374)-N($F374))</f>
        <v/>
      </c>
      <c r="K374" s="13" t="str">
        <f aca="false">IF($J374="","",IF($R374&lt;&gt;"",$R374,IF($G374="",0,MAX(IFERROR(INDEX(Settings!$D$6:$D$15,MATCH($G374,Settings!$A$6:$A$15,0)),0),$J374*IFERROR(INDEX(Settings!$B$6:$B$15,MATCH($G374,Settings!$A$6:$A$15,0)),0)+IFERROR(INDEX(Settings!$C$6:$C$15,MATCH($G374,Settings!$A$6:$A$15,0)),0)))))</f>
        <v/>
      </c>
      <c r="L374" s="13" t="str">
        <f aca="false">IF($J374="","",IF($C374="",1,$C374)*IF($Q374&lt;&gt;"",$Q374,IFERROR(INDEX(Products!$D$5:$D$54,MATCH($B374,Products!$A$5:$A$54,0)),0)))</f>
        <v/>
      </c>
      <c r="M374" s="14" t="str">
        <f aca="false">IF($J374="","",$J374-$K374-N($H374)-$L374)</f>
        <v/>
      </c>
      <c r="N374" s="15" t="str">
        <f aca="false">IF($J374="","",IF($J374&gt;0,$M374/$J374,""))</f>
        <v/>
      </c>
      <c r="O374" s="12"/>
      <c r="P374" s="12"/>
      <c r="Q374" s="11"/>
      <c r="R374" s="11"/>
      <c r="S374" s="12"/>
      <c r="T374" s="16" t="str">
        <f aca="false">IF($J374="","",IF($C374="",1,$C374))</f>
        <v/>
      </c>
    </row>
    <row r="375" customFormat="false" ht="15" hidden="false" customHeight="false" outlineLevel="0" collapsed="false">
      <c r="A375" s="7"/>
      <c r="B375" s="8"/>
      <c r="C375" s="9"/>
      <c r="D375" s="10"/>
      <c r="E375" s="11"/>
      <c r="F375" s="11"/>
      <c r="G375" s="8"/>
      <c r="H375" s="11"/>
      <c r="I375" s="12"/>
      <c r="J375" s="13" t="str">
        <f aca="false">IF(OR($A375="",$D375=""),"",IF($C375="",1,$C375)*$D375+N($E375)-N($F375))</f>
        <v/>
      </c>
      <c r="K375" s="13" t="str">
        <f aca="false">IF($J375="","",IF($R375&lt;&gt;"",$R375,IF($G375="",0,MAX(IFERROR(INDEX(Settings!$D$6:$D$15,MATCH($G375,Settings!$A$6:$A$15,0)),0),$J375*IFERROR(INDEX(Settings!$B$6:$B$15,MATCH($G375,Settings!$A$6:$A$15,0)),0)+IFERROR(INDEX(Settings!$C$6:$C$15,MATCH($G375,Settings!$A$6:$A$15,0)),0)))))</f>
        <v/>
      </c>
      <c r="L375" s="13" t="str">
        <f aca="false">IF($J375="","",IF($C375="",1,$C375)*IF($Q375&lt;&gt;"",$Q375,IFERROR(INDEX(Products!$D$5:$D$54,MATCH($B375,Products!$A$5:$A$54,0)),0)))</f>
        <v/>
      </c>
      <c r="M375" s="14" t="str">
        <f aca="false">IF($J375="","",$J375-$K375-N($H375)-$L375)</f>
        <v/>
      </c>
      <c r="N375" s="15" t="str">
        <f aca="false">IF($J375="","",IF($J375&gt;0,$M375/$J375,""))</f>
        <v/>
      </c>
      <c r="O375" s="12"/>
      <c r="P375" s="12"/>
      <c r="Q375" s="11"/>
      <c r="R375" s="11"/>
      <c r="S375" s="12"/>
      <c r="T375" s="16" t="str">
        <f aca="false">IF($J375="","",IF($C375="",1,$C375))</f>
        <v/>
      </c>
    </row>
    <row r="376" customFormat="false" ht="15" hidden="false" customHeight="false" outlineLevel="0" collapsed="false">
      <c r="A376" s="7"/>
      <c r="B376" s="8"/>
      <c r="C376" s="9"/>
      <c r="D376" s="10"/>
      <c r="E376" s="11"/>
      <c r="F376" s="11"/>
      <c r="G376" s="8"/>
      <c r="H376" s="11"/>
      <c r="I376" s="12"/>
      <c r="J376" s="13" t="str">
        <f aca="false">IF(OR($A376="",$D376=""),"",IF($C376="",1,$C376)*$D376+N($E376)-N($F376))</f>
        <v/>
      </c>
      <c r="K376" s="13" t="str">
        <f aca="false">IF($J376="","",IF($R376&lt;&gt;"",$R376,IF($G376="",0,MAX(IFERROR(INDEX(Settings!$D$6:$D$15,MATCH($G376,Settings!$A$6:$A$15,0)),0),$J376*IFERROR(INDEX(Settings!$B$6:$B$15,MATCH($G376,Settings!$A$6:$A$15,0)),0)+IFERROR(INDEX(Settings!$C$6:$C$15,MATCH($G376,Settings!$A$6:$A$15,0)),0)))))</f>
        <v/>
      </c>
      <c r="L376" s="13" t="str">
        <f aca="false">IF($J376="","",IF($C376="",1,$C376)*IF($Q376&lt;&gt;"",$Q376,IFERROR(INDEX(Products!$D$5:$D$54,MATCH($B376,Products!$A$5:$A$54,0)),0)))</f>
        <v/>
      </c>
      <c r="M376" s="14" t="str">
        <f aca="false">IF($J376="","",$J376-$K376-N($H376)-$L376)</f>
        <v/>
      </c>
      <c r="N376" s="15" t="str">
        <f aca="false">IF($J376="","",IF($J376&gt;0,$M376/$J376,""))</f>
        <v/>
      </c>
      <c r="O376" s="12"/>
      <c r="P376" s="12"/>
      <c r="Q376" s="11"/>
      <c r="R376" s="11"/>
      <c r="S376" s="12"/>
      <c r="T376" s="16" t="str">
        <f aca="false">IF($J376="","",IF($C376="",1,$C376))</f>
        <v/>
      </c>
    </row>
    <row r="377" customFormat="false" ht="15" hidden="false" customHeight="false" outlineLevel="0" collapsed="false">
      <c r="A377" s="7"/>
      <c r="B377" s="8"/>
      <c r="C377" s="9"/>
      <c r="D377" s="10"/>
      <c r="E377" s="11"/>
      <c r="F377" s="11"/>
      <c r="G377" s="8"/>
      <c r="H377" s="11"/>
      <c r="I377" s="12"/>
      <c r="J377" s="13" t="str">
        <f aca="false">IF(OR($A377="",$D377=""),"",IF($C377="",1,$C377)*$D377+N($E377)-N($F377))</f>
        <v/>
      </c>
      <c r="K377" s="13" t="str">
        <f aca="false">IF($J377="","",IF($R377&lt;&gt;"",$R377,IF($G377="",0,MAX(IFERROR(INDEX(Settings!$D$6:$D$15,MATCH($G377,Settings!$A$6:$A$15,0)),0),$J377*IFERROR(INDEX(Settings!$B$6:$B$15,MATCH($G377,Settings!$A$6:$A$15,0)),0)+IFERROR(INDEX(Settings!$C$6:$C$15,MATCH($G377,Settings!$A$6:$A$15,0)),0)))))</f>
        <v/>
      </c>
      <c r="L377" s="13" t="str">
        <f aca="false">IF($J377="","",IF($C377="",1,$C377)*IF($Q377&lt;&gt;"",$Q377,IFERROR(INDEX(Products!$D$5:$D$54,MATCH($B377,Products!$A$5:$A$54,0)),0)))</f>
        <v/>
      </c>
      <c r="M377" s="14" t="str">
        <f aca="false">IF($J377="","",$J377-$K377-N($H377)-$L377)</f>
        <v/>
      </c>
      <c r="N377" s="15" t="str">
        <f aca="false">IF($J377="","",IF($J377&gt;0,$M377/$J377,""))</f>
        <v/>
      </c>
      <c r="O377" s="12"/>
      <c r="P377" s="12"/>
      <c r="Q377" s="11"/>
      <c r="R377" s="11"/>
      <c r="S377" s="12"/>
      <c r="T377" s="16" t="str">
        <f aca="false">IF($J377="","",IF($C377="",1,$C377))</f>
        <v/>
      </c>
    </row>
    <row r="378" customFormat="false" ht="15" hidden="false" customHeight="false" outlineLevel="0" collapsed="false">
      <c r="A378" s="7"/>
      <c r="B378" s="8"/>
      <c r="C378" s="9"/>
      <c r="D378" s="10"/>
      <c r="E378" s="11"/>
      <c r="F378" s="11"/>
      <c r="G378" s="8"/>
      <c r="H378" s="11"/>
      <c r="I378" s="12"/>
      <c r="J378" s="13" t="str">
        <f aca="false">IF(OR($A378="",$D378=""),"",IF($C378="",1,$C378)*$D378+N($E378)-N($F378))</f>
        <v/>
      </c>
      <c r="K378" s="13" t="str">
        <f aca="false">IF($J378="","",IF($R378&lt;&gt;"",$R378,IF($G378="",0,MAX(IFERROR(INDEX(Settings!$D$6:$D$15,MATCH($G378,Settings!$A$6:$A$15,0)),0),$J378*IFERROR(INDEX(Settings!$B$6:$B$15,MATCH($G378,Settings!$A$6:$A$15,0)),0)+IFERROR(INDEX(Settings!$C$6:$C$15,MATCH($G378,Settings!$A$6:$A$15,0)),0)))))</f>
        <v/>
      </c>
      <c r="L378" s="13" t="str">
        <f aca="false">IF($J378="","",IF($C378="",1,$C378)*IF($Q378&lt;&gt;"",$Q378,IFERROR(INDEX(Products!$D$5:$D$54,MATCH($B378,Products!$A$5:$A$54,0)),0)))</f>
        <v/>
      </c>
      <c r="M378" s="14" t="str">
        <f aca="false">IF($J378="","",$J378-$K378-N($H378)-$L378)</f>
        <v/>
      </c>
      <c r="N378" s="15" t="str">
        <f aca="false">IF($J378="","",IF($J378&gt;0,$M378/$J378,""))</f>
        <v/>
      </c>
      <c r="O378" s="12"/>
      <c r="P378" s="12"/>
      <c r="Q378" s="11"/>
      <c r="R378" s="11"/>
      <c r="S378" s="12"/>
      <c r="T378" s="16" t="str">
        <f aca="false">IF($J378="","",IF($C378="",1,$C378))</f>
        <v/>
      </c>
    </row>
    <row r="379" customFormat="false" ht="15" hidden="false" customHeight="false" outlineLevel="0" collapsed="false">
      <c r="A379" s="7"/>
      <c r="B379" s="8"/>
      <c r="C379" s="9"/>
      <c r="D379" s="10"/>
      <c r="E379" s="11"/>
      <c r="F379" s="11"/>
      <c r="G379" s="8"/>
      <c r="H379" s="11"/>
      <c r="I379" s="12"/>
      <c r="J379" s="13" t="str">
        <f aca="false">IF(OR($A379="",$D379=""),"",IF($C379="",1,$C379)*$D379+N($E379)-N($F379))</f>
        <v/>
      </c>
      <c r="K379" s="13" t="str">
        <f aca="false">IF($J379="","",IF($R379&lt;&gt;"",$R379,IF($G379="",0,MAX(IFERROR(INDEX(Settings!$D$6:$D$15,MATCH($G379,Settings!$A$6:$A$15,0)),0),$J379*IFERROR(INDEX(Settings!$B$6:$B$15,MATCH($G379,Settings!$A$6:$A$15,0)),0)+IFERROR(INDEX(Settings!$C$6:$C$15,MATCH($G379,Settings!$A$6:$A$15,0)),0)))))</f>
        <v/>
      </c>
      <c r="L379" s="13" t="str">
        <f aca="false">IF($J379="","",IF($C379="",1,$C379)*IF($Q379&lt;&gt;"",$Q379,IFERROR(INDEX(Products!$D$5:$D$54,MATCH($B379,Products!$A$5:$A$54,0)),0)))</f>
        <v/>
      </c>
      <c r="M379" s="14" t="str">
        <f aca="false">IF($J379="","",$J379-$K379-N($H379)-$L379)</f>
        <v/>
      </c>
      <c r="N379" s="15" t="str">
        <f aca="false">IF($J379="","",IF($J379&gt;0,$M379/$J379,""))</f>
        <v/>
      </c>
      <c r="O379" s="12"/>
      <c r="P379" s="12"/>
      <c r="Q379" s="11"/>
      <c r="R379" s="11"/>
      <c r="S379" s="12"/>
      <c r="T379" s="16" t="str">
        <f aca="false">IF($J379="","",IF($C379="",1,$C379))</f>
        <v/>
      </c>
    </row>
    <row r="380" customFormat="false" ht="15" hidden="false" customHeight="false" outlineLevel="0" collapsed="false">
      <c r="A380" s="7"/>
      <c r="B380" s="8"/>
      <c r="C380" s="9"/>
      <c r="D380" s="10"/>
      <c r="E380" s="11"/>
      <c r="F380" s="11"/>
      <c r="G380" s="8"/>
      <c r="H380" s="11"/>
      <c r="I380" s="12"/>
      <c r="J380" s="13" t="str">
        <f aca="false">IF(OR($A380="",$D380=""),"",IF($C380="",1,$C380)*$D380+N($E380)-N($F380))</f>
        <v/>
      </c>
      <c r="K380" s="13" t="str">
        <f aca="false">IF($J380="","",IF($R380&lt;&gt;"",$R380,IF($G380="",0,MAX(IFERROR(INDEX(Settings!$D$6:$D$15,MATCH($G380,Settings!$A$6:$A$15,0)),0),$J380*IFERROR(INDEX(Settings!$B$6:$B$15,MATCH($G380,Settings!$A$6:$A$15,0)),0)+IFERROR(INDEX(Settings!$C$6:$C$15,MATCH($G380,Settings!$A$6:$A$15,0)),0)))))</f>
        <v/>
      </c>
      <c r="L380" s="13" t="str">
        <f aca="false">IF($J380="","",IF($C380="",1,$C380)*IF($Q380&lt;&gt;"",$Q380,IFERROR(INDEX(Products!$D$5:$D$54,MATCH($B380,Products!$A$5:$A$54,0)),0)))</f>
        <v/>
      </c>
      <c r="M380" s="14" t="str">
        <f aca="false">IF($J380="","",$J380-$K380-N($H380)-$L380)</f>
        <v/>
      </c>
      <c r="N380" s="15" t="str">
        <f aca="false">IF($J380="","",IF($J380&gt;0,$M380/$J380,""))</f>
        <v/>
      </c>
      <c r="O380" s="12"/>
      <c r="P380" s="12"/>
      <c r="Q380" s="11"/>
      <c r="R380" s="11"/>
      <c r="S380" s="12"/>
      <c r="T380" s="16" t="str">
        <f aca="false">IF($J380="","",IF($C380="",1,$C380))</f>
        <v/>
      </c>
    </row>
    <row r="381" customFormat="false" ht="15" hidden="false" customHeight="false" outlineLevel="0" collapsed="false">
      <c r="A381" s="7"/>
      <c r="B381" s="8"/>
      <c r="C381" s="9"/>
      <c r="D381" s="10"/>
      <c r="E381" s="11"/>
      <c r="F381" s="11"/>
      <c r="G381" s="8"/>
      <c r="H381" s="11"/>
      <c r="I381" s="12"/>
      <c r="J381" s="13" t="str">
        <f aca="false">IF(OR($A381="",$D381=""),"",IF($C381="",1,$C381)*$D381+N($E381)-N($F381))</f>
        <v/>
      </c>
      <c r="K381" s="13" t="str">
        <f aca="false">IF($J381="","",IF($R381&lt;&gt;"",$R381,IF($G381="",0,MAX(IFERROR(INDEX(Settings!$D$6:$D$15,MATCH($G381,Settings!$A$6:$A$15,0)),0),$J381*IFERROR(INDEX(Settings!$B$6:$B$15,MATCH($G381,Settings!$A$6:$A$15,0)),0)+IFERROR(INDEX(Settings!$C$6:$C$15,MATCH($G381,Settings!$A$6:$A$15,0)),0)))))</f>
        <v/>
      </c>
      <c r="L381" s="13" t="str">
        <f aca="false">IF($J381="","",IF($C381="",1,$C381)*IF($Q381&lt;&gt;"",$Q381,IFERROR(INDEX(Products!$D$5:$D$54,MATCH($B381,Products!$A$5:$A$54,0)),0)))</f>
        <v/>
      </c>
      <c r="M381" s="14" t="str">
        <f aca="false">IF($J381="","",$J381-$K381-N($H381)-$L381)</f>
        <v/>
      </c>
      <c r="N381" s="15" t="str">
        <f aca="false">IF($J381="","",IF($J381&gt;0,$M381/$J381,""))</f>
        <v/>
      </c>
      <c r="O381" s="12"/>
      <c r="P381" s="12"/>
      <c r="Q381" s="11"/>
      <c r="R381" s="11"/>
      <c r="S381" s="12"/>
      <c r="T381" s="16" t="str">
        <f aca="false">IF($J381="","",IF($C381="",1,$C381))</f>
        <v/>
      </c>
    </row>
    <row r="382" customFormat="false" ht="15" hidden="false" customHeight="false" outlineLevel="0" collapsed="false">
      <c r="A382" s="7"/>
      <c r="B382" s="8"/>
      <c r="C382" s="9"/>
      <c r="D382" s="10"/>
      <c r="E382" s="11"/>
      <c r="F382" s="11"/>
      <c r="G382" s="8"/>
      <c r="H382" s="11"/>
      <c r="I382" s="12"/>
      <c r="J382" s="13" t="str">
        <f aca="false">IF(OR($A382="",$D382=""),"",IF($C382="",1,$C382)*$D382+N($E382)-N($F382))</f>
        <v/>
      </c>
      <c r="K382" s="13" t="str">
        <f aca="false">IF($J382="","",IF($R382&lt;&gt;"",$R382,IF($G382="",0,MAX(IFERROR(INDEX(Settings!$D$6:$D$15,MATCH($G382,Settings!$A$6:$A$15,0)),0),$J382*IFERROR(INDEX(Settings!$B$6:$B$15,MATCH($G382,Settings!$A$6:$A$15,0)),0)+IFERROR(INDEX(Settings!$C$6:$C$15,MATCH($G382,Settings!$A$6:$A$15,0)),0)))))</f>
        <v/>
      </c>
      <c r="L382" s="13" t="str">
        <f aca="false">IF($J382="","",IF($C382="",1,$C382)*IF($Q382&lt;&gt;"",$Q382,IFERROR(INDEX(Products!$D$5:$D$54,MATCH($B382,Products!$A$5:$A$54,0)),0)))</f>
        <v/>
      </c>
      <c r="M382" s="14" t="str">
        <f aca="false">IF($J382="","",$J382-$K382-N($H382)-$L382)</f>
        <v/>
      </c>
      <c r="N382" s="15" t="str">
        <f aca="false">IF($J382="","",IF($J382&gt;0,$M382/$J382,""))</f>
        <v/>
      </c>
      <c r="O382" s="12"/>
      <c r="P382" s="12"/>
      <c r="Q382" s="11"/>
      <c r="R382" s="11"/>
      <c r="S382" s="12"/>
      <c r="T382" s="16" t="str">
        <f aca="false">IF($J382="","",IF($C382="",1,$C382))</f>
        <v/>
      </c>
    </row>
    <row r="383" customFormat="false" ht="15" hidden="false" customHeight="false" outlineLevel="0" collapsed="false">
      <c r="A383" s="7"/>
      <c r="B383" s="8"/>
      <c r="C383" s="9"/>
      <c r="D383" s="10"/>
      <c r="E383" s="11"/>
      <c r="F383" s="11"/>
      <c r="G383" s="8"/>
      <c r="H383" s="11"/>
      <c r="I383" s="12"/>
      <c r="J383" s="13" t="str">
        <f aca="false">IF(OR($A383="",$D383=""),"",IF($C383="",1,$C383)*$D383+N($E383)-N($F383))</f>
        <v/>
      </c>
      <c r="K383" s="13" t="str">
        <f aca="false">IF($J383="","",IF($R383&lt;&gt;"",$R383,IF($G383="",0,MAX(IFERROR(INDEX(Settings!$D$6:$D$15,MATCH($G383,Settings!$A$6:$A$15,0)),0),$J383*IFERROR(INDEX(Settings!$B$6:$B$15,MATCH($G383,Settings!$A$6:$A$15,0)),0)+IFERROR(INDEX(Settings!$C$6:$C$15,MATCH($G383,Settings!$A$6:$A$15,0)),0)))))</f>
        <v/>
      </c>
      <c r="L383" s="13" t="str">
        <f aca="false">IF($J383="","",IF($C383="",1,$C383)*IF($Q383&lt;&gt;"",$Q383,IFERROR(INDEX(Products!$D$5:$D$54,MATCH($B383,Products!$A$5:$A$54,0)),0)))</f>
        <v/>
      </c>
      <c r="M383" s="14" t="str">
        <f aca="false">IF($J383="","",$J383-$K383-N($H383)-$L383)</f>
        <v/>
      </c>
      <c r="N383" s="15" t="str">
        <f aca="false">IF($J383="","",IF($J383&gt;0,$M383/$J383,""))</f>
        <v/>
      </c>
      <c r="O383" s="12"/>
      <c r="P383" s="12"/>
      <c r="Q383" s="11"/>
      <c r="R383" s="11"/>
      <c r="S383" s="12"/>
      <c r="T383" s="16" t="str">
        <f aca="false">IF($J383="","",IF($C383="",1,$C383))</f>
        <v/>
      </c>
    </row>
    <row r="384" customFormat="false" ht="15" hidden="false" customHeight="false" outlineLevel="0" collapsed="false">
      <c r="A384" s="7"/>
      <c r="B384" s="8"/>
      <c r="C384" s="9"/>
      <c r="D384" s="10"/>
      <c r="E384" s="11"/>
      <c r="F384" s="11"/>
      <c r="G384" s="8"/>
      <c r="H384" s="11"/>
      <c r="I384" s="12"/>
      <c r="J384" s="13" t="str">
        <f aca="false">IF(OR($A384="",$D384=""),"",IF($C384="",1,$C384)*$D384+N($E384)-N($F384))</f>
        <v/>
      </c>
      <c r="K384" s="13" t="str">
        <f aca="false">IF($J384="","",IF($R384&lt;&gt;"",$R384,IF($G384="",0,MAX(IFERROR(INDEX(Settings!$D$6:$D$15,MATCH($G384,Settings!$A$6:$A$15,0)),0),$J384*IFERROR(INDEX(Settings!$B$6:$B$15,MATCH($G384,Settings!$A$6:$A$15,0)),0)+IFERROR(INDEX(Settings!$C$6:$C$15,MATCH($G384,Settings!$A$6:$A$15,0)),0)))))</f>
        <v/>
      </c>
      <c r="L384" s="13" t="str">
        <f aca="false">IF($J384="","",IF($C384="",1,$C384)*IF($Q384&lt;&gt;"",$Q384,IFERROR(INDEX(Products!$D$5:$D$54,MATCH($B384,Products!$A$5:$A$54,0)),0)))</f>
        <v/>
      </c>
      <c r="M384" s="14" t="str">
        <f aca="false">IF($J384="","",$J384-$K384-N($H384)-$L384)</f>
        <v/>
      </c>
      <c r="N384" s="15" t="str">
        <f aca="false">IF($J384="","",IF($J384&gt;0,$M384/$J384,""))</f>
        <v/>
      </c>
      <c r="O384" s="12"/>
      <c r="P384" s="12"/>
      <c r="Q384" s="11"/>
      <c r="R384" s="11"/>
      <c r="S384" s="12"/>
      <c r="T384" s="16" t="str">
        <f aca="false">IF($J384="","",IF($C384="",1,$C384))</f>
        <v/>
      </c>
    </row>
    <row r="385" customFormat="false" ht="15" hidden="false" customHeight="false" outlineLevel="0" collapsed="false">
      <c r="A385" s="7"/>
      <c r="B385" s="8"/>
      <c r="C385" s="9"/>
      <c r="D385" s="10"/>
      <c r="E385" s="11"/>
      <c r="F385" s="11"/>
      <c r="G385" s="8"/>
      <c r="H385" s="11"/>
      <c r="I385" s="12"/>
      <c r="J385" s="13" t="str">
        <f aca="false">IF(OR($A385="",$D385=""),"",IF($C385="",1,$C385)*$D385+N($E385)-N($F385))</f>
        <v/>
      </c>
      <c r="K385" s="13" t="str">
        <f aca="false">IF($J385="","",IF($R385&lt;&gt;"",$R385,IF($G385="",0,MAX(IFERROR(INDEX(Settings!$D$6:$D$15,MATCH($G385,Settings!$A$6:$A$15,0)),0),$J385*IFERROR(INDEX(Settings!$B$6:$B$15,MATCH($G385,Settings!$A$6:$A$15,0)),0)+IFERROR(INDEX(Settings!$C$6:$C$15,MATCH($G385,Settings!$A$6:$A$15,0)),0)))))</f>
        <v/>
      </c>
      <c r="L385" s="13" t="str">
        <f aca="false">IF($J385="","",IF($C385="",1,$C385)*IF($Q385&lt;&gt;"",$Q385,IFERROR(INDEX(Products!$D$5:$D$54,MATCH($B385,Products!$A$5:$A$54,0)),0)))</f>
        <v/>
      </c>
      <c r="M385" s="14" t="str">
        <f aca="false">IF($J385="","",$J385-$K385-N($H385)-$L385)</f>
        <v/>
      </c>
      <c r="N385" s="15" t="str">
        <f aca="false">IF($J385="","",IF($J385&gt;0,$M385/$J385,""))</f>
        <v/>
      </c>
      <c r="O385" s="12"/>
      <c r="P385" s="12"/>
      <c r="Q385" s="11"/>
      <c r="R385" s="11"/>
      <c r="S385" s="12"/>
      <c r="T385" s="16" t="str">
        <f aca="false">IF($J385="","",IF($C385="",1,$C385))</f>
        <v/>
      </c>
    </row>
    <row r="386" customFormat="false" ht="15" hidden="false" customHeight="false" outlineLevel="0" collapsed="false">
      <c r="A386" s="7"/>
      <c r="B386" s="8"/>
      <c r="C386" s="9"/>
      <c r="D386" s="10"/>
      <c r="E386" s="11"/>
      <c r="F386" s="11"/>
      <c r="G386" s="8"/>
      <c r="H386" s="11"/>
      <c r="I386" s="12"/>
      <c r="J386" s="13" t="str">
        <f aca="false">IF(OR($A386="",$D386=""),"",IF($C386="",1,$C386)*$D386+N($E386)-N($F386))</f>
        <v/>
      </c>
      <c r="K386" s="13" t="str">
        <f aca="false">IF($J386="","",IF($R386&lt;&gt;"",$R386,IF($G386="",0,MAX(IFERROR(INDEX(Settings!$D$6:$D$15,MATCH($G386,Settings!$A$6:$A$15,0)),0),$J386*IFERROR(INDEX(Settings!$B$6:$B$15,MATCH($G386,Settings!$A$6:$A$15,0)),0)+IFERROR(INDEX(Settings!$C$6:$C$15,MATCH($G386,Settings!$A$6:$A$15,0)),0)))))</f>
        <v/>
      </c>
      <c r="L386" s="13" t="str">
        <f aca="false">IF($J386="","",IF($C386="",1,$C386)*IF($Q386&lt;&gt;"",$Q386,IFERROR(INDEX(Products!$D$5:$D$54,MATCH($B386,Products!$A$5:$A$54,0)),0)))</f>
        <v/>
      </c>
      <c r="M386" s="14" t="str">
        <f aca="false">IF($J386="","",$J386-$K386-N($H386)-$L386)</f>
        <v/>
      </c>
      <c r="N386" s="15" t="str">
        <f aca="false">IF($J386="","",IF($J386&gt;0,$M386/$J386,""))</f>
        <v/>
      </c>
      <c r="O386" s="12"/>
      <c r="P386" s="12"/>
      <c r="Q386" s="11"/>
      <c r="R386" s="11"/>
      <c r="S386" s="12"/>
      <c r="T386" s="16" t="str">
        <f aca="false">IF($J386="","",IF($C386="",1,$C386))</f>
        <v/>
      </c>
    </row>
    <row r="387" customFormat="false" ht="15" hidden="false" customHeight="false" outlineLevel="0" collapsed="false">
      <c r="A387" s="7"/>
      <c r="B387" s="8"/>
      <c r="C387" s="9"/>
      <c r="D387" s="10"/>
      <c r="E387" s="11"/>
      <c r="F387" s="11"/>
      <c r="G387" s="8"/>
      <c r="H387" s="11"/>
      <c r="I387" s="12"/>
      <c r="J387" s="13" t="str">
        <f aca="false">IF(OR($A387="",$D387=""),"",IF($C387="",1,$C387)*$D387+N($E387)-N($F387))</f>
        <v/>
      </c>
      <c r="K387" s="13" t="str">
        <f aca="false">IF($J387="","",IF($R387&lt;&gt;"",$R387,IF($G387="",0,MAX(IFERROR(INDEX(Settings!$D$6:$D$15,MATCH($G387,Settings!$A$6:$A$15,0)),0),$J387*IFERROR(INDEX(Settings!$B$6:$B$15,MATCH($G387,Settings!$A$6:$A$15,0)),0)+IFERROR(INDEX(Settings!$C$6:$C$15,MATCH($G387,Settings!$A$6:$A$15,0)),0)))))</f>
        <v/>
      </c>
      <c r="L387" s="13" t="str">
        <f aca="false">IF($J387="","",IF($C387="",1,$C387)*IF($Q387&lt;&gt;"",$Q387,IFERROR(INDEX(Products!$D$5:$D$54,MATCH($B387,Products!$A$5:$A$54,0)),0)))</f>
        <v/>
      </c>
      <c r="M387" s="14" t="str">
        <f aca="false">IF($J387="","",$J387-$K387-N($H387)-$L387)</f>
        <v/>
      </c>
      <c r="N387" s="15" t="str">
        <f aca="false">IF($J387="","",IF($J387&gt;0,$M387/$J387,""))</f>
        <v/>
      </c>
      <c r="O387" s="12"/>
      <c r="P387" s="12"/>
      <c r="Q387" s="11"/>
      <c r="R387" s="11"/>
      <c r="S387" s="12"/>
      <c r="T387" s="16" t="str">
        <f aca="false">IF($J387="","",IF($C387="",1,$C387))</f>
        <v/>
      </c>
    </row>
    <row r="388" customFormat="false" ht="15" hidden="false" customHeight="false" outlineLevel="0" collapsed="false">
      <c r="A388" s="7"/>
      <c r="B388" s="8"/>
      <c r="C388" s="9"/>
      <c r="D388" s="10"/>
      <c r="E388" s="11"/>
      <c r="F388" s="11"/>
      <c r="G388" s="8"/>
      <c r="H388" s="11"/>
      <c r="I388" s="12"/>
      <c r="J388" s="13" t="str">
        <f aca="false">IF(OR($A388="",$D388=""),"",IF($C388="",1,$C388)*$D388+N($E388)-N($F388))</f>
        <v/>
      </c>
      <c r="K388" s="13" t="str">
        <f aca="false">IF($J388="","",IF($R388&lt;&gt;"",$R388,IF($G388="",0,MAX(IFERROR(INDEX(Settings!$D$6:$D$15,MATCH($G388,Settings!$A$6:$A$15,0)),0),$J388*IFERROR(INDEX(Settings!$B$6:$B$15,MATCH($G388,Settings!$A$6:$A$15,0)),0)+IFERROR(INDEX(Settings!$C$6:$C$15,MATCH($G388,Settings!$A$6:$A$15,0)),0)))))</f>
        <v/>
      </c>
      <c r="L388" s="13" t="str">
        <f aca="false">IF($J388="","",IF($C388="",1,$C388)*IF($Q388&lt;&gt;"",$Q388,IFERROR(INDEX(Products!$D$5:$D$54,MATCH($B388,Products!$A$5:$A$54,0)),0)))</f>
        <v/>
      </c>
      <c r="M388" s="14" t="str">
        <f aca="false">IF($J388="","",$J388-$K388-N($H388)-$L388)</f>
        <v/>
      </c>
      <c r="N388" s="15" t="str">
        <f aca="false">IF($J388="","",IF($J388&gt;0,$M388/$J388,""))</f>
        <v/>
      </c>
      <c r="O388" s="12"/>
      <c r="P388" s="12"/>
      <c r="Q388" s="11"/>
      <c r="R388" s="11"/>
      <c r="S388" s="12"/>
      <c r="T388" s="16" t="str">
        <f aca="false">IF($J388="","",IF($C388="",1,$C388))</f>
        <v/>
      </c>
    </row>
    <row r="389" customFormat="false" ht="15" hidden="false" customHeight="false" outlineLevel="0" collapsed="false">
      <c r="A389" s="7"/>
      <c r="B389" s="8"/>
      <c r="C389" s="9"/>
      <c r="D389" s="10"/>
      <c r="E389" s="11"/>
      <c r="F389" s="11"/>
      <c r="G389" s="8"/>
      <c r="H389" s="11"/>
      <c r="I389" s="12"/>
      <c r="J389" s="13" t="str">
        <f aca="false">IF(OR($A389="",$D389=""),"",IF($C389="",1,$C389)*$D389+N($E389)-N($F389))</f>
        <v/>
      </c>
      <c r="K389" s="13" t="str">
        <f aca="false">IF($J389="","",IF($R389&lt;&gt;"",$R389,IF($G389="",0,MAX(IFERROR(INDEX(Settings!$D$6:$D$15,MATCH($G389,Settings!$A$6:$A$15,0)),0),$J389*IFERROR(INDEX(Settings!$B$6:$B$15,MATCH($G389,Settings!$A$6:$A$15,0)),0)+IFERROR(INDEX(Settings!$C$6:$C$15,MATCH($G389,Settings!$A$6:$A$15,0)),0)))))</f>
        <v/>
      </c>
      <c r="L389" s="13" t="str">
        <f aca="false">IF($J389="","",IF($C389="",1,$C389)*IF($Q389&lt;&gt;"",$Q389,IFERROR(INDEX(Products!$D$5:$D$54,MATCH($B389,Products!$A$5:$A$54,0)),0)))</f>
        <v/>
      </c>
      <c r="M389" s="14" t="str">
        <f aca="false">IF($J389="","",$J389-$K389-N($H389)-$L389)</f>
        <v/>
      </c>
      <c r="N389" s="15" t="str">
        <f aca="false">IF($J389="","",IF($J389&gt;0,$M389/$J389,""))</f>
        <v/>
      </c>
      <c r="O389" s="12"/>
      <c r="P389" s="12"/>
      <c r="Q389" s="11"/>
      <c r="R389" s="11"/>
      <c r="S389" s="12"/>
      <c r="T389" s="16" t="str">
        <f aca="false">IF($J389="","",IF($C389="",1,$C389))</f>
        <v/>
      </c>
    </row>
    <row r="390" customFormat="false" ht="15" hidden="false" customHeight="false" outlineLevel="0" collapsed="false">
      <c r="A390" s="7"/>
      <c r="B390" s="8"/>
      <c r="C390" s="9"/>
      <c r="D390" s="10"/>
      <c r="E390" s="11"/>
      <c r="F390" s="11"/>
      <c r="G390" s="8"/>
      <c r="H390" s="11"/>
      <c r="I390" s="12"/>
      <c r="J390" s="13" t="str">
        <f aca="false">IF(OR($A390="",$D390=""),"",IF($C390="",1,$C390)*$D390+N($E390)-N($F390))</f>
        <v/>
      </c>
      <c r="K390" s="13" t="str">
        <f aca="false">IF($J390="","",IF($R390&lt;&gt;"",$R390,IF($G390="",0,MAX(IFERROR(INDEX(Settings!$D$6:$D$15,MATCH($G390,Settings!$A$6:$A$15,0)),0),$J390*IFERROR(INDEX(Settings!$B$6:$B$15,MATCH($G390,Settings!$A$6:$A$15,0)),0)+IFERROR(INDEX(Settings!$C$6:$C$15,MATCH($G390,Settings!$A$6:$A$15,0)),0)))))</f>
        <v/>
      </c>
      <c r="L390" s="13" t="str">
        <f aca="false">IF($J390="","",IF($C390="",1,$C390)*IF($Q390&lt;&gt;"",$Q390,IFERROR(INDEX(Products!$D$5:$D$54,MATCH($B390,Products!$A$5:$A$54,0)),0)))</f>
        <v/>
      </c>
      <c r="M390" s="14" t="str">
        <f aca="false">IF($J390="","",$J390-$K390-N($H390)-$L390)</f>
        <v/>
      </c>
      <c r="N390" s="15" t="str">
        <f aca="false">IF($J390="","",IF($J390&gt;0,$M390/$J390,""))</f>
        <v/>
      </c>
      <c r="O390" s="12"/>
      <c r="P390" s="12"/>
      <c r="Q390" s="11"/>
      <c r="R390" s="11"/>
      <c r="S390" s="12"/>
      <c r="T390" s="16" t="str">
        <f aca="false">IF($J390="","",IF($C390="",1,$C390))</f>
        <v/>
      </c>
    </row>
    <row r="391" customFormat="false" ht="15" hidden="false" customHeight="false" outlineLevel="0" collapsed="false">
      <c r="A391" s="7"/>
      <c r="B391" s="8"/>
      <c r="C391" s="9"/>
      <c r="D391" s="10"/>
      <c r="E391" s="11"/>
      <c r="F391" s="11"/>
      <c r="G391" s="8"/>
      <c r="H391" s="11"/>
      <c r="I391" s="12"/>
      <c r="J391" s="13" t="str">
        <f aca="false">IF(OR($A391="",$D391=""),"",IF($C391="",1,$C391)*$D391+N($E391)-N($F391))</f>
        <v/>
      </c>
      <c r="K391" s="13" t="str">
        <f aca="false">IF($J391="","",IF($R391&lt;&gt;"",$R391,IF($G391="",0,MAX(IFERROR(INDEX(Settings!$D$6:$D$15,MATCH($G391,Settings!$A$6:$A$15,0)),0),$J391*IFERROR(INDEX(Settings!$B$6:$B$15,MATCH($G391,Settings!$A$6:$A$15,0)),0)+IFERROR(INDEX(Settings!$C$6:$C$15,MATCH($G391,Settings!$A$6:$A$15,0)),0)))))</f>
        <v/>
      </c>
      <c r="L391" s="13" t="str">
        <f aca="false">IF($J391="","",IF($C391="",1,$C391)*IF($Q391&lt;&gt;"",$Q391,IFERROR(INDEX(Products!$D$5:$D$54,MATCH($B391,Products!$A$5:$A$54,0)),0)))</f>
        <v/>
      </c>
      <c r="M391" s="14" t="str">
        <f aca="false">IF($J391="","",$J391-$K391-N($H391)-$L391)</f>
        <v/>
      </c>
      <c r="N391" s="15" t="str">
        <f aca="false">IF($J391="","",IF($J391&gt;0,$M391/$J391,""))</f>
        <v/>
      </c>
      <c r="O391" s="12"/>
      <c r="P391" s="12"/>
      <c r="Q391" s="11"/>
      <c r="R391" s="11"/>
      <c r="S391" s="12"/>
      <c r="T391" s="16" t="str">
        <f aca="false">IF($J391="","",IF($C391="",1,$C391))</f>
        <v/>
      </c>
    </row>
    <row r="392" customFormat="false" ht="15" hidden="false" customHeight="false" outlineLevel="0" collapsed="false">
      <c r="A392" s="7"/>
      <c r="B392" s="8"/>
      <c r="C392" s="9"/>
      <c r="D392" s="10"/>
      <c r="E392" s="11"/>
      <c r="F392" s="11"/>
      <c r="G392" s="8"/>
      <c r="H392" s="11"/>
      <c r="I392" s="12"/>
      <c r="J392" s="13" t="str">
        <f aca="false">IF(OR($A392="",$D392=""),"",IF($C392="",1,$C392)*$D392+N($E392)-N($F392))</f>
        <v/>
      </c>
      <c r="K392" s="13" t="str">
        <f aca="false">IF($J392="","",IF($R392&lt;&gt;"",$R392,IF($G392="",0,MAX(IFERROR(INDEX(Settings!$D$6:$D$15,MATCH($G392,Settings!$A$6:$A$15,0)),0),$J392*IFERROR(INDEX(Settings!$B$6:$B$15,MATCH($G392,Settings!$A$6:$A$15,0)),0)+IFERROR(INDEX(Settings!$C$6:$C$15,MATCH($G392,Settings!$A$6:$A$15,0)),0)))))</f>
        <v/>
      </c>
      <c r="L392" s="13" t="str">
        <f aca="false">IF($J392="","",IF($C392="",1,$C392)*IF($Q392&lt;&gt;"",$Q392,IFERROR(INDEX(Products!$D$5:$D$54,MATCH($B392,Products!$A$5:$A$54,0)),0)))</f>
        <v/>
      </c>
      <c r="M392" s="14" t="str">
        <f aca="false">IF($J392="","",$J392-$K392-N($H392)-$L392)</f>
        <v/>
      </c>
      <c r="N392" s="15" t="str">
        <f aca="false">IF($J392="","",IF($J392&gt;0,$M392/$J392,""))</f>
        <v/>
      </c>
      <c r="O392" s="12"/>
      <c r="P392" s="12"/>
      <c r="Q392" s="11"/>
      <c r="R392" s="11"/>
      <c r="S392" s="12"/>
      <c r="T392" s="16" t="str">
        <f aca="false">IF($J392="","",IF($C392="",1,$C392))</f>
        <v/>
      </c>
    </row>
    <row r="393" customFormat="false" ht="15" hidden="false" customHeight="false" outlineLevel="0" collapsed="false">
      <c r="A393" s="7"/>
      <c r="B393" s="8"/>
      <c r="C393" s="9"/>
      <c r="D393" s="10"/>
      <c r="E393" s="11"/>
      <c r="F393" s="11"/>
      <c r="G393" s="8"/>
      <c r="H393" s="11"/>
      <c r="I393" s="12"/>
      <c r="J393" s="13" t="str">
        <f aca="false">IF(OR($A393="",$D393=""),"",IF($C393="",1,$C393)*$D393+N($E393)-N($F393))</f>
        <v/>
      </c>
      <c r="K393" s="13" t="str">
        <f aca="false">IF($J393="","",IF($R393&lt;&gt;"",$R393,IF($G393="",0,MAX(IFERROR(INDEX(Settings!$D$6:$D$15,MATCH($G393,Settings!$A$6:$A$15,0)),0),$J393*IFERROR(INDEX(Settings!$B$6:$B$15,MATCH($G393,Settings!$A$6:$A$15,0)),0)+IFERROR(INDEX(Settings!$C$6:$C$15,MATCH($G393,Settings!$A$6:$A$15,0)),0)))))</f>
        <v/>
      </c>
      <c r="L393" s="13" t="str">
        <f aca="false">IF($J393="","",IF($C393="",1,$C393)*IF($Q393&lt;&gt;"",$Q393,IFERROR(INDEX(Products!$D$5:$D$54,MATCH($B393,Products!$A$5:$A$54,0)),0)))</f>
        <v/>
      </c>
      <c r="M393" s="14" t="str">
        <f aca="false">IF($J393="","",$J393-$K393-N($H393)-$L393)</f>
        <v/>
      </c>
      <c r="N393" s="15" t="str">
        <f aca="false">IF($J393="","",IF($J393&gt;0,$M393/$J393,""))</f>
        <v/>
      </c>
      <c r="O393" s="12"/>
      <c r="P393" s="12"/>
      <c r="Q393" s="11"/>
      <c r="R393" s="11"/>
      <c r="S393" s="12"/>
      <c r="T393" s="16" t="str">
        <f aca="false">IF($J393="","",IF($C393="",1,$C393))</f>
        <v/>
      </c>
    </row>
    <row r="394" customFormat="false" ht="15" hidden="false" customHeight="false" outlineLevel="0" collapsed="false">
      <c r="A394" s="7"/>
      <c r="B394" s="8"/>
      <c r="C394" s="9"/>
      <c r="D394" s="10"/>
      <c r="E394" s="11"/>
      <c r="F394" s="11"/>
      <c r="G394" s="8"/>
      <c r="H394" s="11"/>
      <c r="I394" s="12"/>
      <c r="J394" s="13" t="str">
        <f aca="false">IF(OR($A394="",$D394=""),"",IF($C394="",1,$C394)*$D394+N($E394)-N($F394))</f>
        <v/>
      </c>
      <c r="K394" s="13" t="str">
        <f aca="false">IF($J394="","",IF($R394&lt;&gt;"",$R394,IF($G394="",0,MAX(IFERROR(INDEX(Settings!$D$6:$D$15,MATCH($G394,Settings!$A$6:$A$15,0)),0),$J394*IFERROR(INDEX(Settings!$B$6:$B$15,MATCH($G394,Settings!$A$6:$A$15,0)),0)+IFERROR(INDEX(Settings!$C$6:$C$15,MATCH($G394,Settings!$A$6:$A$15,0)),0)))))</f>
        <v/>
      </c>
      <c r="L394" s="13" t="str">
        <f aca="false">IF($J394="","",IF($C394="",1,$C394)*IF($Q394&lt;&gt;"",$Q394,IFERROR(INDEX(Products!$D$5:$D$54,MATCH($B394,Products!$A$5:$A$54,0)),0)))</f>
        <v/>
      </c>
      <c r="M394" s="14" t="str">
        <f aca="false">IF($J394="","",$J394-$K394-N($H394)-$L394)</f>
        <v/>
      </c>
      <c r="N394" s="15" t="str">
        <f aca="false">IF($J394="","",IF($J394&gt;0,$M394/$J394,""))</f>
        <v/>
      </c>
      <c r="O394" s="12"/>
      <c r="P394" s="12"/>
      <c r="Q394" s="11"/>
      <c r="R394" s="11"/>
      <c r="S394" s="12"/>
      <c r="T394" s="16" t="str">
        <f aca="false">IF($J394="","",IF($C394="",1,$C394))</f>
        <v/>
      </c>
    </row>
    <row r="395" customFormat="false" ht="15" hidden="false" customHeight="false" outlineLevel="0" collapsed="false">
      <c r="A395" s="7"/>
      <c r="B395" s="8"/>
      <c r="C395" s="9"/>
      <c r="D395" s="10"/>
      <c r="E395" s="11"/>
      <c r="F395" s="11"/>
      <c r="G395" s="8"/>
      <c r="H395" s="11"/>
      <c r="I395" s="12"/>
      <c r="J395" s="13" t="str">
        <f aca="false">IF(OR($A395="",$D395=""),"",IF($C395="",1,$C395)*$D395+N($E395)-N($F395))</f>
        <v/>
      </c>
      <c r="K395" s="13" t="str">
        <f aca="false">IF($J395="","",IF($R395&lt;&gt;"",$R395,IF($G395="",0,MAX(IFERROR(INDEX(Settings!$D$6:$D$15,MATCH($G395,Settings!$A$6:$A$15,0)),0),$J395*IFERROR(INDEX(Settings!$B$6:$B$15,MATCH($G395,Settings!$A$6:$A$15,0)),0)+IFERROR(INDEX(Settings!$C$6:$C$15,MATCH($G395,Settings!$A$6:$A$15,0)),0)))))</f>
        <v/>
      </c>
      <c r="L395" s="13" t="str">
        <f aca="false">IF($J395="","",IF($C395="",1,$C395)*IF($Q395&lt;&gt;"",$Q395,IFERROR(INDEX(Products!$D$5:$D$54,MATCH($B395,Products!$A$5:$A$54,0)),0)))</f>
        <v/>
      </c>
      <c r="M395" s="14" t="str">
        <f aca="false">IF($J395="","",$J395-$K395-N($H395)-$L395)</f>
        <v/>
      </c>
      <c r="N395" s="15" t="str">
        <f aca="false">IF($J395="","",IF($J395&gt;0,$M395/$J395,""))</f>
        <v/>
      </c>
      <c r="O395" s="12"/>
      <c r="P395" s="12"/>
      <c r="Q395" s="11"/>
      <c r="R395" s="11"/>
      <c r="S395" s="12"/>
      <c r="T395" s="16" t="str">
        <f aca="false">IF($J395="","",IF($C395="",1,$C395))</f>
        <v/>
      </c>
    </row>
    <row r="396" customFormat="false" ht="15" hidden="false" customHeight="false" outlineLevel="0" collapsed="false">
      <c r="A396" s="7"/>
      <c r="B396" s="8"/>
      <c r="C396" s="9"/>
      <c r="D396" s="10"/>
      <c r="E396" s="11"/>
      <c r="F396" s="11"/>
      <c r="G396" s="8"/>
      <c r="H396" s="11"/>
      <c r="I396" s="12"/>
      <c r="J396" s="13" t="str">
        <f aca="false">IF(OR($A396="",$D396=""),"",IF($C396="",1,$C396)*$D396+N($E396)-N($F396))</f>
        <v/>
      </c>
      <c r="K396" s="13" t="str">
        <f aca="false">IF($J396="","",IF($R396&lt;&gt;"",$R396,IF($G396="",0,MAX(IFERROR(INDEX(Settings!$D$6:$D$15,MATCH($G396,Settings!$A$6:$A$15,0)),0),$J396*IFERROR(INDEX(Settings!$B$6:$B$15,MATCH($G396,Settings!$A$6:$A$15,0)),0)+IFERROR(INDEX(Settings!$C$6:$C$15,MATCH($G396,Settings!$A$6:$A$15,0)),0)))))</f>
        <v/>
      </c>
      <c r="L396" s="13" t="str">
        <f aca="false">IF($J396="","",IF($C396="",1,$C396)*IF($Q396&lt;&gt;"",$Q396,IFERROR(INDEX(Products!$D$5:$D$54,MATCH($B396,Products!$A$5:$A$54,0)),0)))</f>
        <v/>
      </c>
      <c r="M396" s="14" t="str">
        <f aca="false">IF($J396="","",$J396-$K396-N($H396)-$L396)</f>
        <v/>
      </c>
      <c r="N396" s="15" t="str">
        <f aca="false">IF($J396="","",IF($J396&gt;0,$M396/$J396,""))</f>
        <v/>
      </c>
      <c r="O396" s="12"/>
      <c r="P396" s="12"/>
      <c r="Q396" s="11"/>
      <c r="R396" s="11"/>
      <c r="S396" s="12"/>
      <c r="T396" s="16" t="str">
        <f aca="false">IF($J396="","",IF($C396="",1,$C396))</f>
        <v/>
      </c>
    </row>
    <row r="397" customFormat="false" ht="15" hidden="false" customHeight="false" outlineLevel="0" collapsed="false">
      <c r="A397" s="7"/>
      <c r="B397" s="8"/>
      <c r="C397" s="9"/>
      <c r="D397" s="10"/>
      <c r="E397" s="11"/>
      <c r="F397" s="11"/>
      <c r="G397" s="8"/>
      <c r="H397" s="11"/>
      <c r="I397" s="12"/>
      <c r="J397" s="13" t="str">
        <f aca="false">IF(OR($A397="",$D397=""),"",IF($C397="",1,$C397)*$D397+N($E397)-N($F397))</f>
        <v/>
      </c>
      <c r="K397" s="13" t="str">
        <f aca="false">IF($J397="","",IF($R397&lt;&gt;"",$R397,IF($G397="",0,MAX(IFERROR(INDEX(Settings!$D$6:$D$15,MATCH($G397,Settings!$A$6:$A$15,0)),0),$J397*IFERROR(INDEX(Settings!$B$6:$B$15,MATCH($G397,Settings!$A$6:$A$15,0)),0)+IFERROR(INDEX(Settings!$C$6:$C$15,MATCH($G397,Settings!$A$6:$A$15,0)),0)))))</f>
        <v/>
      </c>
      <c r="L397" s="13" t="str">
        <f aca="false">IF($J397="","",IF($C397="",1,$C397)*IF($Q397&lt;&gt;"",$Q397,IFERROR(INDEX(Products!$D$5:$D$54,MATCH($B397,Products!$A$5:$A$54,0)),0)))</f>
        <v/>
      </c>
      <c r="M397" s="14" t="str">
        <f aca="false">IF($J397="","",$J397-$K397-N($H397)-$L397)</f>
        <v/>
      </c>
      <c r="N397" s="15" t="str">
        <f aca="false">IF($J397="","",IF($J397&gt;0,$M397/$J397,""))</f>
        <v/>
      </c>
      <c r="O397" s="12"/>
      <c r="P397" s="12"/>
      <c r="Q397" s="11"/>
      <c r="R397" s="11"/>
      <c r="S397" s="12"/>
      <c r="T397" s="16" t="str">
        <f aca="false">IF($J397="","",IF($C397="",1,$C397))</f>
        <v/>
      </c>
    </row>
    <row r="398" customFormat="false" ht="15" hidden="false" customHeight="false" outlineLevel="0" collapsed="false">
      <c r="A398" s="7"/>
      <c r="B398" s="8"/>
      <c r="C398" s="9"/>
      <c r="D398" s="10"/>
      <c r="E398" s="11"/>
      <c r="F398" s="11"/>
      <c r="G398" s="8"/>
      <c r="H398" s="11"/>
      <c r="I398" s="12"/>
      <c r="J398" s="13" t="str">
        <f aca="false">IF(OR($A398="",$D398=""),"",IF($C398="",1,$C398)*$D398+N($E398)-N($F398))</f>
        <v/>
      </c>
      <c r="K398" s="13" t="str">
        <f aca="false">IF($J398="","",IF($R398&lt;&gt;"",$R398,IF($G398="",0,MAX(IFERROR(INDEX(Settings!$D$6:$D$15,MATCH($G398,Settings!$A$6:$A$15,0)),0),$J398*IFERROR(INDEX(Settings!$B$6:$B$15,MATCH($G398,Settings!$A$6:$A$15,0)),0)+IFERROR(INDEX(Settings!$C$6:$C$15,MATCH($G398,Settings!$A$6:$A$15,0)),0)))))</f>
        <v/>
      </c>
      <c r="L398" s="13" t="str">
        <f aca="false">IF($J398="","",IF($C398="",1,$C398)*IF($Q398&lt;&gt;"",$Q398,IFERROR(INDEX(Products!$D$5:$D$54,MATCH($B398,Products!$A$5:$A$54,0)),0)))</f>
        <v/>
      </c>
      <c r="M398" s="14" t="str">
        <f aca="false">IF($J398="","",$J398-$K398-N($H398)-$L398)</f>
        <v/>
      </c>
      <c r="N398" s="15" t="str">
        <f aca="false">IF($J398="","",IF($J398&gt;0,$M398/$J398,""))</f>
        <v/>
      </c>
      <c r="O398" s="12"/>
      <c r="P398" s="12"/>
      <c r="Q398" s="11"/>
      <c r="R398" s="11"/>
      <c r="S398" s="12"/>
      <c r="T398" s="16" t="str">
        <f aca="false">IF($J398="","",IF($C398="",1,$C398))</f>
        <v/>
      </c>
    </row>
    <row r="399" customFormat="false" ht="15" hidden="false" customHeight="false" outlineLevel="0" collapsed="false">
      <c r="A399" s="7"/>
      <c r="B399" s="8"/>
      <c r="C399" s="9"/>
      <c r="D399" s="10"/>
      <c r="E399" s="11"/>
      <c r="F399" s="11"/>
      <c r="G399" s="8"/>
      <c r="H399" s="11"/>
      <c r="I399" s="12"/>
      <c r="J399" s="13" t="str">
        <f aca="false">IF(OR($A399="",$D399=""),"",IF($C399="",1,$C399)*$D399+N($E399)-N($F399))</f>
        <v/>
      </c>
      <c r="K399" s="13" t="str">
        <f aca="false">IF($J399="","",IF($R399&lt;&gt;"",$R399,IF($G399="",0,MAX(IFERROR(INDEX(Settings!$D$6:$D$15,MATCH($G399,Settings!$A$6:$A$15,0)),0),$J399*IFERROR(INDEX(Settings!$B$6:$B$15,MATCH($G399,Settings!$A$6:$A$15,0)),0)+IFERROR(INDEX(Settings!$C$6:$C$15,MATCH($G399,Settings!$A$6:$A$15,0)),0)))))</f>
        <v/>
      </c>
      <c r="L399" s="13" t="str">
        <f aca="false">IF($J399="","",IF($C399="",1,$C399)*IF($Q399&lt;&gt;"",$Q399,IFERROR(INDEX(Products!$D$5:$D$54,MATCH($B399,Products!$A$5:$A$54,0)),0)))</f>
        <v/>
      </c>
      <c r="M399" s="14" t="str">
        <f aca="false">IF($J399="","",$J399-$K399-N($H399)-$L399)</f>
        <v/>
      </c>
      <c r="N399" s="15" t="str">
        <f aca="false">IF($J399="","",IF($J399&gt;0,$M399/$J399,""))</f>
        <v/>
      </c>
      <c r="O399" s="12"/>
      <c r="P399" s="12"/>
      <c r="Q399" s="11"/>
      <c r="R399" s="11"/>
      <c r="S399" s="12"/>
      <c r="T399" s="16" t="str">
        <f aca="false">IF($J399="","",IF($C399="",1,$C399))</f>
        <v/>
      </c>
    </row>
    <row r="400" customFormat="false" ht="15" hidden="false" customHeight="false" outlineLevel="0" collapsed="false">
      <c r="A400" s="7"/>
      <c r="B400" s="8"/>
      <c r="C400" s="9"/>
      <c r="D400" s="10"/>
      <c r="E400" s="11"/>
      <c r="F400" s="11"/>
      <c r="G400" s="8"/>
      <c r="H400" s="11"/>
      <c r="I400" s="12"/>
      <c r="J400" s="13" t="str">
        <f aca="false">IF(OR($A400="",$D400=""),"",IF($C400="",1,$C400)*$D400+N($E400)-N($F400))</f>
        <v/>
      </c>
      <c r="K400" s="13" t="str">
        <f aca="false">IF($J400="","",IF($R400&lt;&gt;"",$R400,IF($G400="",0,MAX(IFERROR(INDEX(Settings!$D$6:$D$15,MATCH($G400,Settings!$A$6:$A$15,0)),0),$J400*IFERROR(INDEX(Settings!$B$6:$B$15,MATCH($G400,Settings!$A$6:$A$15,0)),0)+IFERROR(INDEX(Settings!$C$6:$C$15,MATCH($G400,Settings!$A$6:$A$15,0)),0)))))</f>
        <v/>
      </c>
      <c r="L400" s="13" t="str">
        <f aca="false">IF($J400="","",IF($C400="",1,$C400)*IF($Q400&lt;&gt;"",$Q400,IFERROR(INDEX(Products!$D$5:$D$54,MATCH($B400,Products!$A$5:$A$54,0)),0)))</f>
        <v/>
      </c>
      <c r="M400" s="14" t="str">
        <f aca="false">IF($J400="","",$J400-$K400-N($H400)-$L400)</f>
        <v/>
      </c>
      <c r="N400" s="15" t="str">
        <f aca="false">IF($J400="","",IF($J400&gt;0,$M400/$J400,""))</f>
        <v/>
      </c>
      <c r="O400" s="12"/>
      <c r="P400" s="12"/>
      <c r="Q400" s="11"/>
      <c r="R400" s="11"/>
      <c r="S400" s="12"/>
      <c r="T400" s="16" t="str">
        <f aca="false">IF($J400="","",IF($C400="",1,$C400))</f>
        <v/>
      </c>
    </row>
    <row r="401" customFormat="false" ht="15" hidden="false" customHeight="false" outlineLevel="0" collapsed="false">
      <c r="A401" s="7"/>
      <c r="B401" s="8"/>
      <c r="C401" s="9"/>
      <c r="D401" s="10"/>
      <c r="E401" s="11"/>
      <c r="F401" s="11"/>
      <c r="G401" s="8"/>
      <c r="H401" s="11"/>
      <c r="I401" s="12"/>
      <c r="J401" s="13" t="str">
        <f aca="false">IF(OR($A401="",$D401=""),"",IF($C401="",1,$C401)*$D401+N($E401)-N($F401))</f>
        <v/>
      </c>
      <c r="K401" s="13" t="str">
        <f aca="false">IF($J401="","",IF($R401&lt;&gt;"",$R401,IF($G401="",0,MAX(IFERROR(INDEX(Settings!$D$6:$D$15,MATCH($G401,Settings!$A$6:$A$15,0)),0),$J401*IFERROR(INDEX(Settings!$B$6:$B$15,MATCH($G401,Settings!$A$6:$A$15,0)),0)+IFERROR(INDEX(Settings!$C$6:$C$15,MATCH($G401,Settings!$A$6:$A$15,0)),0)))))</f>
        <v/>
      </c>
      <c r="L401" s="13" t="str">
        <f aca="false">IF($J401="","",IF($C401="",1,$C401)*IF($Q401&lt;&gt;"",$Q401,IFERROR(INDEX(Products!$D$5:$D$54,MATCH($B401,Products!$A$5:$A$54,0)),0)))</f>
        <v/>
      </c>
      <c r="M401" s="14" t="str">
        <f aca="false">IF($J401="","",$J401-$K401-N($H401)-$L401)</f>
        <v/>
      </c>
      <c r="N401" s="15" t="str">
        <f aca="false">IF($J401="","",IF($J401&gt;0,$M401/$J401,""))</f>
        <v/>
      </c>
      <c r="O401" s="12"/>
      <c r="P401" s="12"/>
      <c r="Q401" s="11"/>
      <c r="R401" s="11"/>
      <c r="S401" s="12"/>
      <c r="T401" s="16" t="str">
        <f aca="false">IF($J401="","",IF($C401="",1,$C401))</f>
        <v/>
      </c>
    </row>
    <row r="402" customFormat="false" ht="15" hidden="false" customHeight="false" outlineLevel="0" collapsed="false">
      <c r="A402" s="7"/>
      <c r="B402" s="8"/>
      <c r="C402" s="9"/>
      <c r="D402" s="10"/>
      <c r="E402" s="11"/>
      <c r="F402" s="11"/>
      <c r="G402" s="8"/>
      <c r="H402" s="11"/>
      <c r="I402" s="12"/>
      <c r="J402" s="13" t="str">
        <f aca="false">IF(OR($A402="",$D402=""),"",IF($C402="",1,$C402)*$D402+N($E402)-N($F402))</f>
        <v/>
      </c>
      <c r="K402" s="13" t="str">
        <f aca="false">IF($J402="","",IF($R402&lt;&gt;"",$R402,IF($G402="",0,MAX(IFERROR(INDEX(Settings!$D$6:$D$15,MATCH($G402,Settings!$A$6:$A$15,0)),0),$J402*IFERROR(INDEX(Settings!$B$6:$B$15,MATCH($G402,Settings!$A$6:$A$15,0)),0)+IFERROR(INDEX(Settings!$C$6:$C$15,MATCH($G402,Settings!$A$6:$A$15,0)),0)))))</f>
        <v/>
      </c>
      <c r="L402" s="13" t="str">
        <f aca="false">IF($J402="","",IF($C402="",1,$C402)*IF($Q402&lt;&gt;"",$Q402,IFERROR(INDEX(Products!$D$5:$D$54,MATCH($B402,Products!$A$5:$A$54,0)),0)))</f>
        <v/>
      </c>
      <c r="M402" s="14" t="str">
        <f aca="false">IF($J402="","",$J402-$K402-N($H402)-$L402)</f>
        <v/>
      </c>
      <c r="N402" s="15" t="str">
        <f aca="false">IF($J402="","",IF($J402&gt;0,$M402/$J402,""))</f>
        <v/>
      </c>
      <c r="O402" s="12"/>
      <c r="P402" s="12"/>
      <c r="Q402" s="11"/>
      <c r="R402" s="11"/>
      <c r="S402" s="12"/>
      <c r="T402" s="16" t="str">
        <f aca="false">IF($J402="","",IF($C402="",1,$C402))</f>
        <v/>
      </c>
    </row>
    <row r="403" customFormat="false" ht="15" hidden="false" customHeight="false" outlineLevel="0" collapsed="false">
      <c r="A403" s="7"/>
      <c r="B403" s="8"/>
      <c r="C403" s="9"/>
      <c r="D403" s="10"/>
      <c r="E403" s="11"/>
      <c r="F403" s="11"/>
      <c r="G403" s="8"/>
      <c r="H403" s="11"/>
      <c r="I403" s="12"/>
      <c r="J403" s="13" t="str">
        <f aca="false">IF(OR($A403="",$D403=""),"",IF($C403="",1,$C403)*$D403+N($E403)-N($F403))</f>
        <v/>
      </c>
      <c r="K403" s="13" t="str">
        <f aca="false">IF($J403="","",IF($R403&lt;&gt;"",$R403,IF($G403="",0,MAX(IFERROR(INDEX(Settings!$D$6:$D$15,MATCH($G403,Settings!$A$6:$A$15,0)),0),$J403*IFERROR(INDEX(Settings!$B$6:$B$15,MATCH($G403,Settings!$A$6:$A$15,0)),0)+IFERROR(INDEX(Settings!$C$6:$C$15,MATCH($G403,Settings!$A$6:$A$15,0)),0)))))</f>
        <v/>
      </c>
      <c r="L403" s="13" t="str">
        <f aca="false">IF($J403="","",IF($C403="",1,$C403)*IF($Q403&lt;&gt;"",$Q403,IFERROR(INDEX(Products!$D$5:$D$54,MATCH($B403,Products!$A$5:$A$54,0)),0)))</f>
        <v/>
      </c>
      <c r="M403" s="14" t="str">
        <f aca="false">IF($J403="","",$J403-$K403-N($H403)-$L403)</f>
        <v/>
      </c>
      <c r="N403" s="15" t="str">
        <f aca="false">IF($J403="","",IF($J403&gt;0,$M403/$J403,""))</f>
        <v/>
      </c>
      <c r="O403" s="12"/>
      <c r="P403" s="12"/>
      <c r="Q403" s="11"/>
      <c r="R403" s="11"/>
      <c r="S403" s="12"/>
      <c r="T403" s="16" t="str">
        <f aca="false">IF($J403="","",IF($C403="",1,$C403))</f>
        <v/>
      </c>
    </row>
    <row r="404" customFormat="false" ht="15" hidden="false" customHeight="false" outlineLevel="0" collapsed="false">
      <c r="A404" s="7"/>
      <c r="B404" s="8"/>
      <c r="C404" s="9"/>
      <c r="D404" s="10"/>
      <c r="E404" s="11"/>
      <c r="F404" s="11"/>
      <c r="G404" s="8"/>
      <c r="H404" s="11"/>
      <c r="I404" s="12"/>
      <c r="J404" s="13" t="str">
        <f aca="false">IF(OR($A404="",$D404=""),"",IF($C404="",1,$C404)*$D404+N($E404)-N($F404))</f>
        <v/>
      </c>
      <c r="K404" s="13" t="str">
        <f aca="false">IF($J404="","",IF($R404&lt;&gt;"",$R404,IF($G404="",0,MAX(IFERROR(INDEX(Settings!$D$6:$D$15,MATCH($G404,Settings!$A$6:$A$15,0)),0),$J404*IFERROR(INDEX(Settings!$B$6:$B$15,MATCH($G404,Settings!$A$6:$A$15,0)),0)+IFERROR(INDEX(Settings!$C$6:$C$15,MATCH($G404,Settings!$A$6:$A$15,0)),0)))))</f>
        <v/>
      </c>
      <c r="L404" s="13" t="str">
        <f aca="false">IF($J404="","",IF($C404="",1,$C404)*IF($Q404&lt;&gt;"",$Q404,IFERROR(INDEX(Products!$D$5:$D$54,MATCH($B404,Products!$A$5:$A$54,0)),0)))</f>
        <v/>
      </c>
      <c r="M404" s="14" t="str">
        <f aca="false">IF($J404="","",$J404-$K404-N($H404)-$L404)</f>
        <v/>
      </c>
      <c r="N404" s="15" t="str">
        <f aca="false">IF($J404="","",IF($J404&gt;0,$M404/$J404,""))</f>
        <v/>
      </c>
      <c r="O404" s="12"/>
      <c r="P404" s="12"/>
      <c r="Q404" s="11"/>
      <c r="R404" s="11"/>
      <c r="S404" s="12"/>
      <c r="T404" s="16" t="str">
        <f aca="false">IF($J404="","",IF($C404="",1,$C404))</f>
        <v/>
      </c>
    </row>
    <row r="405" customFormat="false" ht="15" hidden="false" customHeight="false" outlineLevel="0" collapsed="false">
      <c r="A405" s="7"/>
      <c r="B405" s="8"/>
      <c r="C405" s="9"/>
      <c r="D405" s="10"/>
      <c r="E405" s="11"/>
      <c r="F405" s="11"/>
      <c r="G405" s="8"/>
      <c r="H405" s="11"/>
      <c r="I405" s="12"/>
      <c r="J405" s="13" t="str">
        <f aca="false">IF(OR($A405="",$D405=""),"",IF($C405="",1,$C405)*$D405+N($E405)-N($F405))</f>
        <v/>
      </c>
      <c r="K405" s="13" t="str">
        <f aca="false">IF($J405="","",IF($R405&lt;&gt;"",$R405,IF($G405="",0,MAX(IFERROR(INDEX(Settings!$D$6:$D$15,MATCH($G405,Settings!$A$6:$A$15,0)),0),$J405*IFERROR(INDEX(Settings!$B$6:$B$15,MATCH($G405,Settings!$A$6:$A$15,0)),0)+IFERROR(INDEX(Settings!$C$6:$C$15,MATCH($G405,Settings!$A$6:$A$15,0)),0)))))</f>
        <v/>
      </c>
      <c r="L405" s="13" t="str">
        <f aca="false">IF($J405="","",IF($C405="",1,$C405)*IF($Q405&lt;&gt;"",$Q405,IFERROR(INDEX(Products!$D$5:$D$54,MATCH($B405,Products!$A$5:$A$54,0)),0)))</f>
        <v/>
      </c>
      <c r="M405" s="14" t="str">
        <f aca="false">IF($J405="","",$J405-$K405-N($H405)-$L405)</f>
        <v/>
      </c>
      <c r="N405" s="15" t="str">
        <f aca="false">IF($J405="","",IF($J405&gt;0,$M405/$J405,""))</f>
        <v/>
      </c>
      <c r="O405" s="12"/>
      <c r="P405" s="12"/>
      <c r="Q405" s="11"/>
      <c r="R405" s="11"/>
      <c r="S405" s="12"/>
      <c r="T405" s="16" t="str">
        <f aca="false">IF($J405="","",IF($C405="",1,$C405))</f>
        <v/>
      </c>
    </row>
    <row r="406" customFormat="false" ht="15" hidden="false" customHeight="false" outlineLevel="0" collapsed="false">
      <c r="A406" s="7"/>
      <c r="B406" s="8"/>
      <c r="C406" s="9"/>
      <c r="D406" s="10"/>
      <c r="E406" s="11"/>
      <c r="F406" s="11"/>
      <c r="G406" s="8"/>
      <c r="H406" s="11"/>
      <c r="I406" s="12"/>
      <c r="J406" s="13" t="str">
        <f aca="false">IF(OR($A406="",$D406=""),"",IF($C406="",1,$C406)*$D406+N($E406)-N($F406))</f>
        <v/>
      </c>
      <c r="K406" s="13" t="str">
        <f aca="false">IF($J406="","",IF($R406&lt;&gt;"",$R406,IF($G406="",0,MAX(IFERROR(INDEX(Settings!$D$6:$D$15,MATCH($G406,Settings!$A$6:$A$15,0)),0),$J406*IFERROR(INDEX(Settings!$B$6:$B$15,MATCH($G406,Settings!$A$6:$A$15,0)),0)+IFERROR(INDEX(Settings!$C$6:$C$15,MATCH($G406,Settings!$A$6:$A$15,0)),0)))))</f>
        <v/>
      </c>
      <c r="L406" s="13" t="str">
        <f aca="false">IF($J406="","",IF($C406="",1,$C406)*IF($Q406&lt;&gt;"",$Q406,IFERROR(INDEX(Products!$D$5:$D$54,MATCH($B406,Products!$A$5:$A$54,0)),0)))</f>
        <v/>
      </c>
      <c r="M406" s="14" t="str">
        <f aca="false">IF($J406="","",$J406-$K406-N($H406)-$L406)</f>
        <v/>
      </c>
      <c r="N406" s="15" t="str">
        <f aca="false">IF($J406="","",IF($J406&gt;0,$M406/$J406,""))</f>
        <v/>
      </c>
      <c r="O406" s="12"/>
      <c r="P406" s="12"/>
      <c r="Q406" s="11"/>
      <c r="R406" s="11"/>
      <c r="S406" s="12"/>
      <c r="T406" s="16" t="str">
        <f aca="false">IF($J406="","",IF($C406="",1,$C406))</f>
        <v/>
      </c>
    </row>
    <row r="407" customFormat="false" ht="15" hidden="false" customHeight="false" outlineLevel="0" collapsed="false">
      <c r="A407" s="7"/>
      <c r="B407" s="8"/>
      <c r="C407" s="9"/>
      <c r="D407" s="10"/>
      <c r="E407" s="11"/>
      <c r="F407" s="11"/>
      <c r="G407" s="8"/>
      <c r="H407" s="11"/>
      <c r="I407" s="12"/>
      <c r="J407" s="13" t="str">
        <f aca="false">IF(OR($A407="",$D407=""),"",IF($C407="",1,$C407)*$D407+N($E407)-N($F407))</f>
        <v/>
      </c>
      <c r="K407" s="13" t="str">
        <f aca="false">IF($J407="","",IF($R407&lt;&gt;"",$R407,IF($G407="",0,MAX(IFERROR(INDEX(Settings!$D$6:$D$15,MATCH($G407,Settings!$A$6:$A$15,0)),0),$J407*IFERROR(INDEX(Settings!$B$6:$B$15,MATCH($G407,Settings!$A$6:$A$15,0)),0)+IFERROR(INDEX(Settings!$C$6:$C$15,MATCH($G407,Settings!$A$6:$A$15,0)),0)))))</f>
        <v/>
      </c>
      <c r="L407" s="13" t="str">
        <f aca="false">IF($J407="","",IF($C407="",1,$C407)*IF($Q407&lt;&gt;"",$Q407,IFERROR(INDEX(Products!$D$5:$D$54,MATCH($B407,Products!$A$5:$A$54,0)),0)))</f>
        <v/>
      </c>
      <c r="M407" s="14" t="str">
        <f aca="false">IF($J407="","",$J407-$K407-N($H407)-$L407)</f>
        <v/>
      </c>
      <c r="N407" s="15" t="str">
        <f aca="false">IF($J407="","",IF($J407&gt;0,$M407/$J407,""))</f>
        <v/>
      </c>
      <c r="O407" s="12"/>
      <c r="P407" s="12"/>
      <c r="Q407" s="11"/>
      <c r="R407" s="11"/>
      <c r="S407" s="12"/>
      <c r="T407" s="16" t="str">
        <f aca="false">IF($J407="","",IF($C407="",1,$C407))</f>
        <v/>
      </c>
    </row>
    <row r="408" customFormat="false" ht="15" hidden="false" customHeight="false" outlineLevel="0" collapsed="false">
      <c r="A408" s="7"/>
      <c r="B408" s="8"/>
      <c r="C408" s="9"/>
      <c r="D408" s="10"/>
      <c r="E408" s="11"/>
      <c r="F408" s="11"/>
      <c r="G408" s="8"/>
      <c r="H408" s="11"/>
      <c r="I408" s="12"/>
      <c r="J408" s="13" t="str">
        <f aca="false">IF(OR($A408="",$D408=""),"",IF($C408="",1,$C408)*$D408+N($E408)-N($F408))</f>
        <v/>
      </c>
      <c r="K408" s="13" t="str">
        <f aca="false">IF($J408="","",IF($R408&lt;&gt;"",$R408,IF($G408="",0,MAX(IFERROR(INDEX(Settings!$D$6:$D$15,MATCH($G408,Settings!$A$6:$A$15,0)),0),$J408*IFERROR(INDEX(Settings!$B$6:$B$15,MATCH($G408,Settings!$A$6:$A$15,0)),0)+IFERROR(INDEX(Settings!$C$6:$C$15,MATCH($G408,Settings!$A$6:$A$15,0)),0)))))</f>
        <v/>
      </c>
      <c r="L408" s="13" t="str">
        <f aca="false">IF($J408="","",IF($C408="",1,$C408)*IF($Q408&lt;&gt;"",$Q408,IFERROR(INDEX(Products!$D$5:$D$54,MATCH($B408,Products!$A$5:$A$54,0)),0)))</f>
        <v/>
      </c>
      <c r="M408" s="14" t="str">
        <f aca="false">IF($J408="","",$J408-$K408-N($H408)-$L408)</f>
        <v/>
      </c>
      <c r="N408" s="15" t="str">
        <f aca="false">IF($J408="","",IF($J408&gt;0,$M408/$J408,""))</f>
        <v/>
      </c>
      <c r="O408" s="12"/>
      <c r="P408" s="12"/>
      <c r="Q408" s="11"/>
      <c r="R408" s="11"/>
      <c r="S408" s="12"/>
      <c r="T408" s="16" t="str">
        <f aca="false">IF($J408="","",IF($C408="",1,$C408))</f>
        <v/>
      </c>
    </row>
    <row r="409" customFormat="false" ht="15" hidden="false" customHeight="false" outlineLevel="0" collapsed="false">
      <c r="A409" s="7"/>
      <c r="B409" s="8"/>
      <c r="C409" s="9"/>
      <c r="D409" s="10"/>
      <c r="E409" s="11"/>
      <c r="F409" s="11"/>
      <c r="G409" s="8"/>
      <c r="H409" s="11"/>
      <c r="I409" s="12"/>
      <c r="J409" s="13" t="str">
        <f aca="false">IF(OR($A409="",$D409=""),"",IF($C409="",1,$C409)*$D409+N($E409)-N($F409))</f>
        <v/>
      </c>
      <c r="K409" s="13" t="str">
        <f aca="false">IF($J409="","",IF($R409&lt;&gt;"",$R409,IF($G409="",0,MAX(IFERROR(INDEX(Settings!$D$6:$D$15,MATCH($G409,Settings!$A$6:$A$15,0)),0),$J409*IFERROR(INDEX(Settings!$B$6:$B$15,MATCH($G409,Settings!$A$6:$A$15,0)),0)+IFERROR(INDEX(Settings!$C$6:$C$15,MATCH($G409,Settings!$A$6:$A$15,0)),0)))))</f>
        <v/>
      </c>
      <c r="L409" s="13" t="str">
        <f aca="false">IF($J409="","",IF($C409="",1,$C409)*IF($Q409&lt;&gt;"",$Q409,IFERROR(INDEX(Products!$D$5:$D$54,MATCH($B409,Products!$A$5:$A$54,0)),0)))</f>
        <v/>
      </c>
      <c r="M409" s="14" t="str">
        <f aca="false">IF($J409="","",$J409-$K409-N($H409)-$L409)</f>
        <v/>
      </c>
      <c r="N409" s="15" t="str">
        <f aca="false">IF($J409="","",IF($J409&gt;0,$M409/$J409,""))</f>
        <v/>
      </c>
      <c r="O409" s="12"/>
      <c r="P409" s="12"/>
      <c r="Q409" s="11"/>
      <c r="R409" s="11"/>
      <c r="S409" s="12"/>
      <c r="T409" s="16" t="str">
        <f aca="false">IF($J409="","",IF($C409="",1,$C409))</f>
        <v/>
      </c>
    </row>
    <row r="410" customFormat="false" ht="15" hidden="false" customHeight="false" outlineLevel="0" collapsed="false">
      <c r="A410" s="7"/>
      <c r="B410" s="8"/>
      <c r="C410" s="9"/>
      <c r="D410" s="10"/>
      <c r="E410" s="11"/>
      <c r="F410" s="11"/>
      <c r="G410" s="8"/>
      <c r="H410" s="11"/>
      <c r="I410" s="12"/>
      <c r="J410" s="13" t="str">
        <f aca="false">IF(OR($A410="",$D410=""),"",IF($C410="",1,$C410)*$D410+N($E410)-N($F410))</f>
        <v/>
      </c>
      <c r="K410" s="13" t="str">
        <f aca="false">IF($J410="","",IF($R410&lt;&gt;"",$R410,IF($G410="",0,MAX(IFERROR(INDEX(Settings!$D$6:$D$15,MATCH($G410,Settings!$A$6:$A$15,0)),0),$J410*IFERROR(INDEX(Settings!$B$6:$B$15,MATCH($G410,Settings!$A$6:$A$15,0)),0)+IFERROR(INDEX(Settings!$C$6:$C$15,MATCH($G410,Settings!$A$6:$A$15,0)),0)))))</f>
        <v/>
      </c>
      <c r="L410" s="13" t="str">
        <f aca="false">IF($J410="","",IF($C410="",1,$C410)*IF($Q410&lt;&gt;"",$Q410,IFERROR(INDEX(Products!$D$5:$D$54,MATCH($B410,Products!$A$5:$A$54,0)),0)))</f>
        <v/>
      </c>
      <c r="M410" s="14" t="str">
        <f aca="false">IF($J410="","",$J410-$K410-N($H410)-$L410)</f>
        <v/>
      </c>
      <c r="N410" s="15" t="str">
        <f aca="false">IF($J410="","",IF($J410&gt;0,$M410/$J410,""))</f>
        <v/>
      </c>
      <c r="O410" s="12"/>
      <c r="P410" s="12"/>
      <c r="Q410" s="11"/>
      <c r="R410" s="11"/>
      <c r="S410" s="12"/>
      <c r="T410" s="16" t="str">
        <f aca="false">IF($J410="","",IF($C410="",1,$C410))</f>
        <v/>
      </c>
    </row>
    <row r="411" customFormat="false" ht="15" hidden="false" customHeight="false" outlineLevel="0" collapsed="false">
      <c r="A411" s="7"/>
      <c r="B411" s="8"/>
      <c r="C411" s="9"/>
      <c r="D411" s="10"/>
      <c r="E411" s="11"/>
      <c r="F411" s="11"/>
      <c r="G411" s="8"/>
      <c r="H411" s="11"/>
      <c r="I411" s="12"/>
      <c r="J411" s="13" t="str">
        <f aca="false">IF(OR($A411="",$D411=""),"",IF($C411="",1,$C411)*$D411+N($E411)-N($F411))</f>
        <v/>
      </c>
      <c r="K411" s="13" t="str">
        <f aca="false">IF($J411="","",IF($R411&lt;&gt;"",$R411,IF($G411="",0,MAX(IFERROR(INDEX(Settings!$D$6:$D$15,MATCH($G411,Settings!$A$6:$A$15,0)),0),$J411*IFERROR(INDEX(Settings!$B$6:$B$15,MATCH($G411,Settings!$A$6:$A$15,0)),0)+IFERROR(INDEX(Settings!$C$6:$C$15,MATCH($G411,Settings!$A$6:$A$15,0)),0)))))</f>
        <v/>
      </c>
      <c r="L411" s="13" t="str">
        <f aca="false">IF($J411="","",IF($C411="",1,$C411)*IF($Q411&lt;&gt;"",$Q411,IFERROR(INDEX(Products!$D$5:$D$54,MATCH($B411,Products!$A$5:$A$54,0)),0)))</f>
        <v/>
      </c>
      <c r="M411" s="14" t="str">
        <f aca="false">IF($J411="","",$J411-$K411-N($H411)-$L411)</f>
        <v/>
      </c>
      <c r="N411" s="15" t="str">
        <f aca="false">IF($J411="","",IF($J411&gt;0,$M411/$J411,""))</f>
        <v/>
      </c>
      <c r="O411" s="12"/>
      <c r="P411" s="12"/>
      <c r="Q411" s="11"/>
      <c r="R411" s="11"/>
      <c r="S411" s="12"/>
      <c r="T411" s="16" t="str">
        <f aca="false">IF($J411="","",IF($C411="",1,$C411))</f>
        <v/>
      </c>
    </row>
    <row r="412" customFormat="false" ht="15" hidden="false" customHeight="false" outlineLevel="0" collapsed="false">
      <c r="A412" s="7"/>
      <c r="B412" s="8"/>
      <c r="C412" s="9"/>
      <c r="D412" s="10"/>
      <c r="E412" s="11"/>
      <c r="F412" s="11"/>
      <c r="G412" s="8"/>
      <c r="H412" s="11"/>
      <c r="I412" s="12"/>
      <c r="J412" s="13" t="str">
        <f aca="false">IF(OR($A412="",$D412=""),"",IF($C412="",1,$C412)*$D412+N($E412)-N($F412))</f>
        <v/>
      </c>
      <c r="K412" s="13" t="str">
        <f aca="false">IF($J412="","",IF($R412&lt;&gt;"",$R412,IF($G412="",0,MAX(IFERROR(INDEX(Settings!$D$6:$D$15,MATCH($G412,Settings!$A$6:$A$15,0)),0),$J412*IFERROR(INDEX(Settings!$B$6:$B$15,MATCH($G412,Settings!$A$6:$A$15,0)),0)+IFERROR(INDEX(Settings!$C$6:$C$15,MATCH($G412,Settings!$A$6:$A$15,0)),0)))))</f>
        <v/>
      </c>
      <c r="L412" s="13" t="str">
        <f aca="false">IF($J412="","",IF($C412="",1,$C412)*IF($Q412&lt;&gt;"",$Q412,IFERROR(INDEX(Products!$D$5:$D$54,MATCH($B412,Products!$A$5:$A$54,0)),0)))</f>
        <v/>
      </c>
      <c r="M412" s="14" t="str">
        <f aca="false">IF($J412="","",$J412-$K412-N($H412)-$L412)</f>
        <v/>
      </c>
      <c r="N412" s="15" t="str">
        <f aca="false">IF($J412="","",IF($J412&gt;0,$M412/$J412,""))</f>
        <v/>
      </c>
      <c r="O412" s="12"/>
      <c r="P412" s="12"/>
      <c r="Q412" s="11"/>
      <c r="R412" s="11"/>
      <c r="S412" s="12"/>
      <c r="T412" s="16" t="str">
        <f aca="false">IF($J412="","",IF($C412="",1,$C412))</f>
        <v/>
      </c>
    </row>
    <row r="413" customFormat="false" ht="15" hidden="false" customHeight="false" outlineLevel="0" collapsed="false">
      <c r="A413" s="7"/>
      <c r="B413" s="8"/>
      <c r="C413" s="9"/>
      <c r="D413" s="10"/>
      <c r="E413" s="11"/>
      <c r="F413" s="11"/>
      <c r="G413" s="8"/>
      <c r="H413" s="11"/>
      <c r="I413" s="12"/>
      <c r="J413" s="13" t="str">
        <f aca="false">IF(OR($A413="",$D413=""),"",IF($C413="",1,$C413)*$D413+N($E413)-N($F413))</f>
        <v/>
      </c>
      <c r="K413" s="13" t="str">
        <f aca="false">IF($J413="","",IF($R413&lt;&gt;"",$R413,IF($G413="",0,MAX(IFERROR(INDEX(Settings!$D$6:$D$15,MATCH($G413,Settings!$A$6:$A$15,0)),0),$J413*IFERROR(INDEX(Settings!$B$6:$B$15,MATCH($G413,Settings!$A$6:$A$15,0)),0)+IFERROR(INDEX(Settings!$C$6:$C$15,MATCH($G413,Settings!$A$6:$A$15,0)),0)))))</f>
        <v/>
      </c>
      <c r="L413" s="13" t="str">
        <f aca="false">IF($J413="","",IF($C413="",1,$C413)*IF($Q413&lt;&gt;"",$Q413,IFERROR(INDEX(Products!$D$5:$D$54,MATCH($B413,Products!$A$5:$A$54,0)),0)))</f>
        <v/>
      </c>
      <c r="M413" s="14" t="str">
        <f aca="false">IF($J413="","",$J413-$K413-N($H413)-$L413)</f>
        <v/>
      </c>
      <c r="N413" s="15" t="str">
        <f aca="false">IF($J413="","",IF($J413&gt;0,$M413/$J413,""))</f>
        <v/>
      </c>
      <c r="O413" s="12"/>
      <c r="P413" s="12"/>
      <c r="Q413" s="11"/>
      <c r="R413" s="11"/>
      <c r="S413" s="12"/>
      <c r="T413" s="16" t="str">
        <f aca="false">IF($J413="","",IF($C413="",1,$C413))</f>
        <v/>
      </c>
    </row>
    <row r="414" customFormat="false" ht="15" hidden="false" customHeight="false" outlineLevel="0" collapsed="false">
      <c r="A414" s="7"/>
      <c r="B414" s="8"/>
      <c r="C414" s="9"/>
      <c r="D414" s="10"/>
      <c r="E414" s="11"/>
      <c r="F414" s="11"/>
      <c r="G414" s="8"/>
      <c r="H414" s="11"/>
      <c r="I414" s="12"/>
      <c r="J414" s="13" t="str">
        <f aca="false">IF(OR($A414="",$D414=""),"",IF($C414="",1,$C414)*$D414+N($E414)-N($F414))</f>
        <v/>
      </c>
      <c r="K414" s="13" t="str">
        <f aca="false">IF($J414="","",IF($R414&lt;&gt;"",$R414,IF($G414="",0,MAX(IFERROR(INDEX(Settings!$D$6:$D$15,MATCH($G414,Settings!$A$6:$A$15,0)),0),$J414*IFERROR(INDEX(Settings!$B$6:$B$15,MATCH($G414,Settings!$A$6:$A$15,0)),0)+IFERROR(INDEX(Settings!$C$6:$C$15,MATCH($G414,Settings!$A$6:$A$15,0)),0)))))</f>
        <v/>
      </c>
      <c r="L414" s="13" t="str">
        <f aca="false">IF($J414="","",IF($C414="",1,$C414)*IF($Q414&lt;&gt;"",$Q414,IFERROR(INDEX(Products!$D$5:$D$54,MATCH($B414,Products!$A$5:$A$54,0)),0)))</f>
        <v/>
      </c>
      <c r="M414" s="14" t="str">
        <f aca="false">IF($J414="","",$J414-$K414-N($H414)-$L414)</f>
        <v/>
      </c>
      <c r="N414" s="15" t="str">
        <f aca="false">IF($J414="","",IF($J414&gt;0,$M414/$J414,""))</f>
        <v/>
      </c>
      <c r="O414" s="12"/>
      <c r="P414" s="12"/>
      <c r="Q414" s="11"/>
      <c r="R414" s="11"/>
      <c r="S414" s="12"/>
      <c r="T414" s="16" t="str">
        <f aca="false">IF($J414="","",IF($C414="",1,$C414))</f>
        <v/>
      </c>
    </row>
    <row r="415" customFormat="false" ht="15" hidden="false" customHeight="false" outlineLevel="0" collapsed="false">
      <c r="A415" s="7"/>
      <c r="B415" s="8"/>
      <c r="C415" s="9"/>
      <c r="D415" s="10"/>
      <c r="E415" s="11"/>
      <c r="F415" s="11"/>
      <c r="G415" s="8"/>
      <c r="H415" s="11"/>
      <c r="I415" s="12"/>
      <c r="J415" s="13" t="str">
        <f aca="false">IF(OR($A415="",$D415=""),"",IF($C415="",1,$C415)*$D415+N($E415)-N($F415))</f>
        <v/>
      </c>
      <c r="K415" s="13" t="str">
        <f aca="false">IF($J415="","",IF($R415&lt;&gt;"",$R415,IF($G415="",0,MAX(IFERROR(INDEX(Settings!$D$6:$D$15,MATCH($G415,Settings!$A$6:$A$15,0)),0),$J415*IFERROR(INDEX(Settings!$B$6:$B$15,MATCH($G415,Settings!$A$6:$A$15,0)),0)+IFERROR(INDEX(Settings!$C$6:$C$15,MATCH($G415,Settings!$A$6:$A$15,0)),0)))))</f>
        <v/>
      </c>
      <c r="L415" s="13" t="str">
        <f aca="false">IF($J415="","",IF($C415="",1,$C415)*IF($Q415&lt;&gt;"",$Q415,IFERROR(INDEX(Products!$D$5:$D$54,MATCH($B415,Products!$A$5:$A$54,0)),0)))</f>
        <v/>
      </c>
      <c r="M415" s="14" t="str">
        <f aca="false">IF($J415="","",$J415-$K415-N($H415)-$L415)</f>
        <v/>
      </c>
      <c r="N415" s="15" t="str">
        <f aca="false">IF($J415="","",IF($J415&gt;0,$M415/$J415,""))</f>
        <v/>
      </c>
      <c r="O415" s="12"/>
      <c r="P415" s="12"/>
      <c r="Q415" s="11"/>
      <c r="R415" s="11"/>
      <c r="S415" s="12"/>
      <c r="T415" s="16" t="str">
        <f aca="false">IF($J415="","",IF($C415="",1,$C415))</f>
        <v/>
      </c>
    </row>
    <row r="416" customFormat="false" ht="15" hidden="false" customHeight="false" outlineLevel="0" collapsed="false">
      <c r="A416" s="7"/>
      <c r="B416" s="8"/>
      <c r="C416" s="9"/>
      <c r="D416" s="10"/>
      <c r="E416" s="11"/>
      <c r="F416" s="11"/>
      <c r="G416" s="8"/>
      <c r="H416" s="11"/>
      <c r="I416" s="12"/>
      <c r="J416" s="13" t="str">
        <f aca="false">IF(OR($A416="",$D416=""),"",IF($C416="",1,$C416)*$D416+N($E416)-N($F416))</f>
        <v/>
      </c>
      <c r="K416" s="13" t="str">
        <f aca="false">IF($J416="","",IF($R416&lt;&gt;"",$R416,IF($G416="",0,MAX(IFERROR(INDEX(Settings!$D$6:$D$15,MATCH($G416,Settings!$A$6:$A$15,0)),0),$J416*IFERROR(INDEX(Settings!$B$6:$B$15,MATCH($G416,Settings!$A$6:$A$15,0)),0)+IFERROR(INDEX(Settings!$C$6:$C$15,MATCH($G416,Settings!$A$6:$A$15,0)),0)))))</f>
        <v/>
      </c>
      <c r="L416" s="13" t="str">
        <f aca="false">IF($J416="","",IF($C416="",1,$C416)*IF($Q416&lt;&gt;"",$Q416,IFERROR(INDEX(Products!$D$5:$D$54,MATCH($B416,Products!$A$5:$A$54,0)),0)))</f>
        <v/>
      </c>
      <c r="M416" s="14" t="str">
        <f aca="false">IF($J416="","",$J416-$K416-N($H416)-$L416)</f>
        <v/>
      </c>
      <c r="N416" s="15" t="str">
        <f aca="false">IF($J416="","",IF($J416&gt;0,$M416/$J416,""))</f>
        <v/>
      </c>
      <c r="O416" s="12"/>
      <c r="P416" s="12"/>
      <c r="Q416" s="11"/>
      <c r="R416" s="11"/>
      <c r="S416" s="12"/>
      <c r="T416" s="16" t="str">
        <f aca="false">IF($J416="","",IF($C416="",1,$C416))</f>
        <v/>
      </c>
    </row>
    <row r="417" customFormat="false" ht="15" hidden="false" customHeight="false" outlineLevel="0" collapsed="false">
      <c r="A417" s="7"/>
      <c r="B417" s="8"/>
      <c r="C417" s="9"/>
      <c r="D417" s="10"/>
      <c r="E417" s="11"/>
      <c r="F417" s="11"/>
      <c r="G417" s="8"/>
      <c r="H417" s="11"/>
      <c r="I417" s="12"/>
      <c r="J417" s="13" t="str">
        <f aca="false">IF(OR($A417="",$D417=""),"",IF($C417="",1,$C417)*$D417+N($E417)-N($F417))</f>
        <v/>
      </c>
      <c r="K417" s="13" t="str">
        <f aca="false">IF($J417="","",IF($R417&lt;&gt;"",$R417,IF($G417="",0,MAX(IFERROR(INDEX(Settings!$D$6:$D$15,MATCH($G417,Settings!$A$6:$A$15,0)),0),$J417*IFERROR(INDEX(Settings!$B$6:$B$15,MATCH($G417,Settings!$A$6:$A$15,0)),0)+IFERROR(INDEX(Settings!$C$6:$C$15,MATCH($G417,Settings!$A$6:$A$15,0)),0)))))</f>
        <v/>
      </c>
      <c r="L417" s="13" t="str">
        <f aca="false">IF($J417="","",IF($C417="",1,$C417)*IF($Q417&lt;&gt;"",$Q417,IFERROR(INDEX(Products!$D$5:$D$54,MATCH($B417,Products!$A$5:$A$54,0)),0)))</f>
        <v/>
      </c>
      <c r="M417" s="14" t="str">
        <f aca="false">IF($J417="","",$J417-$K417-N($H417)-$L417)</f>
        <v/>
      </c>
      <c r="N417" s="15" t="str">
        <f aca="false">IF($J417="","",IF($J417&gt;0,$M417/$J417,""))</f>
        <v/>
      </c>
      <c r="O417" s="12"/>
      <c r="P417" s="12"/>
      <c r="Q417" s="11"/>
      <c r="R417" s="11"/>
      <c r="S417" s="12"/>
      <c r="T417" s="16" t="str">
        <f aca="false">IF($J417="","",IF($C417="",1,$C417))</f>
        <v/>
      </c>
    </row>
    <row r="418" customFormat="false" ht="15" hidden="false" customHeight="false" outlineLevel="0" collapsed="false">
      <c r="A418" s="7"/>
      <c r="B418" s="8"/>
      <c r="C418" s="9"/>
      <c r="D418" s="10"/>
      <c r="E418" s="11"/>
      <c r="F418" s="11"/>
      <c r="G418" s="8"/>
      <c r="H418" s="11"/>
      <c r="I418" s="12"/>
      <c r="J418" s="13" t="str">
        <f aca="false">IF(OR($A418="",$D418=""),"",IF($C418="",1,$C418)*$D418+N($E418)-N($F418))</f>
        <v/>
      </c>
      <c r="K418" s="13" t="str">
        <f aca="false">IF($J418="","",IF($R418&lt;&gt;"",$R418,IF($G418="",0,MAX(IFERROR(INDEX(Settings!$D$6:$D$15,MATCH($G418,Settings!$A$6:$A$15,0)),0),$J418*IFERROR(INDEX(Settings!$B$6:$B$15,MATCH($G418,Settings!$A$6:$A$15,0)),0)+IFERROR(INDEX(Settings!$C$6:$C$15,MATCH($G418,Settings!$A$6:$A$15,0)),0)))))</f>
        <v/>
      </c>
      <c r="L418" s="13" t="str">
        <f aca="false">IF($J418="","",IF($C418="",1,$C418)*IF($Q418&lt;&gt;"",$Q418,IFERROR(INDEX(Products!$D$5:$D$54,MATCH($B418,Products!$A$5:$A$54,0)),0)))</f>
        <v/>
      </c>
      <c r="M418" s="14" t="str">
        <f aca="false">IF($J418="","",$J418-$K418-N($H418)-$L418)</f>
        <v/>
      </c>
      <c r="N418" s="15" t="str">
        <f aca="false">IF($J418="","",IF($J418&gt;0,$M418/$J418,""))</f>
        <v/>
      </c>
      <c r="O418" s="12"/>
      <c r="P418" s="12"/>
      <c r="Q418" s="11"/>
      <c r="R418" s="11"/>
      <c r="S418" s="12"/>
      <c r="T418" s="16" t="str">
        <f aca="false">IF($J418="","",IF($C418="",1,$C418))</f>
        <v/>
      </c>
    </row>
    <row r="419" customFormat="false" ht="15" hidden="false" customHeight="false" outlineLevel="0" collapsed="false">
      <c r="A419" s="7"/>
      <c r="B419" s="8"/>
      <c r="C419" s="9"/>
      <c r="D419" s="10"/>
      <c r="E419" s="11"/>
      <c r="F419" s="11"/>
      <c r="G419" s="8"/>
      <c r="H419" s="11"/>
      <c r="I419" s="12"/>
      <c r="J419" s="13" t="str">
        <f aca="false">IF(OR($A419="",$D419=""),"",IF($C419="",1,$C419)*$D419+N($E419)-N($F419))</f>
        <v/>
      </c>
      <c r="K419" s="13" t="str">
        <f aca="false">IF($J419="","",IF($R419&lt;&gt;"",$R419,IF($G419="",0,MAX(IFERROR(INDEX(Settings!$D$6:$D$15,MATCH($G419,Settings!$A$6:$A$15,0)),0),$J419*IFERROR(INDEX(Settings!$B$6:$B$15,MATCH($G419,Settings!$A$6:$A$15,0)),0)+IFERROR(INDEX(Settings!$C$6:$C$15,MATCH($G419,Settings!$A$6:$A$15,0)),0)))))</f>
        <v/>
      </c>
      <c r="L419" s="13" t="str">
        <f aca="false">IF($J419="","",IF($C419="",1,$C419)*IF($Q419&lt;&gt;"",$Q419,IFERROR(INDEX(Products!$D$5:$D$54,MATCH($B419,Products!$A$5:$A$54,0)),0)))</f>
        <v/>
      </c>
      <c r="M419" s="14" t="str">
        <f aca="false">IF($J419="","",$J419-$K419-N($H419)-$L419)</f>
        <v/>
      </c>
      <c r="N419" s="15" t="str">
        <f aca="false">IF($J419="","",IF($J419&gt;0,$M419/$J419,""))</f>
        <v/>
      </c>
      <c r="O419" s="12"/>
      <c r="P419" s="12"/>
      <c r="Q419" s="11"/>
      <c r="R419" s="11"/>
      <c r="S419" s="12"/>
      <c r="T419" s="16" t="str">
        <f aca="false">IF($J419="","",IF($C419="",1,$C419))</f>
        <v/>
      </c>
    </row>
    <row r="420" customFormat="false" ht="15" hidden="false" customHeight="false" outlineLevel="0" collapsed="false">
      <c r="A420" s="7"/>
      <c r="B420" s="8"/>
      <c r="C420" s="9"/>
      <c r="D420" s="10"/>
      <c r="E420" s="11"/>
      <c r="F420" s="11"/>
      <c r="G420" s="8"/>
      <c r="H420" s="11"/>
      <c r="I420" s="12"/>
      <c r="J420" s="13" t="str">
        <f aca="false">IF(OR($A420="",$D420=""),"",IF($C420="",1,$C420)*$D420+N($E420)-N($F420))</f>
        <v/>
      </c>
      <c r="K420" s="13" t="str">
        <f aca="false">IF($J420="","",IF($R420&lt;&gt;"",$R420,IF($G420="",0,MAX(IFERROR(INDEX(Settings!$D$6:$D$15,MATCH($G420,Settings!$A$6:$A$15,0)),0),$J420*IFERROR(INDEX(Settings!$B$6:$B$15,MATCH($G420,Settings!$A$6:$A$15,0)),0)+IFERROR(INDEX(Settings!$C$6:$C$15,MATCH($G420,Settings!$A$6:$A$15,0)),0)))))</f>
        <v/>
      </c>
      <c r="L420" s="13" t="str">
        <f aca="false">IF($J420="","",IF($C420="",1,$C420)*IF($Q420&lt;&gt;"",$Q420,IFERROR(INDEX(Products!$D$5:$D$54,MATCH($B420,Products!$A$5:$A$54,0)),0)))</f>
        <v/>
      </c>
      <c r="M420" s="14" t="str">
        <f aca="false">IF($J420="","",$J420-$K420-N($H420)-$L420)</f>
        <v/>
      </c>
      <c r="N420" s="15" t="str">
        <f aca="false">IF($J420="","",IF($J420&gt;0,$M420/$J420,""))</f>
        <v/>
      </c>
      <c r="O420" s="12"/>
      <c r="P420" s="12"/>
      <c r="Q420" s="11"/>
      <c r="R420" s="11"/>
      <c r="S420" s="12"/>
      <c r="T420" s="16" t="str">
        <f aca="false">IF($J420="","",IF($C420="",1,$C420))</f>
        <v/>
      </c>
    </row>
    <row r="421" customFormat="false" ht="15" hidden="false" customHeight="false" outlineLevel="0" collapsed="false">
      <c r="A421" s="7"/>
      <c r="B421" s="8"/>
      <c r="C421" s="9"/>
      <c r="D421" s="10"/>
      <c r="E421" s="11"/>
      <c r="F421" s="11"/>
      <c r="G421" s="8"/>
      <c r="H421" s="11"/>
      <c r="I421" s="12"/>
      <c r="J421" s="13" t="str">
        <f aca="false">IF(OR($A421="",$D421=""),"",IF($C421="",1,$C421)*$D421+N($E421)-N($F421))</f>
        <v/>
      </c>
      <c r="K421" s="13" t="str">
        <f aca="false">IF($J421="","",IF($R421&lt;&gt;"",$R421,IF($G421="",0,MAX(IFERROR(INDEX(Settings!$D$6:$D$15,MATCH($G421,Settings!$A$6:$A$15,0)),0),$J421*IFERROR(INDEX(Settings!$B$6:$B$15,MATCH($G421,Settings!$A$6:$A$15,0)),0)+IFERROR(INDEX(Settings!$C$6:$C$15,MATCH($G421,Settings!$A$6:$A$15,0)),0)))))</f>
        <v/>
      </c>
      <c r="L421" s="13" t="str">
        <f aca="false">IF($J421="","",IF($C421="",1,$C421)*IF($Q421&lt;&gt;"",$Q421,IFERROR(INDEX(Products!$D$5:$D$54,MATCH($B421,Products!$A$5:$A$54,0)),0)))</f>
        <v/>
      </c>
      <c r="M421" s="14" t="str">
        <f aca="false">IF($J421="","",$J421-$K421-N($H421)-$L421)</f>
        <v/>
      </c>
      <c r="N421" s="15" t="str">
        <f aca="false">IF($J421="","",IF($J421&gt;0,$M421/$J421,""))</f>
        <v/>
      </c>
      <c r="O421" s="12"/>
      <c r="P421" s="12"/>
      <c r="Q421" s="11"/>
      <c r="R421" s="11"/>
      <c r="S421" s="12"/>
      <c r="T421" s="16" t="str">
        <f aca="false">IF($J421="","",IF($C421="",1,$C421))</f>
        <v/>
      </c>
    </row>
    <row r="422" customFormat="false" ht="15" hidden="false" customHeight="false" outlineLevel="0" collapsed="false">
      <c r="A422" s="7"/>
      <c r="B422" s="8"/>
      <c r="C422" s="9"/>
      <c r="D422" s="10"/>
      <c r="E422" s="11"/>
      <c r="F422" s="11"/>
      <c r="G422" s="8"/>
      <c r="H422" s="11"/>
      <c r="I422" s="12"/>
      <c r="J422" s="13" t="str">
        <f aca="false">IF(OR($A422="",$D422=""),"",IF($C422="",1,$C422)*$D422+N($E422)-N($F422))</f>
        <v/>
      </c>
      <c r="K422" s="13" t="str">
        <f aca="false">IF($J422="","",IF($R422&lt;&gt;"",$R422,IF($G422="",0,MAX(IFERROR(INDEX(Settings!$D$6:$D$15,MATCH($G422,Settings!$A$6:$A$15,0)),0),$J422*IFERROR(INDEX(Settings!$B$6:$B$15,MATCH($G422,Settings!$A$6:$A$15,0)),0)+IFERROR(INDEX(Settings!$C$6:$C$15,MATCH($G422,Settings!$A$6:$A$15,0)),0)))))</f>
        <v/>
      </c>
      <c r="L422" s="13" t="str">
        <f aca="false">IF($J422="","",IF($C422="",1,$C422)*IF($Q422&lt;&gt;"",$Q422,IFERROR(INDEX(Products!$D$5:$D$54,MATCH($B422,Products!$A$5:$A$54,0)),0)))</f>
        <v/>
      </c>
      <c r="M422" s="14" t="str">
        <f aca="false">IF($J422="","",$J422-$K422-N($H422)-$L422)</f>
        <v/>
      </c>
      <c r="N422" s="15" t="str">
        <f aca="false">IF($J422="","",IF($J422&gt;0,$M422/$J422,""))</f>
        <v/>
      </c>
      <c r="O422" s="12"/>
      <c r="P422" s="12"/>
      <c r="Q422" s="11"/>
      <c r="R422" s="11"/>
      <c r="S422" s="12"/>
      <c r="T422" s="16" t="str">
        <f aca="false">IF($J422="","",IF($C422="",1,$C422))</f>
        <v/>
      </c>
    </row>
    <row r="423" customFormat="false" ht="15" hidden="false" customHeight="false" outlineLevel="0" collapsed="false">
      <c r="A423" s="7"/>
      <c r="B423" s="8"/>
      <c r="C423" s="9"/>
      <c r="D423" s="10"/>
      <c r="E423" s="11"/>
      <c r="F423" s="11"/>
      <c r="G423" s="8"/>
      <c r="H423" s="11"/>
      <c r="I423" s="12"/>
      <c r="J423" s="13" t="str">
        <f aca="false">IF(OR($A423="",$D423=""),"",IF($C423="",1,$C423)*$D423+N($E423)-N($F423))</f>
        <v/>
      </c>
      <c r="K423" s="13" t="str">
        <f aca="false">IF($J423="","",IF($R423&lt;&gt;"",$R423,IF($G423="",0,MAX(IFERROR(INDEX(Settings!$D$6:$D$15,MATCH($G423,Settings!$A$6:$A$15,0)),0),$J423*IFERROR(INDEX(Settings!$B$6:$B$15,MATCH($G423,Settings!$A$6:$A$15,0)),0)+IFERROR(INDEX(Settings!$C$6:$C$15,MATCH($G423,Settings!$A$6:$A$15,0)),0)))))</f>
        <v/>
      </c>
      <c r="L423" s="13" t="str">
        <f aca="false">IF($J423="","",IF($C423="",1,$C423)*IF($Q423&lt;&gt;"",$Q423,IFERROR(INDEX(Products!$D$5:$D$54,MATCH($B423,Products!$A$5:$A$54,0)),0)))</f>
        <v/>
      </c>
      <c r="M423" s="14" t="str">
        <f aca="false">IF($J423="","",$J423-$K423-N($H423)-$L423)</f>
        <v/>
      </c>
      <c r="N423" s="15" t="str">
        <f aca="false">IF($J423="","",IF($J423&gt;0,$M423/$J423,""))</f>
        <v/>
      </c>
      <c r="O423" s="12"/>
      <c r="P423" s="12"/>
      <c r="Q423" s="11"/>
      <c r="R423" s="11"/>
      <c r="S423" s="12"/>
      <c r="T423" s="16" t="str">
        <f aca="false">IF($J423="","",IF($C423="",1,$C423))</f>
        <v/>
      </c>
    </row>
    <row r="424" customFormat="false" ht="15" hidden="false" customHeight="false" outlineLevel="0" collapsed="false">
      <c r="A424" s="7"/>
      <c r="B424" s="8"/>
      <c r="C424" s="9"/>
      <c r="D424" s="10"/>
      <c r="E424" s="11"/>
      <c r="F424" s="11"/>
      <c r="G424" s="8"/>
      <c r="H424" s="11"/>
      <c r="I424" s="12"/>
      <c r="J424" s="13" t="str">
        <f aca="false">IF(OR($A424="",$D424=""),"",IF($C424="",1,$C424)*$D424+N($E424)-N($F424))</f>
        <v/>
      </c>
      <c r="K424" s="13" t="str">
        <f aca="false">IF($J424="","",IF($R424&lt;&gt;"",$R424,IF($G424="",0,MAX(IFERROR(INDEX(Settings!$D$6:$D$15,MATCH($G424,Settings!$A$6:$A$15,0)),0),$J424*IFERROR(INDEX(Settings!$B$6:$B$15,MATCH($G424,Settings!$A$6:$A$15,0)),0)+IFERROR(INDEX(Settings!$C$6:$C$15,MATCH($G424,Settings!$A$6:$A$15,0)),0)))))</f>
        <v/>
      </c>
      <c r="L424" s="13" t="str">
        <f aca="false">IF($J424="","",IF($C424="",1,$C424)*IF($Q424&lt;&gt;"",$Q424,IFERROR(INDEX(Products!$D$5:$D$54,MATCH($B424,Products!$A$5:$A$54,0)),0)))</f>
        <v/>
      </c>
      <c r="M424" s="14" t="str">
        <f aca="false">IF($J424="","",$J424-$K424-N($H424)-$L424)</f>
        <v/>
      </c>
      <c r="N424" s="15" t="str">
        <f aca="false">IF($J424="","",IF($J424&gt;0,$M424/$J424,""))</f>
        <v/>
      </c>
      <c r="O424" s="12"/>
      <c r="P424" s="12"/>
      <c r="Q424" s="11"/>
      <c r="R424" s="11"/>
      <c r="S424" s="12"/>
      <c r="T424" s="16" t="str">
        <f aca="false">IF($J424="","",IF($C424="",1,$C424))</f>
        <v/>
      </c>
    </row>
    <row r="425" customFormat="false" ht="15" hidden="false" customHeight="false" outlineLevel="0" collapsed="false">
      <c r="A425" s="7"/>
      <c r="B425" s="8"/>
      <c r="C425" s="9"/>
      <c r="D425" s="10"/>
      <c r="E425" s="11"/>
      <c r="F425" s="11"/>
      <c r="G425" s="8"/>
      <c r="H425" s="11"/>
      <c r="I425" s="12"/>
      <c r="J425" s="13" t="str">
        <f aca="false">IF(OR($A425="",$D425=""),"",IF($C425="",1,$C425)*$D425+N($E425)-N($F425))</f>
        <v/>
      </c>
      <c r="K425" s="13" t="str">
        <f aca="false">IF($J425="","",IF($R425&lt;&gt;"",$R425,IF($G425="",0,MAX(IFERROR(INDEX(Settings!$D$6:$D$15,MATCH($G425,Settings!$A$6:$A$15,0)),0),$J425*IFERROR(INDEX(Settings!$B$6:$B$15,MATCH($G425,Settings!$A$6:$A$15,0)),0)+IFERROR(INDEX(Settings!$C$6:$C$15,MATCH($G425,Settings!$A$6:$A$15,0)),0)))))</f>
        <v/>
      </c>
      <c r="L425" s="13" t="str">
        <f aca="false">IF($J425="","",IF($C425="",1,$C425)*IF($Q425&lt;&gt;"",$Q425,IFERROR(INDEX(Products!$D$5:$D$54,MATCH($B425,Products!$A$5:$A$54,0)),0)))</f>
        <v/>
      </c>
      <c r="M425" s="14" t="str">
        <f aca="false">IF($J425="","",$J425-$K425-N($H425)-$L425)</f>
        <v/>
      </c>
      <c r="N425" s="15" t="str">
        <f aca="false">IF($J425="","",IF($J425&gt;0,$M425/$J425,""))</f>
        <v/>
      </c>
      <c r="O425" s="12"/>
      <c r="P425" s="12"/>
      <c r="Q425" s="11"/>
      <c r="R425" s="11"/>
      <c r="S425" s="12"/>
      <c r="T425" s="16" t="str">
        <f aca="false">IF($J425="","",IF($C425="",1,$C425))</f>
        <v/>
      </c>
    </row>
    <row r="426" customFormat="false" ht="15" hidden="false" customHeight="false" outlineLevel="0" collapsed="false">
      <c r="A426" s="7"/>
      <c r="B426" s="8"/>
      <c r="C426" s="9"/>
      <c r="D426" s="10"/>
      <c r="E426" s="11"/>
      <c r="F426" s="11"/>
      <c r="G426" s="8"/>
      <c r="H426" s="11"/>
      <c r="I426" s="12"/>
      <c r="J426" s="13" t="str">
        <f aca="false">IF(OR($A426="",$D426=""),"",IF($C426="",1,$C426)*$D426+N($E426)-N($F426))</f>
        <v/>
      </c>
      <c r="K426" s="13" t="str">
        <f aca="false">IF($J426="","",IF($R426&lt;&gt;"",$R426,IF($G426="",0,MAX(IFERROR(INDEX(Settings!$D$6:$D$15,MATCH($G426,Settings!$A$6:$A$15,0)),0),$J426*IFERROR(INDEX(Settings!$B$6:$B$15,MATCH($G426,Settings!$A$6:$A$15,0)),0)+IFERROR(INDEX(Settings!$C$6:$C$15,MATCH($G426,Settings!$A$6:$A$15,0)),0)))))</f>
        <v/>
      </c>
      <c r="L426" s="13" t="str">
        <f aca="false">IF($J426="","",IF($C426="",1,$C426)*IF($Q426&lt;&gt;"",$Q426,IFERROR(INDEX(Products!$D$5:$D$54,MATCH($B426,Products!$A$5:$A$54,0)),0)))</f>
        <v/>
      </c>
      <c r="M426" s="14" t="str">
        <f aca="false">IF($J426="","",$J426-$K426-N($H426)-$L426)</f>
        <v/>
      </c>
      <c r="N426" s="15" t="str">
        <f aca="false">IF($J426="","",IF($J426&gt;0,$M426/$J426,""))</f>
        <v/>
      </c>
      <c r="O426" s="12"/>
      <c r="P426" s="12"/>
      <c r="Q426" s="11"/>
      <c r="R426" s="11"/>
      <c r="S426" s="12"/>
      <c r="T426" s="16" t="str">
        <f aca="false">IF($J426="","",IF($C426="",1,$C426))</f>
        <v/>
      </c>
    </row>
    <row r="427" customFormat="false" ht="15" hidden="false" customHeight="false" outlineLevel="0" collapsed="false">
      <c r="A427" s="7"/>
      <c r="B427" s="8"/>
      <c r="C427" s="9"/>
      <c r="D427" s="10"/>
      <c r="E427" s="11"/>
      <c r="F427" s="11"/>
      <c r="G427" s="8"/>
      <c r="H427" s="11"/>
      <c r="I427" s="12"/>
      <c r="J427" s="13" t="str">
        <f aca="false">IF(OR($A427="",$D427=""),"",IF($C427="",1,$C427)*$D427+N($E427)-N($F427))</f>
        <v/>
      </c>
      <c r="K427" s="13" t="str">
        <f aca="false">IF($J427="","",IF($R427&lt;&gt;"",$R427,IF($G427="",0,MAX(IFERROR(INDEX(Settings!$D$6:$D$15,MATCH($G427,Settings!$A$6:$A$15,0)),0),$J427*IFERROR(INDEX(Settings!$B$6:$B$15,MATCH($G427,Settings!$A$6:$A$15,0)),0)+IFERROR(INDEX(Settings!$C$6:$C$15,MATCH($G427,Settings!$A$6:$A$15,0)),0)))))</f>
        <v/>
      </c>
      <c r="L427" s="13" t="str">
        <f aca="false">IF($J427="","",IF($C427="",1,$C427)*IF($Q427&lt;&gt;"",$Q427,IFERROR(INDEX(Products!$D$5:$D$54,MATCH($B427,Products!$A$5:$A$54,0)),0)))</f>
        <v/>
      </c>
      <c r="M427" s="14" t="str">
        <f aca="false">IF($J427="","",$J427-$K427-N($H427)-$L427)</f>
        <v/>
      </c>
      <c r="N427" s="15" t="str">
        <f aca="false">IF($J427="","",IF($J427&gt;0,$M427/$J427,""))</f>
        <v/>
      </c>
      <c r="O427" s="12"/>
      <c r="P427" s="12"/>
      <c r="Q427" s="11"/>
      <c r="R427" s="11"/>
      <c r="S427" s="12"/>
      <c r="T427" s="16" t="str">
        <f aca="false">IF($J427="","",IF($C427="",1,$C427))</f>
        <v/>
      </c>
    </row>
    <row r="428" customFormat="false" ht="15" hidden="false" customHeight="false" outlineLevel="0" collapsed="false">
      <c r="A428" s="7"/>
      <c r="B428" s="8"/>
      <c r="C428" s="9"/>
      <c r="D428" s="10"/>
      <c r="E428" s="11"/>
      <c r="F428" s="11"/>
      <c r="G428" s="8"/>
      <c r="H428" s="11"/>
      <c r="I428" s="12"/>
      <c r="J428" s="13" t="str">
        <f aca="false">IF(OR($A428="",$D428=""),"",IF($C428="",1,$C428)*$D428+N($E428)-N($F428))</f>
        <v/>
      </c>
      <c r="K428" s="13" t="str">
        <f aca="false">IF($J428="","",IF($R428&lt;&gt;"",$R428,IF($G428="",0,MAX(IFERROR(INDEX(Settings!$D$6:$D$15,MATCH($G428,Settings!$A$6:$A$15,0)),0),$J428*IFERROR(INDEX(Settings!$B$6:$B$15,MATCH($G428,Settings!$A$6:$A$15,0)),0)+IFERROR(INDEX(Settings!$C$6:$C$15,MATCH($G428,Settings!$A$6:$A$15,0)),0)))))</f>
        <v/>
      </c>
      <c r="L428" s="13" t="str">
        <f aca="false">IF($J428="","",IF($C428="",1,$C428)*IF($Q428&lt;&gt;"",$Q428,IFERROR(INDEX(Products!$D$5:$D$54,MATCH($B428,Products!$A$5:$A$54,0)),0)))</f>
        <v/>
      </c>
      <c r="M428" s="14" t="str">
        <f aca="false">IF($J428="","",$J428-$K428-N($H428)-$L428)</f>
        <v/>
      </c>
      <c r="N428" s="15" t="str">
        <f aca="false">IF($J428="","",IF($J428&gt;0,$M428/$J428,""))</f>
        <v/>
      </c>
      <c r="O428" s="12"/>
      <c r="P428" s="12"/>
      <c r="Q428" s="11"/>
      <c r="R428" s="11"/>
      <c r="S428" s="12"/>
      <c r="T428" s="16" t="str">
        <f aca="false">IF($J428="","",IF($C428="",1,$C428))</f>
        <v/>
      </c>
    </row>
    <row r="429" customFormat="false" ht="15" hidden="false" customHeight="false" outlineLevel="0" collapsed="false">
      <c r="A429" s="7"/>
      <c r="B429" s="8"/>
      <c r="C429" s="9"/>
      <c r="D429" s="10"/>
      <c r="E429" s="11"/>
      <c r="F429" s="11"/>
      <c r="G429" s="8"/>
      <c r="H429" s="11"/>
      <c r="I429" s="12"/>
      <c r="J429" s="13" t="str">
        <f aca="false">IF(OR($A429="",$D429=""),"",IF($C429="",1,$C429)*$D429+N($E429)-N($F429))</f>
        <v/>
      </c>
      <c r="K429" s="13" t="str">
        <f aca="false">IF($J429="","",IF($R429&lt;&gt;"",$R429,IF($G429="",0,MAX(IFERROR(INDEX(Settings!$D$6:$D$15,MATCH($G429,Settings!$A$6:$A$15,0)),0),$J429*IFERROR(INDEX(Settings!$B$6:$B$15,MATCH($G429,Settings!$A$6:$A$15,0)),0)+IFERROR(INDEX(Settings!$C$6:$C$15,MATCH($G429,Settings!$A$6:$A$15,0)),0)))))</f>
        <v/>
      </c>
      <c r="L429" s="13" t="str">
        <f aca="false">IF($J429="","",IF($C429="",1,$C429)*IF($Q429&lt;&gt;"",$Q429,IFERROR(INDEX(Products!$D$5:$D$54,MATCH($B429,Products!$A$5:$A$54,0)),0)))</f>
        <v/>
      </c>
      <c r="M429" s="14" t="str">
        <f aca="false">IF($J429="","",$J429-$K429-N($H429)-$L429)</f>
        <v/>
      </c>
      <c r="N429" s="15" t="str">
        <f aca="false">IF($J429="","",IF($J429&gt;0,$M429/$J429,""))</f>
        <v/>
      </c>
      <c r="O429" s="12"/>
      <c r="P429" s="12"/>
      <c r="Q429" s="11"/>
      <c r="R429" s="11"/>
      <c r="S429" s="12"/>
      <c r="T429" s="16" t="str">
        <f aca="false">IF($J429="","",IF($C429="",1,$C429))</f>
        <v/>
      </c>
    </row>
    <row r="430" customFormat="false" ht="15" hidden="false" customHeight="false" outlineLevel="0" collapsed="false">
      <c r="A430" s="7"/>
      <c r="B430" s="8"/>
      <c r="C430" s="9"/>
      <c r="D430" s="10"/>
      <c r="E430" s="11"/>
      <c r="F430" s="11"/>
      <c r="G430" s="8"/>
      <c r="H430" s="11"/>
      <c r="I430" s="12"/>
      <c r="J430" s="13" t="str">
        <f aca="false">IF(OR($A430="",$D430=""),"",IF($C430="",1,$C430)*$D430+N($E430)-N($F430))</f>
        <v/>
      </c>
      <c r="K430" s="13" t="str">
        <f aca="false">IF($J430="","",IF($R430&lt;&gt;"",$R430,IF($G430="",0,MAX(IFERROR(INDEX(Settings!$D$6:$D$15,MATCH($G430,Settings!$A$6:$A$15,0)),0),$J430*IFERROR(INDEX(Settings!$B$6:$B$15,MATCH($G430,Settings!$A$6:$A$15,0)),0)+IFERROR(INDEX(Settings!$C$6:$C$15,MATCH($G430,Settings!$A$6:$A$15,0)),0)))))</f>
        <v/>
      </c>
      <c r="L430" s="13" t="str">
        <f aca="false">IF($J430="","",IF($C430="",1,$C430)*IF($Q430&lt;&gt;"",$Q430,IFERROR(INDEX(Products!$D$5:$D$54,MATCH($B430,Products!$A$5:$A$54,0)),0)))</f>
        <v/>
      </c>
      <c r="M430" s="14" t="str">
        <f aca="false">IF($J430="","",$J430-$K430-N($H430)-$L430)</f>
        <v/>
      </c>
      <c r="N430" s="15" t="str">
        <f aca="false">IF($J430="","",IF($J430&gt;0,$M430/$J430,""))</f>
        <v/>
      </c>
      <c r="O430" s="12"/>
      <c r="P430" s="12"/>
      <c r="Q430" s="11"/>
      <c r="R430" s="11"/>
      <c r="S430" s="12"/>
      <c r="T430" s="16" t="str">
        <f aca="false">IF($J430="","",IF($C430="",1,$C430))</f>
        <v/>
      </c>
    </row>
    <row r="431" customFormat="false" ht="15" hidden="false" customHeight="false" outlineLevel="0" collapsed="false">
      <c r="A431" s="7"/>
      <c r="B431" s="8"/>
      <c r="C431" s="9"/>
      <c r="D431" s="10"/>
      <c r="E431" s="11"/>
      <c r="F431" s="11"/>
      <c r="G431" s="8"/>
      <c r="H431" s="11"/>
      <c r="I431" s="12"/>
      <c r="J431" s="13" t="str">
        <f aca="false">IF(OR($A431="",$D431=""),"",IF($C431="",1,$C431)*$D431+N($E431)-N($F431))</f>
        <v/>
      </c>
      <c r="K431" s="13" t="str">
        <f aca="false">IF($J431="","",IF($R431&lt;&gt;"",$R431,IF($G431="",0,MAX(IFERROR(INDEX(Settings!$D$6:$D$15,MATCH($G431,Settings!$A$6:$A$15,0)),0),$J431*IFERROR(INDEX(Settings!$B$6:$B$15,MATCH($G431,Settings!$A$6:$A$15,0)),0)+IFERROR(INDEX(Settings!$C$6:$C$15,MATCH($G431,Settings!$A$6:$A$15,0)),0)))))</f>
        <v/>
      </c>
      <c r="L431" s="13" t="str">
        <f aca="false">IF($J431="","",IF($C431="",1,$C431)*IF($Q431&lt;&gt;"",$Q431,IFERROR(INDEX(Products!$D$5:$D$54,MATCH($B431,Products!$A$5:$A$54,0)),0)))</f>
        <v/>
      </c>
      <c r="M431" s="14" t="str">
        <f aca="false">IF($J431="","",$J431-$K431-N($H431)-$L431)</f>
        <v/>
      </c>
      <c r="N431" s="15" t="str">
        <f aca="false">IF($J431="","",IF($J431&gt;0,$M431/$J431,""))</f>
        <v/>
      </c>
      <c r="O431" s="12"/>
      <c r="P431" s="12"/>
      <c r="Q431" s="11"/>
      <c r="R431" s="11"/>
      <c r="S431" s="12"/>
      <c r="T431" s="16" t="str">
        <f aca="false">IF($J431="","",IF($C431="",1,$C431))</f>
        <v/>
      </c>
    </row>
    <row r="432" customFormat="false" ht="15" hidden="false" customHeight="false" outlineLevel="0" collapsed="false">
      <c r="A432" s="7"/>
      <c r="B432" s="8"/>
      <c r="C432" s="9"/>
      <c r="D432" s="10"/>
      <c r="E432" s="11"/>
      <c r="F432" s="11"/>
      <c r="G432" s="8"/>
      <c r="H432" s="11"/>
      <c r="I432" s="12"/>
      <c r="J432" s="13" t="str">
        <f aca="false">IF(OR($A432="",$D432=""),"",IF($C432="",1,$C432)*$D432+N($E432)-N($F432))</f>
        <v/>
      </c>
      <c r="K432" s="13" t="str">
        <f aca="false">IF($J432="","",IF($R432&lt;&gt;"",$R432,IF($G432="",0,MAX(IFERROR(INDEX(Settings!$D$6:$D$15,MATCH($G432,Settings!$A$6:$A$15,0)),0),$J432*IFERROR(INDEX(Settings!$B$6:$B$15,MATCH($G432,Settings!$A$6:$A$15,0)),0)+IFERROR(INDEX(Settings!$C$6:$C$15,MATCH($G432,Settings!$A$6:$A$15,0)),0)))))</f>
        <v/>
      </c>
      <c r="L432" s="13" t="str">
        <f aca="false">IF($J432="","",IF($C432="",1,$C432)*IF($Q432&lt;&gt;"",$Q432,IFERROR(INDEX(Products!$D$5:$D$54,MATCH($B432,Products!$A$5:$A$54,0)),0)))</f>
        <v/>
      </c>
      <c r="M432" s="14" t="str">
        <f aca="false">IF($J432="","",$J432-$K432-N($H432)-$L432)</f>
        <v/>
      </c>
      <c r="N432" s="15" t="str">
        <f aca="false">IF($J432="","",IF($J432&gt;0,$M432/$J432,""))</f>
        <v/>
      </c>
      <c r="O432" s="12"/>
      <c r="P432" s="12"/>
      <c r="Q432" s="11"/>
      <c r="R432" s="11"/>
      <c r="S432" s="12"/>
      <c r="T432" s="16" t="str">
        <f aca="false">IF($J432="","",IF($C432="",1,$C432))</f>
        <v/>
      </c>
    </row>
    <row r="433" customFormat="false" ht="15" hidden="false" customHeight="false" outlineLevel="0" collapsed="false">
      <c r="A433" s="7"/>
      <c r="B433" s="8"/>
      <c r="C433" s="9"/>
      <c r="D433" s="10"/>
      <c r="E433" s="11"/>
      <c r="F433" s="11"/>
      <c r="G433" s="8"/>
      <c r="H433" s="11"/>
      <c r="I433" s="12"/>
      <c r="J433" s="13" t="str">
        <f aca="false">IF(OR($A433="",$D433=""),"",IF($C433="",1,$C433)*$D433+N($E433)-N($F433))</f>
        <v/>
      </c>
      <c r="K433" s="13" t="str">
        <f aca="false">IF($J433="","",IF($R433&lt;&gt;"",$R433,IF($G433="",0,MAX(IFERROR(INDEX(Settings!$D$6:$D$15,MATCH($G433,Settings!$A$6:$A$15,0)),0),$J433*IFERROR(INDEX(Settings!$B$6:$B$15,MATCH($G433,Settings!$A$6:$A$15,0)),0)+IFERROR(INDEX(Settings!$C$6:$C$15,MATCH($G433,Settings!$A$6:$A$15,0)),0)))))</f>
        <v/>
      </c>
      <c r="L433" s="13" t="str">
        <f aca="false">IF($J433="","",IF($C433="",1,$C433)*IF($Q433&lt;&gt;"",$Q433,IFERROR(INDEX(Products!$D$5:$D$54,MATCH($B433,Products!$A$5:$A$54,0)),0)))</f>
        <v/>
      </c>
      <c r="M433" s="14" t="str">
        <f aca="false">IF($J433="","",$J433-$K433-N($H433)-$L433)</f>
        <v/>
      </c>
      <c r="N433" s="15" t="str">
        <f aca="false">IF($J433="","",IF($J433&gt;0,$M433/$J433,""))</f>
        <v/>
      </c>
      <c r="O433" s="12"/>
      <c r="P433" s="12"/>
      <c r="Q433" s="11"/>
      <c r="R433" s="11"/>
      <c r="S433" s="12"/>
      <c r="T433" s="16" t="str">
        <f aca="false">IF($J433="","",IF($C433="",1,$C433))</f>
        <v/>
      </c>
    </row>
    <row r="434" customFormat="false" ht="15" hidden="false" customHeight="false" outlineLevel="0" collapsed="false">
      <c r="A434" s="7"/>
      <c r="B434" s="8"/>
      <c r="C434" s="9"/>
      <c r="D434" s="10"/>
      <c r="E434" s="11"/>
      <c r="F434" s="11"/>
      <c r="G434" s="8"/>
      <c r="H434" s="11"/>
      <c r="I434" s="12"/>
      <c r="J434" s="13" t="str">
        <f aca="false">IF(OR($A434="",$D434=""),"",IF($C434="",1,$C434)*$D434+N($E434)-N($F434))</f>
        <v/>
      </c>
      <c r="K434" s="13" t="str">
        <f aca="false">IF($J434="","",IF($R434&lt;&gt;"",$R434,IF($G434="",0,MAX(IFERROR(INDEX(Settings!$D$6:$D$15,MATCH($G434,Settings!$A$6:$A$15,0)),0),$J434*IFERROR(INDEX(Settings!$B$6:$B$15,MATCH($G434,Settings!$A$6:$A$15,0)),0)+IFERROR(INDEX(Settings!$C$6:$C$15,MATCH($G434,Settings!$A$6:$A$15,0)),0)))))</f>
        <v/>
      </c>
      <c r="L434" s="13" t="str">
        <f aca="false">IF($J434="","",IF($C434="",1,$C434)*IF($Q434&lt;&gt;"",$Q434,IFERROR(INDEX(Products!$D$5:$D$54,MATCH($B434,Products!$A$5:$A$54,0)),0)))</f>
        <v/>
      </c>
      <c r="M434" s="14" t="str">
        <f aca="false">IF($J434="","",$J434-$K434-N($H434)-$L434)</f>
        <v/>
      </c>
      <c r="N434" s="15" t="str">
        <f aca="false">IF($J434="","",IF($J434&gt;0,$M434/$J434,""))</f>
        <v/>
      </c>
      <c r="O434" s="12"/>
      <c r="P434" s="12"/>
      <c r="Q434" s="11"/>
      <c r="R434" s="11"/>
      <c r="S434" s="12"/>
      <c r="T434" s="16" t="str">
        <f aca="false">IF($J434="","",IF($C434="",1,$C434))</f>
        <v/>
      </c>
    </row>
    <row r="435" customFormat="false" ht="15" hidden="false" customHeight="false" outlineLevel="0" collapsed="false">
      <c r="A435" s="7"/>
      <c r="B435" s="8"/>
      <c r="C435" s="9"/>
      <c r="D435" s="10"/>
      <c r="E435" s="11"/>
      <c r="F435" s="11"/>
      <c r="G435" s="8"/>
      <c r="H435" s="11"/>
      <c r="I435" s="12"/>
      <c r="J435" s="13" t="str">
        <f aca="false">IF(OR($A435="",$D435=""),"",IF($C435="",1,$C435)*$D435+N($E435)-N($F435))</f>
        <v/>
      </c>
      <c r="K435" s="13" t="str">
        <f aca="false">IF($J435="","",IF($R435&lt;&gt;"",$R435,IF($G435="",0,MAX(IFERROR(INDEX(Settings!$D$6:$D$15,MATCH($G435,Settings!$A$6:$A$15,0)),0),$J435*IFERROR(INDEX(Settings!$B$6:$B$15,MATCH($G435,Settings!$A$6:$A$15,0)),0)+IFERROR(INDEX(Settings!$C$6:$C$15,MATCH($G435,Settings!$A$6:$A$15,0)),0)))))</f>
        <v/>
      </c>
      <c r="L435" s="13" t="str">
        <f aca="false">IF($J435="","",IF($C435="",1,$C435)*IF($Q435&lt;&gt;"",$Q435,IFERROR(INDEX(Products!$D$5:$D$54,MATCH($B435,Products!$A$5:$A$54,0)),0)))</f>
        <v/>
      </c>
      <c r="M435" s="14" t="str">
        <f aca="false">IF($J435="","",$J435-$K435-N($H435)-$L435)</f>
        <v/>
      </c>
      <c r="N435" s="15" t="str">
        <f aca="false">IF($J435="","",IF($J435&gt;0,$M435/$J435,""))</f>
        <v/>
      </c>
      <c r="O435" s="12"/>
      <c r="P435" s="12"/>
      <c r="Q435" s="11"/>
      <c r="R435" s="11"/>
      <c r="S435" s="12"/>
      <c r="T435" s="16" t="str">
        <f aca="false">IF($J435="","",IF($C435="",1,$C435))</f>
        <v/>
      </c>
    </row>
    <row r="436" customFormat="false" ht="15" hidden="false" customHeight="false" outlineLevel="0" collapsed="false">
      <c r="A436" s="7"/>
      <c r="B436" s="8"/>
      <c r="C436" s="9"/>
      <c r="D436" s="10"/>
      <c r="E436" s="11"/>
      <c r="F436" s="11"/>
      <c r="G436" s="8"/>
      <c r="H436" s="11"/>
      <c r="I436" s="12"/>
      <c r="J436" s="13" t="str">
        <f aca="false">IF(OR($A436="",$D436=""),"",IF($C436="",1,$C436)*$D436+N($E436)-N($F436))</f>
        <v/>
      </c>
      <c r="K436" s="13" t="str">
        <f aca="false">IF($J436="","",IF($R436&lt;&gt;"",$R436,IF($G436="",0,MAX(IFERROR(INDEX(Settings!$D$6:$D$15,MATCH($G436,Settings!$A$6:$A$15,0)),0),$J436*IFERROR(INDEX(Settings!$B$6:$B$15,MATCH($G436,Settings!$A$6:$A$15,0)),0)+IFERROR(INDEX(Settings!$C$6:$C$15,MATCH($G436,Settings!$A$6:$A$15,0)),0)))))</f>
        <v/>
      </c>
      <c r="L436" s="13" t="str">
        <f aca="false">IF($J436="","",IF($C436="",1,$C436)*IF($Q436&lt;&gt;"",$Q436,IFERROR(INDEX(Products!$D$5:$D$54,MATCH($B436,Products!$A$5:$A$54,0)),0)))</f>
        <v/>
      </c>
      <c r="M436" s="14" t="str">
        <f aca="false">IF($J436="","",$J436-$K436-N($H436)-$L436)</f>
        <v/>
      </c>
      <c r="N436" s="15" t="str">
        <f aca="false">IF($J436="","",IF($J436&gt;0,$M436/$J436,""))</f>
        <v/>
      </c>
      <c r="O436" s="12"/>
      <c r="P436" s="12"/>
      <c r="Q436" s="11"/>
      <c r="R436" s="11"/>
      <c r="S436" s="12"/>
      <c r="T436" s="16" t="str">
        <f aca="false">IF($J436="","",IF($C436="",1,$C436))</f>
        <v/>
      </c>
    </row>
    <row r="437" customFormat="false" ht="15" hidden="false" customHeight="false" outlineLevel="0" collapsed="false">
      <c r="A437" s="7"/>
      <c r="B437" s="8"/>
      <c r="C437" s="9"/>
      <c r="D437" s="10"/>
      <c r="E437" s="11"/>
      <c r="F437" s="11"/>
      <c r="G437" s="8"/>
      <c r="H437" s="11"/>
      <c r="I437" s="12"/>
      <c r="J437" s="13" t="str">
        <f aca="false">IF(OR($A437="",$D437=""),"",IF($C437="",1,$C437)*$D437+N($E437)-N($F437))</f>
        <v/>
      </c>
      <c r="K437" s="13" t="str">
        <f aca="false">IF($J437="","",IF($R437&lt;&gt;"",$R437,IF($G437="",0,MAX(IFERROR(INDEX(Settings!$D$6:$D$15,MATCH($G437,Settings!$A$6:$A$15,0)),0),$J437*IFERROR(INDEX(Settings!$B$6:$B$15,MATCH($G437,Settings!$A$6:$A$15,0)),0)+IFERROR(INDEX(Settings!$C$6:$C$15,MATCH($G437,Settings!$A$6:$A$15,0)),0)))))</f>
        <v/>
      </c>
      <c r="L437" s="13" t="str">
        <f aca="false">IF($J437="","",IF($C437="",1,$C437)*IF($Q437&lt;&gt;"",$Q437,IFERROR(INDEX(Products!$D$5:$D$54,MATCH($B437,Products!$A$5:$A$54,0)),0)))</f>
        <v/>
      </c>
      <c r="M437" s="14" t="str">
        <f aca="false">IF($J437="","",$J437-$K437-N($H437)-$L437)</f>
        <v/>
      </c>
      <c r="N437" s="15" t="str">
        <f aca="false">IF($J437="","",IF($J437&gt;0,$M437/$J437,""))</f>
        <v/>
      </c>
      <c r="O437" s="12"/>
      <c r="P437" s="12"/>
      <c r="Q437" s="11"/>
      <c r="R437" s="11"/>
      <c r="S437" s="12"/>
      <c r="T437" s="16" t="str">
        <f aca="false">IF($J437="","",IF($C437="",1,$C437))</f>
        <v/>
      </c>
    </row>
    <row r="438" customFormat="false" ht="15" hidden="false" customHeight="false" outlineLevel="0" collapsed="false">
      <c r="A438" s="7"/>
      <c r="B438" s="8"/>
      <c r="C438" s="9"/>
      <c r="D438" s="10"/>
      <c r="E438" s="11"/>
      <c r="F438" s="11"/>
      <c r="G438" s="8"/>
      <c r="H438" s="11"/>
      <c r="I438" s="12"/>
      <c r="J438" s="13" t="str">
        <f aca="false">IF(OR($A438="",$D438=""),"",IF($C438="",1,$C438)*$D438+N($E438)-N($F438))</f>
        <v/>
      </c>
      <c r="K438" s="13" t="str">
        <f aca="false">IF($J438="","",IF($R438&lt;&gt;"",$R438,IF($G438="",0,MAX(IFERROR(INDEX(Settings!$D$6:$D$15,MATCH($G438,Settings!$A$6:$A$15,0)),0),$J438*IFERROR(INDEX(Settings!$B$6:$B$15,MATCH($G438,Settings!$A$6:$A$15,0)),0)+IFERROR(INDEX(Settings!$C$6:$C$15,MATCH($G438,Settings!$A$6:$A$15,0)),0)))))</f>
        <v/>
      </c>
      <c r="L438" s="13" t="str">
        <f aca="false">IF($J438="","",IF($C438="",1,$C438)*IF($Q438&lt;&gt;"",$Q438,IFERROR(INDEX(Products!$D$5:$D$54,MATCH($B438,Products!$A$5:$A$54,0)),0)))</f>
        <v/>
      </c>
      <c r="M438" s="14" t="str">
        <f aca="false">IF($J438="","",$J438-$K438-N($H438)-$L438)</f>
        <v/>
      </c>
      <c r="N438" s="15" t="str">
        <f aca="false">IF($J438="","",IF($J438&gt;0,$M438/$J438,""))</f>
        <v/>
      </c>
      <c r="O438" s="12"/>
      <c r="P438" s="12"/>
      <c r="Q438" s="11"/>
      <c r="R438" s="11"/>
      <c r="S438" s="12"/>
      <c r="T438" s="16" t="str">
        <f aca="false">IF($J438="","",IF($C438="",1,$C438))</f>
        <v/>
      </c>
    </row>
    <row r="439" customFormat="false" ht="15" hidden="false" customHeight="false" outlineLevel="0" collapsed="false">
      <c r="A439" s="7"/>
      <c r="B439" s="8"/>
      <c r="C439" s="9"/>
      <c r="D439" s="10"/>
      <c r="E439" s="11"/>
      <c r="F439" s="11"/>
      <c r="G439" s="8"/>
      <c r="H439" s="11"/>
      <c r="I439" s="12"/>
      <c r="J439" s="13" t="str">
        <f aca="false">IF(OR($A439="",$D439=""),"",IF($C439="",1,$C439)*$D439+N($E439)-N($F439))</f>
        <v/>
      </c>
      <c r="K439" s="13" t="str">
        <f aca="false">IF($J439="","",IF($R439&lt;&gt;"",$R439,IF($G439="",0,MAX(IFERROR(INDEX(Settings!$D$6:$D$15,MATCH($G439,Settings!$A$6:$A$15,0)),0),$J439*IFERROR(INDEX(Settings!$B$6:$B$15,MATCH($G439,Settings!$A$6:$A$15,0)),0)+IFERROR(INDEX(Settings!$C$6:$C$15,MATCH($G439,Settings!$A$6:$A$15,0)),0)))))</f>
        <v/>
      </c>
      <c r="L439" s="13" t="str">
        <f aca="false">IF($J439="","",IF($C439="",1,$C439)*IF($Q439&lt;&gt;"",$Q439,IFERROR(INDEX(Products!$D$5:$D$54,MATCH($B439,Products!$A$5:$A$54,0)),0)))</f>
        <v/>
      </c>
      <c r="M439" s="14" t="str">
        <f aca="false">IF($J439="","",$J439-$K439-N($H439)-$L439)</f>
        <v/>
      </c>
      <c r="N439" s="15" t="str">
        <f aca="false">IF($J439="","",IF($J439&gt;0,$M439/$J439,""))</f>
        <v/>
      </c>
      <c r="O439" s="12"/>
      <c r="P439" s="12"/>
      <c r="Q439" s="11"/>
      <c r="R439" s="11"/>
      <c r="S439" s="12"/>
      <c r="T439" s="16" t="str">
        <f aca="false">IF($J439="","",IF($C439="",1,$C439))</f>
        <v/>
      </c>
    </row>
    <row r="440" customFormat="false" ht="15" hidden="false" customHeight="false" outlineLevel="0" collapsed="false">
      <c r="A440" s="7"/>
      <c r="B440" s="8"/>
      <c r="C440" s="9"/>
      <c r="D440" s="10"/>
      <c r="E440" s="11"/>
      <c r="F440" s="11"/>
      <c r="G440" s="8"/>
      <c r="H440" s="11"/>
      <c r="I440" s="12"/>
      <c r="J440" s="13" t="str">
        <f aca="false">IF(OR($A440="",$D440=""),"",IF($C440="",1,$C440)*$D440+N($E440)-N($F440))</f>
        <v/>
      </c>
      <c r="K440" s="13" t="str">
        <f aca="false">IF($J440="","",IF($R440&lt;&gt;"",$R440,IF($G440="",0,MAX(IFERROR(INDEX(Settings!$D$6:$D$15,MATCH($G440,Settings!$A$6:$A$15,0)),0),$J440*IFERROR(INDEX(Settings!$B$6:$B$15,MATCH($G440,Settings!$A$6:$A$15,0)),0)+IFERROR(INDEX(Settings!$C$6:$C$15,MATCH($G440,Settings!$A$6:$A$15,0)),0)))))</f>
        <v/>
      </c>
      <c r="L440" s="13" t="str">
        <f aca="false">IF($J440="","",IF($C440="",1,$C440)*IF($Q440&lt;&gt;"",$Q440,IFERROR(INDEX(Products!$D$5:$D$54,MATCH($B440,Products!$A$5:$A$54,0)),0)))</f>
        <v/>
      </c>
      <c r="M440" s="14" t="str">
        <f aca="false">IF($J440="","",$J440-$K440-N($H440)-$L440)</f>
        <v/>
      </c>
      <c r="N440" s="15" t="str">
        <f aca="false">IF($J440="","",IF($J440&gt;0,$M440/$J440,""))</f>
        <v/>
      </c>
      <c r="O440" s="12"/>
      <c r="P440" s="12"/>
      <c r="Q440" s="11"/>
      <c r="R440" s="11"/>
      <c r="S440" s="12"/>
      <c r="T440" s="16" t="str">
        <f aca="false">IF($J440="","",IF($C440="",1,$C440))</f>
        <v/>
      </c>
    </row>
    <row r="441" customFormat="false" ht="15" hidden="false" customHeight="false" outlineLevel="0" collapsed="false">
      <c r="A441" s="7"/>
      <c r="B441" s="8"/>
      <c r="C441" s="9"/>
      <c r="D441" s="10"/>
      <c r="E441" s="11"/>
      <c r="F441" s="11"/>
      <c r="G441" s="8"/>
      <c r="H441" s="11"/>
      <c r="I441" s="12"/>
      <c r="J441" s="13" t="str">
        <f aca="false">IF(OR($A441="",$D441=""),"",IF($C441="",1,$C441)*$D441+N($E441)-N($F441))</f>
        <v/>
      </c>
      <c r="K441" s="13" t="str">
        <f aca="false">IF($J441="","",IF($R441&lt;&gt;"",$R441,IF($G441="",0,MAX(IFERROR(INDEX(Settings!$D$6:$D$15,MATCH($G441,Settings!$A$6:$A$15,0)),0),$J441*IFERROR(INDEX(Settings!$B$6:$B$15,MATCH($G441,Settings!$A$6:$A$15,0)),0)+IFERROR(INDEX(Settings!$C$6:$C$15,MATCH($G441,Settings!$A$6:$A$15,0)),0)))))</f>
        <v/>
      </c>
      <c r="L441" s="13" t="str">
        <f aca="false">IF($J441="","",IF($C441="",1,$C441)*IF($Q441&lt;&gt;"",$Q441,IFERROR(INDEX(Products!$D$5:$D$54,MATCH($B441,Products!$A$5:$A$54,0)),0)))</f>
        <v/>
      </c>
      <c r="M441" s="14" t="str">
        <f aca="false">IF($J441="","",$J441-$K441-N($H441)-$L441)</f>
        <v/>
      </c>
      <c r="N441" s="15" t="str">
        <f aca="false">IF($J441="","",IF($J441&gt;0,$M441/$J441,""))</f>
        <v/>
      </c>
      <c r="O441" s="12"/>
      <c r="P441" s="12"/>
      <c r="Q441" s="11"/>
      <c r="R441" s="11"/>
      <c r="S441" s="12"/>
      <c r="T441" s="16" t="str">
        <f aca="false">IF($J441="","",IF($C441="",1,$C441))</f>
        <v/>
      </c>
    </row>
    <row r="442" customFormat="false" ht="15" hidden="false" customHeight="false" outlineLevel="0" collapsed="false">
      <c r="A442" s="7"/>
      <c r="B442" s="8"/>
      <c r="C442" s="9"/>
      <c r="D442" s="10"/>
      <c r="E442" s="11"/>
      <c r="F442" s="11"/>
      <c r="G442" s="8"/>
      <c r="H442" s="11"/>
      <c r="I442" s="12"/>
      <c r="J442" s="13" t="str">
        <f aca="false">IF(OR($A442="",$D442=""),"",IF($C442="",1,$C442)*$D442+N($E442)-N($F442))</f>
        <v/>
      </c>
      <c r="K442" s="13" t="str">
        <f aca="false">IF($J442="","",IF($R442&lt;&gt;"",$R442,IF($G442="",0,MAX(IFERROR(INDEX(Settings!$D$6:$D$15,MATCH($G442,Settings!$A$6:$A$15,0)),0),$J442*IFERROR(INDEX(Settings!$B$6:$B$15,MATCH($G442,Settings!$A$6:$A$15,0)),0)+IFERROR(INDEX(Settings!$C$6:$C$15,MATCH($G442,Settings!$A$6:$A$15,0)),0)))))</f>
        <v/>
      </c>
      <c r="L442" s="13" t="str">
        <f aca="false">IF($J442="","",IF($C442="",1,$C442)*IF($Q442&lt;&gt;"",$Q442,IFERROR(INDEX(Products!$D$5:$D$54,MATCH($B442,Products!$A$5:$A$54,0)),0)))</f>
        <v/>
      </c>
      <c r="M442" s="14" t="str">
        <f aca="false">IF($J442="","",$J442-$K442-N($H442)-$L442)</f>
        <v/>
      </c>
      <c r="N442" s="15" t="str">
        <f aca="false">IF($J442="","",IF($J442&gt;0,$M442/$J442,""))</f>
        <v/>
      </c>
      <c r="O442" s="12"/>
      <c r="P442" s="12"/>
      <c r="Q442" s="11"/>
      <c r="R442" s="11"/>
      <c r="S442" s="12"/>
      <c r="T442" s="16" t="str">
        <f aca="false">IF($J442="","",IF($C442="",1,$C442))</f>
        <v/>
      </c>
    </row>
    <row r="443" customFormat="false" ht="15" hidden="false" customHeight="false" outlineLevel="0" collapsed="false">
      <c r="A443" s="7"/>
      <c r="B443" s="8"/>
      <c r="C443" s="9"/>
      <c r="D443" s="10"/>
      <c r="E443" s="11"/>
      <c r="F443" s="11"/>
      <c r="G443" s="8"/>
      <c r="H443" s="11"/>
      <c r="I443" s="12"/>
      <c r="J443" s="13" t="str">
        <f aca="false">IF(OR($A443="",$D443=""),"",IF($C443="",1,$C443)*$D443+N($E443)-N($F443))</f>
        <v/>
      </c>
      <c r="K443" s="13" t="str">
        <f aca="false">IF($J443="","",IF($R443&lt;&gt;"",$R443,IF($G443="",0,MAX(IFERROR(INDEX(Settings!$D$6:$D$15,MATCH($G443,Settings!$A$6:$A$15,0)),0),$J443*IFERROR(INDEX(Settings!$B$6:$B$15,MATCH($G443,Settings!$A$6:$A$15,0)),0)+IFERROR(INDEX(Settings!$C$6:$C$15,MATCH($G443,Settings!$A$6:$A$15,0)),0)))))</f>
        <v/>
      </c>
      <c r="L443" s="13" t="str">
        <f aca="false">IF($J443="","",IF($C443="",1,$C443)*IF($Q443&lt;&gt;"",$Q443,IFERROR(INDEX(Products!$D$5:$D$54,MATCH($B443,Products!$A$5:$A$54,0)),0)))</f>
        <v/>
      </c>
      <c r="M443" s="14" t="str">
        <f aca="false">IF($J443="","",$J443-$K443-N($H443)-$L443)</f>
        <v/>
      </c>
      <c r="N443" s="15" t="str">
        <f aca="false">IF($J443="","",IF($J443&gt;0,$M443/$J443,""))</f>
        <v/>
      </c>
      <c r="O443" s="12"/>
      <c r="P443" s="12"/>
      <c r="Q443" s="11"/>
      <c r="R443" s="11"/>
      <c r="S443" s="12"/>
      <c r="T443" s="16" t="str">
        <f aca="false">IF($J443="","",IF($C443="",1,$C443))</f>
        <v/>
      </c>
    </row>
    <row r="444" customFormat="false" ht="15" hidden="false" customHeight="false" outlineLevel="0" collapsed="false">
      <c r="A444" s="7"/>
      <c r="B444" s="8"/>
      <c r="C444" s="9"/>
      <c r="D444" s="10"/>
      <c r="E444" s="11"/>
      <c r="F444" s="11"/>
      <c r="G444" s="8"/>
      <c r="H444" s="11"/>
      <c r="I444" s="12"/>
      <c r="J444" s="13" t="str">
        <f aca="false">IF(OR($A444="",$D444=""),"",IF($C444="",1,$C444)*$D444+N($E444)-N($F444))</f>
        <v/>
      </c>
      <c r="K444" s="13" t="str">
        <f aca="false">IF($J444="","",IF($R444&lt;&gt;"",$R444,IF($G444="",0,MAX(IFERROR(INDEX(Settings!$D$6:$D$15,MATCH($G444,Settings!$A$6:$A$15,0)),0),$J444*IFERROR(INDEX(Settings!$B$6:$B$15,MATCH($G444,Settings!$A$6:$A$15,0)),0)+IFERROR(INDEX(Settings!$C$6:$C$15,MATCH($G444,Settings!$A$6:$A$15,0)),0)))))</f>
        <v/>
      </c>
      <c r="L444" s="13" t="str">
        <f aca="false">IF($J444="","",IF($C444="",1,$C444)*IF($Q444&lt;&gt;"",$Q444,IFERROR(INDEX(Products!$D$5:$D$54,MATCH($B444,Products!$A$5:$A$54,0)),0)))</f>
        <v/>
      </c>
      <c r="M444" s="14" t="str">
        <f aca="false">IF($J444="","",$J444-$K444-N($H444)-$L444)</f>
        <v/>
      </c>
      <c r="N444" s="15" t="str">
        <f aca="false">IF($J444="","",IF($J444&gt;0,$M444/$J444,""))</f>
        <v/>
      </c>
      <c r="O444" s="12"/>
      <c r="P444" s="12"/>
      <c r="Q444" s="11"/>
      <c r="R444" s="11"/>
      <c r="S444" s="12"/>
      <c r="T444" s="16" t="str">
        <f aca="false">IF($J444="","",IF($C444="",1,$C444))</f>
        <v/>
      </c>
    </row>
    <row r="445" customFormat="false" ht="15" hidden="false" customHeight="false" outlineLevel="0" collapsed="false">
      <c r="A445" s="7"/>
      <c r="B445" s="8"/>
      <c r="C445" s="9"/>
      <c r="D445" s="10"/>
      <c r="E445" s="11"/>
      <c r="F445" s="11"/>
      <c r="G445" s="8"/>
      <c r="H445" s="11"/>
      <c r="I445" s="12"/>
      <c r="J445" s="13" t="str">
        <f aca="false">IF(OR($A445="",$D445=""),"",IF($C445="",1,$C445)*$D445+N($E445)-N($F445))</f>
        <v/>
      </c>
      <c r="K445" s="13" t="str">
        <f aca="false">IF($J445="","",IF($R445&lt;&gt;"",$R445,IF($G445="",0,MAX(IFERROR(INDEX(Settings!$D$6:$D$15,MATCH($G445,Settings!$A$6:$A$15,0)),0),$J445*IFERROR(INDEX(Settings!$B$6:$B$15,MATCH($G445,Settings!$A$6:$A$15,0)),0)+IFERROR(INDEX(Settings!$C$6:$C$15,MATCH($G445,Settings!$A$6:$A$15,0)),0)))))</f>
        <v/>
      </c>
      <c r="L445" s="13" t="str">
        <f aca="false">IF($J445="","",IF($C445="",1,$C445)*IF($Q445&lt;&gt;"",$Q445,IFERROR(INDEX(Products!$D$5:$D$54,MATCH($B445,Products!$A$5:$A$54,0)),0)))</f>
        <v/>
      </c>
      <c r="M445" s="14" t="str">
        <f aca="false">IF($J445="","",$J445-$K445-N($H445)-$L445)</f>
        <v/>
      </c>
      <c r="N445" s="15" t="str">
        <f aca="false">IF($J445="","",IF($J445&gt;0,$M445/$J445,""))</f>
        <v/>
      </c>
      <c r="O445" s="12"/>
      <c r="P445" s="12"/>
      <c r="Q445" s="11"/>
      <c r="R445" s="11"/>
      <c r="S445" s="12"/>
      <c r="T445" s="16" t="str">
        <f aca="false">IF($J445="","",IF($C445="",1,$C445))</f>
        <v/>
      </c>
    </row>
    <row r="446" customFormat="false" ht="15" hidden="false" customHeight="false" outlineLevel="0" collapsed="false">
      <c r="A446" s="7"/>
      <c r="B446" s="8"/>
      <c r="C446" s="9"/>
      <c r="D446" s="10"/>
      <c r="E446" s="11"/>
      <c r="F446" s="11"/>
      <c r="G446" s="8"/>
      <c r="H446" s="11"/>
      <c r="I446" s="12"/>
      <c r="J446" s="13" t="str">
        <f aca="false">IF(OR($A446="",$D446=""),"",IF($C446="",1,$C446)*$D446+N($E446)-N($F446))</f>
        <v/>
      </c>
      <c r="K446" s="13" t="str">
        <f aca="false">IF($J446="","",IF($R446&lt;&gt;"",$R446,IF($G446="",0,MAX(IFERROR(INDEX(Settings!$D$6:$D$15,MATCH($G446,Settings!$A$6:$A$15,0)),0),$J446*IFERROR(INDEX(Settings!$B$6:$B$15,MATCH($G446,Settings!$A$6:$A$15,0)),0)+IFERROR(INDEX(Settings!$C$6:$C$15,MATCH($G446,Settings!$A$6:$A$15,0)),0)))))</f>
        <v/>
      </c>
      <c r="L446" s="13" t="str">
        <f aca="false">IF($J446="","",IF($C446="",1,$C446)*IF($Q446&lt;&gt;"",$Q446,IFERROR(INDEX(Products!$D$5:$D$54,MATCH($B446,Products!$A$5:$A$54,0)),0)))</f>
        <v/>
      </c>
      <c r="M446" s="14" t="str">
        <f aca="false">IF($J446="","",$J446-$K446-N($H446)-$L446)</f>
        <v/>
      </c>
      <c r="N446" s="15" t="str">
        <f aca="false">IF($J446="","",IF($J446&gt;0,$M446/$J446,""))</f>
        <v/>
      </c>
      <c r="O446" s="12"/>
      <c r="P446" s="12"/>
      <c r="Q446" s="11"/>
      <c r="R446" s="11"/>
      <c r="S446" s="12"/>
      <c r="T446" s="16" t="str">
        <f aca="false">IF($J446="","",IF($C446="",1,$C446))</f>
        <v/>
      </c>
    </row>
    <row r="447" customFormat="false" ht="15" hidden="false" customHeight="false" outlineLevel="0" collapsed="false">
      <c r="A447" s="7"/>
      <c r="B447" s="8"/>
      <c r="C447" s="9"/>
      <c r="D447" s="10"/>
      <c r="E447" s="11"/>
      <c r="F447" s="11"/>
      <c r="G447" s="8"/>
      <c r="H447" s="11"/>
      <c r="I447" s="12"/>
      <c r="J447" s="13" t="str">
        <f aca="false">IF(OR($A447="",$D447=""),"",IF($C447="",1,$C447)*$D447+N($E447)-N($F447))</f>
        <v/>
      </c>
      <c r="K447" s="13" t="str">
        <f aca="false">IF($J447="","",IF($R447&lt;&gt;"",$R447,IF($G447="",0,MAX(IFERROR(INDEX(Settings!$D$6:$D$15,MATCH($G447,Settings!$A$6:$A$15,0)),0),$J447*IFERROR(INDEX(Settings!$B$6:$B$15,MATCH($G447,Settings!$A$6:$A$15,0)),0)+IFERROR(INDEX(Settings!$C$6:$C$15,MATCH($G447,Settings!$A$6:$A$15,0)),0)))))</f>
        <v/>
      </c>
      <c r="L447" s="13" t="str">
        <f aca="false">IF($J447="","",IF($C447="",1,$C447)*IF($Q447&lt;&gt;"",$Q447,IFERROR(INDEX(Products!$D$5:$D$54,MATCH($B447,Products!$A$5:$A$54,0)),0)))</f>
        <v/>
      </c>
      <c r="M447" s="14" t="str">
        <f aca="false">IF($J447="","",$J447-$K447-N($H447)-$L447)</f>
        <v/>
      </c>
      <c r="N447" s="15" t="str">
        <f aca="false">IF($J447="","",IF($J447&gt;0,$M447/$J447,""))</f>
        <v/>
      </c>
      <c r="O447" s="12"/>
      <c r="P447" s="12"/>
      <c r="Q447" s="11"/>
      <c r="R447" s="11"/>
      <c r="S447" s="12"/>
      <c r="T447" s="16" t="str">
        <f aca="false">IF($J447="","",IF($C447="",1,$C447))</f>
        <v/>
      </c>
    </row>
    <row r="448" customFormat="false" ht="15" hidden="false" customHeight="false" outlineLevel="0" collapsed="false">
      <c r="A448" s="7"/>
      <c r="B448" s="8"/>
      <c r="C448" s="9"/>
      <c r="D448" s="10"/>
      <c r="E448" s="11"/>
      <c r="F448" s="11"/>
      <c r="G448" s="8"/>
      <c r="H448" s="11"/>
      <c r="I448" s="12"/>
      <c r="J448" s="13" t="str">
        <f aca="false">IF(OR($A448="",$D448=""),"",IF($C448="",1,$C448)*$D448+N($E448)-N($F448))</f>
        <v/>
      </c>
      <c r="K448" s="13" t="str">
        <f aca="false">IF($J448="","",IF($R448&lt;&gt;"",$R448,IF($G448="",0,MAX(IFERROR(INDEX(Settings!$D$6:$D$15,MATCH($G448,Settings!$A$6:$A$15,0)),0),$J448*IFERROR(INDEX(Settings!$B$6:$B$15,MATCH($G448,Settings!$A$6:$A$15,0)),0)+IFERROR(INDEX(Settings!$C$6:$C$15,MATCH($G448,Settings!$A$6:$A$15,0)),0)))))</f>
        <v/>
      </c>
      <c r="L448" s="13" t="str">
        <f aca="false">IF($J448="","",IF($C448="",1,$C448)*IF($Q448&lt;&gt;"",$Q448,IFERROR(INDEX(Products!$D$5:$D$54,MATCH($B448,Products!$A$5:$A$54,0)),0)))</f>
        <v/>
      </c>
      <c r="M448" s="14" t="str">
        <f aca="false">IF($J448="","",$J448-$K448-N($H448)-$L448)</f>
        <v/>
      </c>
      <c r="N448" s="15" t="str">
        <f aca="false">IF($J448="","",IF($J448&gt;0,$M448/$J448,""))</f>
        <v/>
      </c>
      <c r="O448" s="12"/>
      <c r="P448" s="12"/>
      <c r="Q448" s="11"/>
      <c r="R448" s="11"/>
      <c r="S448" s="12"/>
      <c r="T448" s="16" t="str">
        <f aca="false">IF($J448="","",IF($C448="",1,$C448))</f>
        <v/>
      </c>
    </row>
    <row r="449" customFormat="false" ht="15" hidden="false" customHeight="false" outlineLevel="0" collapsed="false">
      <c r="A449" s="7"/>
      <c r="B449" s="8"/>
      <c r="C449" s="9"/>
      <c r="D449" s="10"/>
      <c r="E449" s="11"/>
      <c r="F449" s="11"/>
      <c r="G449" s="8"/>
      <c r="H449" s="11"/>
      <c r="I449" s="12"/>
      <c r="J449" s="13" t="str">
        <f aca="false">IF(OR($A449="",$D449=""),"",IF($C449="",1,$C449)*$D449+N($E449)-N($F449))</f>
        <v/>
      </c>
      <c r="K449" s="13" t="str">
        <f aca="false">IF($J449="","",IF($R449&lt;&gt;"",$R449,IF($G449="",0,MAX(IFERROR(INDEX(Settings!$D$6:$D$15,MATCH($G449,Settings!$A$6:$A$15,0)),0),$J449*IFERROR(INDEX(Settings!$B$6:$B$15,MATCH($G449,Settings!$A$6:$A$15,0)),0)+IFERROR(INDEX(Settings!$C$6:$C$15,MATCH($G449,Settings!$A$6:$A$15,0)),0)))))</f>
        <v/>
      </c>
      <c r="L449" s="13" t="str">
        <f aca="false">IF($J449="","",IF($C449="",1,$C449)*IF($Q449&lt;&gt;"",$Q449,IFERROR(INDEX(Products!$D$5:$D$54,MATCH($B449,Products!$A$5:$A$54,0)),0)))</f>
        <v/>
      </c>
      <c r="M449" s="14" t="str">
        <f aca="false">IF($J449="","",$J449-$K449-N($H449)-$L449)</f>
        <v/>
      </c>
      <c r="N449" s="15" t="str">
        <f aca="false">IF($J449="","",IF($J449&gt;0,$M449/$J449,""))</f>
        <v/>
      </c>
      <c r="O449" s="12"/>
      <c r="P449" s="12"/>
      <c r="Q449" s="11"/>
      <c r="R449" s="11"/>
      <c r="S449" s="12"/>
      <c r="T449" s="16" t="str">
        <f aca="false">IF($J449="","",IF($C449="",1,$C449))</f>
        <v/>
      </c>
    </row>
    <row r="450" customFormat="false" ht="15" hidden="false" customHeight="false" outlineLevel="0" collapsed="false">
      <c r="A450" s="7"/>
      <c r="B450" s="8"/>
      <c r="C450" s="9"/>
      <c r="D450" s="10"/>
      <c r="E450" s="11"/>
      <c r="F450" s="11"/>
      <c r="G450" s="8"/>
      <c r="H450" s="11"/>
      <c r="I450" s="12"/>
      <c r="J450" s="13" t="str">
        <f aca="false">IF(OR($A450="",$D450=""),"",IF($C450="",1,$C450)*$D450+N($E450)-N($F450))</f>
        <v/>
      </c>
      <c r="K450" s="13" t="str">
        <f aca="false">IF($J450="","",IF($R450&lt;&gt;"",$R450,IF($G450="",0,MAX(IFERROR(INDEX(Settings!$D$6:$D$15,MATCH($G450,Settings!$A$6:$A$15,0)),0),$J450*IFERROR(INDEX(Settings!$B$6:$B$15,MATCH($G450,Settings!$A$6:$A$15,0)),0)+IFERROR(INDEX(Settings!$C$6:$C$15,MATCH($G450,Settings!$A$6:$A$15,0)),0)))))</f>
        <v/>
      </c>
      <c r="L450" s="13" t="str">
        <f aca="false">IF($J450="","",IF($C450="",1,$C450)*IF($Q450&lt;&gt;"",$Q450,IFERROR(INDEX(Products!$D$5:$D$54,MATCH($B450,Products!$A$5:$A$54,0)),0)))</f>
        <v/>
      </c>
      <c r="M450" s="14" t="str">
        <f aca="false">IF($J450="","",$J450-$K450-N($H450)-$L450)</f>
        <v/>
      </c>
      <c r="N450" s="15" t="str">
        <f aca="false">IF($J450="","",IF($J450&gt;0,$M450/$J450,""))</f>
        <v/>
      </c>
      <c r="O450" s="12"/>
      <c r="P450" s="12"/>
      <c r="Q450" s="11"/>
      <c r="R450" s="11"/>
      <c r="S450" s="12"/>
      <c r="T450" s="16" t="str">
        <f aca="false">IF($J450="","",IF($C450="",1,$C450))</f>
        <v/>
      </c>
    </row>
    <row r="451" customFormat="false" ht="15" hidden="false" customHeight="false" outlineLevel="0" collapsed="false">
      <c r="A451" s="7"/>
      <c r="B451" s="8"/>
      <c r="C451" s="9"/>
      <c r="D451" s="10"/>
      <c r="E451" s="11"/>
      <c r="F451" s="11"/>
      <c r="G451" s="8"/>
      <c r="H451" s="11"/>
      <c r="I451" s="12"/>
      <c r="J451" s="13" t="str">
        <f aca="false">IF(OR($A451="",$D451=""),"",IF($C451="",1,$C451)*$D451+N($E451)-N($F451))</f>
        <v/>
      </c>
      <c r="K451" s="13" t="str">
        <f aca="false">IF($J451="","",IF($R451&lt;&gt;"",$R451,IF($G451="",0,MAX(IFERROR(INDEX(Settings!$D$6:$D$15,MATCH($G451,Settings!$A$6:$A$15,0)),0),$J451*IFERROR(INDEX(Settings!$B$6:$B$15,MATCH($G451,Settings!$A$6:$A$15,0)),0)+IFERROR(INDEX(Settings!$C$6:$C$15,MATCH($G451,Settings!$A$6:$A$15,0)),0)))))</f>
        <v/>
      </c>
      <c r="L451" s="13" t="str">
        <f aca="false">IF($J451="","",IF($C451="",1,$C451)*IF($Q451&lt;&gt;"",$Q451,IFERROR(INDEX(Products!$D$5:$D$54,MATCH($B451,Products!$A$5:$A$54,0)),0)))</f>
        <v/>
      </c>
      <c r="M451" s="14" t="str">
        <f aca="false">IF($J451="","",$J451-$K451-N($H451)-$L451)</f>
        <v/>
      </c>
      <c r="N451" s="15" t="str">
        <f aca="false">IF($J451="","",IF($J451&gt;0,$M451/$J451,""))</f>
        <v/>
      </c>
      <c r="O451" s="12"/>
      <c r="P451" s="12"/>
      <c r="Q451" s="11"/>
      <c r="R451" s="11"/>
      <c r="S451" s="12"/>
      <c r="T451" s="16" t="str">
        <f aca="false">IF($J451="","",IF($C451="",1,$C451))</f>
        <v/>
      </c>
    </row>
    <row r="452" customFormat="false" ht="15" hidden="false" customHeight="false" outlineLevel="0" collapsed="false">
      <c r="A452" s="7"/>
      <c r="B452" s="8"/>
      <c r="C452" s="9"/>
      <c r="D452" s="10"/>
      <c r="E452" s="11"/>
      <c r="F452" s="11"/>
      <c r="G452" s="8"/>
      <c r="H452" s="11"/>
      <c r="I452" s="12"/>
      <c r="J452" s="13" t="str">
        <f aca="false">IF(OR($A452="",$D452=""),"",IF($C452="",1,$C452)*$D452+N($E452)-N($F452))</f>
        <v/>
      </c>
      <c r="K452" s="13" t="str">
        <f aca="false">IF($J452="","",IF($R452&lt;&gt;"",$R452,IF($G452="",0,MAX(IFERROR(INDEX(Settings!$D$6:$D$15,MATCH($G452,Settings!$A$6:$A$15,0)),0),$J452*IFERROR(INDEX(Settings!$B$6:$B$15,MATCH($G452,Settings!$A$6:$A$15,0)),0)+IFERROR(INDEX(Settings!$C$6:$C$15,MATCH($G452,Settings!$A$6:$A$15,0)),0)))))</f>
        <v/>
      </c>
      <c r="L452" s="13" t="str">
        <f aca="false">IF($J452="","",IF($C452="",1,$C452)*IF($Q452&lt;&gt;"",$Q452,IFERROR(INDEX(Products!$D$5:$D$54,MATCH($B452,Products!$A$5:$A$54,0)),0)))</f>
        <v/>
      </c>
      <c r="M452" s="14" t="str">
        <f aca="false">IF($J452="","",$J452-$K452-N($H452)-$L452)</f>
        <v/>
      </c>
      <c r="N452" s="15" t="str">
        <f aca="false">IF($J452="","",IF($J452&gt;0,$M452/$J452,""))</f>
        <v/>
      </c>
      <c r="O452" s="12"/>
      <c r="P452" s="12"/>
      <c r="Q452" s="11"/>
      <c r="R452" s="11"/>
      <c r="S452" s="12"/>
      <c r="T452" s="16" t="str">
        <f aca="false">IF($J452="","",IF($C452="",1,$C452))</f>
        <v/>
      </c>
    </row>
    <row r="453" customFormat="false" ht="15" hidden="false" customHeight="false" outlineLevel="0" collapsed="false">
      <c r="A453" s="7"/>
      <c r="B453" s="8"/>
      <c r="C453" s="9"/>
      <c r="D453" s="10"/>
      <c r="E453" s="11"/>
      <c r="F453" s="11"/>
      <c r="G453" s="8"/>
      <c r="H453" s="11"/>
      <c r="I453" s="12"/>
      <c r="J453" s="13" t="str">
        <f aca="false">IF(OR($A453="",$D453=""),"",IF($C453="",1,$C453)*$D453+N($E453)-N($F453))</f>
        <v/>
      </c>
      <c r="K453" s="13" t="str">
        <f aca="false">IF($J453="","",IF($R453&lt;&gt;"",$R453,IF($G453="",0,MAX(IFERROR(INDEX(Settings!$D$6:$D$15,MATCH($G453,Settings!$A$6:$A$15,0)),0),$J453*IFERROR(INDEX(Settings!$B$6:$B$15,MATCH($G453,Settings!$A$6:$A$15,0)),0)+IFERROR(INDEX(Settings!$C$6:$C$15,MATCH($G453,Settings!$A$6:$A$15,0)),0)))))</f>
        <v/>
      </c>
      <c r="L453" s="13" t="str">
        <f aca="false">IF($J453="","",IF($C453="",1,$C453)*IF($Q453&lt;&gt;"",$Q453,IFERROR(INDEX(Products!$D$5:$D$54,MATCH($B453,Products!$A$5:$A$54,0)),0)))</f>
        <v/>
      </c>
      <c r="M453" s="14" t="str">
        <f aca="false">IF($J453="","",$J453-$K453-N($H453)-$L453)</f>
        <v/>
      </c>
      <c r="N453" s="15" t="str">
        <f aca="false">IF($J453="","",IF($J453&gt;0,$M453/$J453,""))</f>
        <v/>
      </c>
      <c r="O453" s="12"/>
      <c r="P453" s="12"/>
      <c r="Q453" s="11"/>
      <c r="R453" s="11"/>
      <c r="S453" s="12"/>
      <c r="T453" s="16" t="str">
        <f aca="false">IF($J453="","",IF($C453="",1,$C453))</f>
        <v/>
      </c>
    </row>
    <row r="454" customFormat="false" ht="15" hidden="false" customHeight="false" outlineLevel="0" collapsed="false">
      <c r="A454" s="7"/>
      <c r="B454" s="8"/>
      <c r="C454" s="9"/>
      <c r="D454" s="10"/>
      <c r="E454" s="11"/>
      <c r="F454" s="11"/>
      <c r="G454" s="8"/>
      <c r="H454" s="11"/>
      <c r="I454" s="12"/>
      <c r="J454" s="13" t="str">
        <f aca="false">IF(OR($A454="",$D454=""),"",IF($C454="",1,$C454)*$D454+N($E454)-N($F454))</f>
        <v/>
      </c>
      <c r="K454" s="13" t="str">
        <f aca="false">IF($J454="","",IF($R454&lt;&gt;"",$R454,IF($G454="",0,MAX(IFERROR(INDEX(Settings!$D$6:$D$15,MATCH($G454,Settings!$A$6:$A$15,0)),0),$J454*IFERROR(INDEX(Settings!$B$6:$B$15,MATCH($G454,Settings!$A$6:$A$15,0)),0)+IFERROR(INDEX(Settings!$C$6:$C$15,MATCH($G454,Settings!$A$6:$A$15,0)),0)))))</f>
        <v/>
      </c>
      <c r="L454" s="13" t="str">
        <f aca="false">IF($J454="","",IF($C454="",1,$C454)*IF($Q454&lt;&gt;"",$Q454,IFERROR(INDEX(Products!$D$5:$D$54,MATCH($B454,Products!$A$5:$A$54,0)),0)))</f>
        <v/>
      </c>
      <c r="M454" s="14" t="str">
        <f aca="false">IF($J454="","",$J454-$K454-N($H454)-$L454)</f>
        <v/>
      </c>
      <c r="N454" s="15" t="str">
        <f aca="false">IF($J454="","",IF($J454&gt;0,$M454/$J454,""))</f>
        <v/>
      </c>
      <c r="O454" s="12"/>
      <c r="P454" s="12"/>
      <c r="Q454" s="11"/>
      <c r="R454" s="11"/>
      <c r="S454" s="12"/>
      <c r="T454" s="16" t="str">
        <f aca="false">IF($J454="","",IF($C454="",1,$C454))</f>
        <v/>
      </c>
    </row>
    <row r="455" customFormat="false" ht="15" hidden="false" customHeight="false" outlineLevel="0" collapsed="false">
      <c r="A455" s="7"/>
      <c r="B455" s="8"/>
      <c r="C455" s="9"/>
      <c r="D455" s="10"/>
      <c r="E455" s="11"/>
      <c r="F455" s="11"/>
      <c r="G455" s="8"/>
      <c r="H455" s="11"/>
      <c r="I455" s="12"/>
      <c r="J455" s="13" t="str">
        <f aca="false">IF(OR($A455="",$D455=""),"",IF($C455="",1,$C455)*$D455+N($E455)-N($F455))</f>
        <v/>
      </c>
      <c r="K455" s="13" t="str">
        <f aca="false">IF($J455="","",IF($R455&lt;&gt;"",$R455,IF($G455="",0,MAX(IFERROR(INDEX(Settings!$D$6:$D$15,MATCH($G455,Settings!$A$6:$A$15,0)),0),$J455*IFERROR(INDEX(Settings!$B$6:$B$15,MATCH($G455,Settings!$A$6:$A$15,0)),0)+IFERROR(INDEX(Settings!$C$6:$C$15,MATCH($G455,Settings!$A$6:$A$15,0)),0)))))</f>
        <v/>
      </c>
      <c r="L455" s="13" t="str">
        <f aca="false">IF($J455="","",IF($C455="",1,$C455)*IF($Q455&lt;&gt;"",$Q455,IFERROR(INDEX(Products!$D$5:$D$54,MATCH($B455,Products!$A$5:$A$54,0)),0)))</f>
        <v/>
      </c>
      <c r="M455" s="14" t="str">
        <f aca="false">IF($J455="","",$J455-$K455-N($H455)-$L455)</f>
        <v/>
      </c>
      <c r="N455" s="15" t="str">
        <f aca="false">IF($J455="","",IF($J455&gt;0,$M455/$J455,""))</f>
        <v/>
      </c>
      <c r="O455" s="12"/>
      <c r="P455" s="12"/>
      <c r="Q455" s="11"/>
      <c r="R455" s="11"/>
      <c r="S455" s="12"/>
      <c r="T455" s="16" t="str">
        <f aca="false">IF($J455="","",IF($C455="",1,$C455))</f>
        <v/>
      </c>
    </row>
    <row r="456" customFormat="false" ht="15" hidden="false" customHeight="false" outlineLevel="0" collapsed="false">
      <c r="A456" s="7"/>
      <c r="B456" s="8"/>
      <c r="C456" s="9"/>
      <c r="D456" s="10"/>
      <c r="E456" s="11"/>
      <c r="F456" s="11"/>
      <c r="G456" s="8"/>
      <c r="H456" s="11"/>
      <c r="I456" s="12"/>
      <c r="J456" s="13" t="str">
        <f aca="false">IF(OR($A456="",$D456=""),"",IF($C456="",1,$C456)*$D456+N($E456)-N($F456))</f>
        <v/>
      </c>
      <c r="K456" s="13" t="str">
        <f aca="false">IF($J456="","",IF($R456&lt;&gt;"",$R456,IF($G456="",0,MAX(IFERROR(INDEX(Settings!$D$6:$D$15,MATCH($G456,Settings!$A$6:$A$15,0)),0),$J456*IFERROR(INDEX(Settings!$B$6:$B$15,MATCH($G456,Settings!$A$6:$A$15,0)),0)+IFERROR(INDEX(Settings!$C$6:$C$15,MATCH($G456,Settings!$A$6:$A$15,0)),0)))))</f>
        <v/>
      </c>
      <c r="L456" s="13" t="str">
        <f aca="false">IF($J456="","",IF($C456="",1,$C456)*IF($Q456&lt;&gt;"",$Q456,IFERROR(INDEX(Products!$D$5:$D$54,MATCH($B456,Products!$A$5:$A$54,0)),0)))</f>
        <v/>
      </c>
      <c r="M456" s="14" t="str">
        <f aca="false">IF($J456="","",$J456-$K456-N($H456)-$L456)</f>
        <v/>
      </c>
      <c r="N456" s="15" t="str">
        <f aca="false">IF($J456="","",IF($J456&gt;0,$M456/$J456,""))</f>
        <v/>
      </c>
      <c r="O456" s="12"/>
      <c r="P456" s="12"/>
      <c r="Q456" s="11"/>
      <c r="R456" s="11"/>
      <c r="S456" s="12"/>
      <c r="T456" s="16" t="str">
        <f aca="false">IF($J456="","",IF($C456="",1,$C456))</f>
        <v/>
      </c>
    </row>
    <row r="457" customFormat="false" ht="15" hidden="false" customHeight="false" outlineLevel="0" collapsed="false">
      <c r="A457" s="7"/>
      <c r="B457" s="8"/>
      <c r="C457" s="9"/>
      <c r="D457" s="10"/>
      <c r="E457" s="11"/>
      <c r="F457" s="11"/>
      <c r="G457" s="8"/>
      <c r="H457" s="11"/>
      <c r="I457" s="12"/>
      <c r="J457" s="13" t="str">
        <f aca="false">IF(OR($A457="",$D457=""),"",IF($C457="",1,$C457)*$D457+N($E457)-N($F457))</f>
        <v/>
      </c>
      <c r="K457" s="13" t="str">
        <f aca="false">IF($J457="","",IF($R457&lt;&gt;"",$R457,IF($G457="",0,MAX(IFERROR(INDEX(Settings!$D$6:$D$15,MATCH($G457,Settings!$A$6:$A$15,0)),0),$J457*IFERROR(INDEX(Settings!$B$6:$B$15,MATCH($G457,Settings!$A$6:$A$15,0)),0)+IFERROR(INDEX(Settings!$C$6:$C$15,MATCH($G457,Settings!$A$6:$A$15,0)),0)))))</f>
        <v/>
      </c>
      <c r="L457" s="13" t="str">
        <f aca="false">IF($J457="","",IF($C457="",1,$C457)*IF($Q457&lt;&gt;"",$Q457,IFERROR(INDEX(Products!$D$5:$D$54,MATCH($B457,Products!$A$5:$A$54,0)),0)))</f>
        <v/>
      </c>
      <c r="M457" s="14" t="str">
        <f aca="false">IF($J457="","",$J457-$K457-N($H457)-$L457)</f>
        <v/>
      </c>
      <c r="N457" s="15" t="str">
        <f aca="false">IF($J457="","",IF($J457&gt;0,$M457/$J457,""))</f>
        <v/>
      </c>
      <c r="O457" s="12"/>
      <c r="P457" s="12"/>
      <c r="Q457" s="11"/>
      <c r="R457" s="11"/>
      <c r="S457" s="12"/>
      <c r="T457" s="16" t="str">
        <f aca="false">IF($J457="","",IF($C457="",1,$C457))</f>
        <v/>
      </c>
    </row>
    <row r="458" customFormat="false" ht="15" hidden="false" customHeight="false" outlineLevel="0" collapsed="false">
      <c r="A458" s="7"/>
      <c r="B458" s="8"/>
      <c r="C458" s="9"/>
      <c r="D458" s="10"/>
      <c r="E458" s="11"/>
      <c r="F458" s="11"/>
      <c r="G458" s="8"/>
      <c r="H458" s="11"/>
      <c r="I458" s="12"/>
      <c r="J458" s="13" t="str">
        <f aca="false">IF(OR($A458="",$D458=""),"",IF($C458="",1,$C458)*$D458+N($E458)-N($F458))</f>
        <v/>
      </c>
      <c r="K458" s="13" t="str">
        <f aca="false">IF($J458="","",IF($R458&lt;&gt;"",$R458,IF($G458="",0,MAX(IFERROR(INDEX(Settings!$D$6:$D$15,MATCH($G458,Settings!$A$6:$A$15,0)),0),$J458*IFERROR(INDEX(Settings!$B$6:$B$15,MATCH($G458,Settings!$A$6:$A$15,0)),0)+IFERROR(INDEX(Settings!$C$6:$C$15,MATCH($G458,Settings!$A$6:$A$15,0)),0)))))</f>
        <v/>
      </c>
      <c r="L458" s="13" t="str">
        <f aca="false">IF($J458="","",IF($C458="",1,$C458)*IF($Q458&lt;&gt;"",$Q458,IFERROR(INDEX(Products!$D$5:$D$54,MATCH($B458,Products!$A$5:$A$54,0)),0)))</f>
        <v/>
      </c>
      <c r="M458" s="14" t="str">
        <f aca="false">IF($J458="","",$J458-$K458-N($H458)-$L458)</f>
        <v/>
      </c>
      <c r="N458" s="15" t="str">
        <f aca="false">IF($J458="","",IF($J458&gt;0,$M458/$J458,""))</f>
        <v/>
      </c>
      <c r="O458" s="12"/>
      <c r="P458" s="12"/>
      <c r="Q458" s="11"/>
      <c r="R458" s="11"/>
      <c r="S458" s="12"/>
      <c r="T458" s="16" t="str">
        <f aca="false">IF($J458="","",IF($C458="",1,$C458))</f>
        <v/>
      </c>
    </row>
    <row r="459" customFormat="false" ht="15" hidden="false" customHeight="false" outlineLevel="0" collapsed="false">
      <c r="A459" s="7"/>
      <c r="B459" s="8"/>
      <c r="C459" s="9"/>
      <c r="D459" s="10"/>
      <c r="E459" s="11"/>
      <c r="F459" s="11"/>
      <c r="G459" s="8"/>
      <c r="H459" s="11"/>
      <c r="I459" s="12"/>
      <c r="J459" s="13" t="str">
        <f aca="false">IF(OR($A459="",$D459=""),"",IF($C459="",1,$C459)*$D459+N($E459)-N($F459))</f>
        <v/>
      </c>
      <c r="K459" s="13" t="str">
        <f aca="false">IF($J459="","",IF($R459&lt;&gt;"",$R459,IF($G459="",0,MAX(IFERROR(INDEX(Settings!$D$6:$D$15,MATCH($G459,Settings!$A$6:$A$15,0)),0),$J459*IFERROR(INDEX(Settings!$B$6:$B$15,MATCH($G459,Settings!$A$6:$A$15,0)),0)+IFERROR(INDEX(Settings!$C$6:$C$15,MATCH($G459,Settings!$A$6:$A$15,0)),0)))))</f>
        <v/>
      </c>
      <c r="L459" s="13" t="str">
        <f aca="false">IF($J459="","",IF($C459="",1,$C459)*IF($Q459&lt;&gt;"",$Q459,IFERROR(INDEX(Products!$D$5:$D$54,MATCH($B459,Products!$A$5:$A$54,0)),0)))</f>
        <v/>
      </c>
      <c r="M459" s="14" t="str">
        <f aca="false">IF($J459="","",$J459-$K459-N($H459)-$L459)</f>
        <v/>
      </c>
      <c r="N459" s="15" t="str">
        <f aca="false">IF($J459="","",IF($J459&gt;0,$M459/$J459,""))</f>
        <v/>
      </c>
      <c r="O459" s="12"/>
      <c r="P459" s="12"/>
      <c r="Q459" s="11"/>
      <c r="R459" s="11"/>
      <c r="S459" s="12"/>
      <c r="T459" s="16" t="str">
        <f aca="false">IF($J459="","",IF($C459="",1,$C459))</f>
        <v/>
      </c>
    </row>
    <row r="460" customFormat="false" ht="15" hidden="false" customHeight="false" outlineLevel="0" collapsed="false">
      <c r="A460" s="7"/>
      <c r="B460" s="8"/>
      <c r="C460" s="9"/>
      <c r="D460" s="10"/>
      <c r="E460" s="11"/>
      <c r="F460" s="11"/>
      <c r="G460" s="8"/>
      <c r="H460" s="11"/>
      <c r="I460" s="12"/>
      <c r="J460" s="13" t="str">
        <f aca="false">IF(OR($A460="",$D460=""),"",IF($C460="",1,$C460)*$D460+N($E460)-N($F460))</f>
        <v/>
      </c>
      <c r="K460" s="13" t="str">
        <f aca="false">IF($J460="","",IF($R460&lt;&gt;"",$R460,IF($G460="",0,MAX(IFERROR(INDEX(Settings!$D$6:$D$15,MATCH($G460,Settings!$A$6:$A$15,0)),0),$J460*IFERROR(INDEX(Settings!$B$6:$B$15,MATCH($G460,Settings!$A$6:$A$15,0)),0)+IFERROR(INDEX(Settings!$C$6:$C$15,MATCH($G460,Settings!$A$6:$A$15,0)),0)))))</f>
        <v/>
      </c>
      <c r="L460" s="13" t="str">
        <f aca="false">IF($J460="","",IF($C460="",1,$C460)*IF($Q460&lt;&gt;"",$Q460,IFERROR(INDEX(Products!$D$5:$D$54,MATCH($B460,Products!$A$5:$A$54,0)),0)))</f>
        <v/>
      </c>
      <c r="M460" s="14" t="str">
        <f aca="false">IF($J460="","",$J460-$K460-N($H460)-$L460)</f>
        <v/>
      </c>
      <c r="N460" s="15" t="str">
        <f aca="false">IF($J460="","",IF($J460&gt;0,$M460/$J460,""))</f>
        <v/>
      </c>
      <c r="O460" s="12"/>
      <c r="P460" s="12"/>
      <c r="Q460" s="11"/>
      <c r="R460" s="11"/>
      <c r="S460" s="12"/>
      <c r="T460" s="16" t="str">
        <f aca="false">IF($J460="","",IF($C460="",1,$C460))</f>
        <v/>
      </c>
    </row>
    <row r="461" customFormat="false" ht="15" hidden="false" customHeight="false" outlineLevel="0" collapsed="false">
      <c r="A461" s="7"/>
      <c r="B461" s="8"/>
      <c r="C461" s="9"/>
      <c r="D461" s="10"/>
      <c r="E461" s="11"/>
      <c r="F461" s="11"/>
      <c r="G461" s="8"/>
      <c r="H461" s="11"/>
      <c r="I461" s="12"/>
      <c r="J461" s="13" t="str">
        <f aca="false">IF(OR($A461="",$D461=""),"",IF($C461="",1,$C461)*$D461+N($E461)-N($F461))</f>
        <v/>
      </c>
      <c r="K461" s="13" t="str">
        <f aca="false">IF($J461="","",IF($R461&lt;&gt;"",$R461,IF($G461="",0,MAX(IFERROR(INDEX(Settings!$D$6:$D$15,MATCH($G461,Settings!$A$6:$A$15,0)),0),$J461*IFERROR(INDEX(Settings!$B$6:$B$15,MATCH($G461,Settings!$A$6:$A$15,0)),0)+IFERROR(INDEX(Settings!$C$6:$C$15,MATCH($G461,Settings!$A$6:$A$15,0)),0)))))</f>
        <v/>
      </c>
      <c r="L461" s="13" t="str">
        <f aca="false">IF($J461="","",IF($C461="",1,$C461)*IF($Q461&lt;&gt;"",$Q461,IFERROR(INDEX(Products!$D$5:$D$54,MATCH($B461,Products!$A$5:$A$54,0)),0)))</f>
        <v/>
      </c>
      <c r="M461" s="14" t="str">
        <f aca="false">IF($J461="","",$J461-$K461-N($H461)-$L461)</f>
        <v/>
      </c>
      <c r="N461" s="15" t="str">
        <f aca="false">IF($J461="","",IF($J461&gt;0,$M461/$J461,""))</f>
        <v/>
      </c>
      <c r="O461" s="12"/>
      <c r="P461" s="12"/>
      <c r="Q461" s="11"/>
      <c r="R461" s="11"/>
      <c r="S461" s="12"/>
      <c r="T461" s="16" t="str">
        <f aca="false">IF($J461="","",IF($C461="",1,$C461))</f>
        <v/>
      </c>
    </row>
    <row r="462" customFormat="false" ht="15" hidden="false" customHeight="false" outlineLevel="0" collapsed="false">
      <c r="A462" s="7"/>
      <c r="B462" s="8"/>
      <c r="C462" s="9"/>
      <c r="D462" s="10"/>
      <c r="E462" s="11"/>
      <c r="F462" s="11"/>
      <c r="G462" s="8"/>
      <c r="H462" s="11"/>
      <c r="I462" s="12"/>
      <c r="J462" s="13" t="str">
        <f aca="false">IF(OR($A462="",$D462=""),"",IF($C462="",1,$C462)*$D462+N($E462)-N($F462))</f>
        <v/>
      </c>
      <c r="K462" s="13" t="str">
        <f aca="false">IF($J462="","",IF($R462&lt;&gt;"",$R462,IF($G462="",0,MAX(IFERROR(INDEX(Settings!$D$6:$D$15,MATCH($G462,Settings!$A$6:$A$15,0)),0),$J462*IFERROR(INDEX(Settings!$B$6:$B$15,MATCH($G462,Settings!$A$6:$A$15,0)),0)+IFERROR(INDEX(Settings!$C$6:$C$15,MATCH($G462,Settings!$A$6:$A$15,0)),0)))))</f>
        <v/>
      </c>
      <c r="L462" s="13" t="str">
        <f aca="false">IF($J462="","",IF($C462="",1,$C462)*IF($Q462&lt;&gt;"",$Q462,IFERROR(INDEX(Products!$D$5:$D$54,MATCH($B462,Products!$A$5:$A$54,0)),0)))</f>
        <v/>
      </c>
      <c r="M462" s="14" t="str">
        <f aca="false">IF($J462="","",$J462-$K462-N($H462)-$L462)</f>
        <v/>
      </c>
      <c r="N462" s="15" t="str">
        <f aca="false">IF($J462="","",IF($J462&gt;0,$M462/$J462,""))</f>
        <v/>
      </c>
      <c r="O462" s="12"/>
      <c r="P462" s="12"/>
      <c r="Q462" s="11"/>
      <c r="R462" s="11"/>
      <c r="S462" s="12"/>
      <c r="T462" s="16" t="str">
        <f aca="false">IF($J462="","",IF($C462="",1,$C462))</f>
        <v/>
      </c>
    </row>
    <row r="463" customFormat="false" ht="15" hidden="false" customHeight="false" outlineLevel="0" collapsed="false">
      <c r="A463" s="7"/>
      <c r="B463" s="8"/>
      <c r="C463" s="9"/>
      <c r="D463" s="10"/>
      <c r="E463" s="11"/>
      <c r="F463" s="11"/>
      <c r="G463" s="8"/>
      <c r="H463" s="11"/>
      <c r="I463" s="12"/>
      <c r="J463" s="13" t="str">
        <f aca="false">IF(OR($A463="",$D463=""),"",IF($C463="",1,$C463)*$D463+N($E463)-N($F463))</f>
        <v/>
      </c>
      <c r="K463" s="13" t="str">
        <f aca="false">IF($J463="","",IF($R463&lt;&gt;"",$R463,IF($G463="",0,MAX(IFERROR(INDEX(Settings!$D$6:$D$15,MATCH($G463,Settings!$A$6:$A$15,0)),0),$J463*IFERROR(INDEX(Settings!$B$6:$B$15,MATCH($G463,Settings!$A$6:$A$15,0)),0)+IFERROR(INDEX(Settings!$C$6:$C$15,MATCH($G463,Settings!$A$6:$A$15,0)),0)))))</f>
        <v/>
      </c>
      <c r="L463" s="13" t="str">
        <f aca="false">IF($J463="","",IF($C463="",1,$C463)*IF($Q463&lt;&gt;"",$Q463,IFERROR(INDEX(Products!$D$5:$D$54,MATCH($B463,Products!$A$5:$A$54,0)),0)))</f>
        <v/>
      </c>
      <c r="M463" s="14" t="str">
        <f aca="false">IF($J463="","",$J463-$K463-N($H463)-$L463)</f>
        <v/>
      </c>
      <c r="N463" s="15" t="str">
        <f aca="false">IF($J463="","",IF($J463&gt;0,$M463/$J463,""))</f>
        <v/>
      </c>
      <c r="O463" s="12"/>
      <c r="P463" s="12"/>
      <c r="Q463" s="11"/>
      <c r="R463" s="11"/>
      <c r="S463" s="12"/>
      <c r="T463" s="16" t="str">
        <f aca="false">IF($J463="","",IF($C463="",1,$C463))</f>
        <v/>
      </c>
    </row>
    <row r="464" customFormat="false" ht="15" hidden="false" customHeight="false" outlineLevel="0" collapsed="false">
      <c r="A464" s="7"/>
      <c r="B464" s="8"/>
      <c r="C464" s="9"/>
      <c r="D464" s="10"/>
      <c r="E464" s="11"/>
      <c r="F464" s="11"/>
      <c r="G464" s="8"/>
      <c r="H464" s="11"/>
      <c r="I464" s="12"/>
      <c r="J464" s="13" t="str">
        <f aca="false">IF(OR($A464="",$D464=""),"",IF($C464="",1,$C464)*$D464+N($E464)-N($F464))</f>
        <v/>
      </c>
      <c r="K464" s="13" t="str">
        <f aca="false">IF($J464="","",IF($R464&lt;&gt;"",$R464,IF($G464="",0,MAX(IFERROR(INDEX(Settings!$D$6:$D$15,MATCH($G464,Settings!$A$6:$A$15,0)),0),$J464*IFERROR(INDEX(Settings!$B$6:$B$15,MATCH($G464,Settings!$A$6:$A$15,0)),0)+IFERROR(INDEX(Settings!$C$6:$C$15,MATCH($G464,Settings!$A$6:$A$15,0)),0)))))</f>
        <v/>
      </c>
      <c r="L464" s="13" t="str">
        <f aca="false">IF($J464="","",IF($C464="",1,$C464)*IF($Q464&lt;&gt;"",$Q464,IFERROR(INDEX(Products!$D$5:$D$54,MATCH($B464,Products!$A$5:$A$54,0)),0)))</f>
        <v/>
      </c>
      <c r="M464" s="14" t="str">
        <f aca="false">IF($J464="","",$J464-$K464-N($H464)-$L464)</f>
        <v/>
      </c>
      <c r="N464" s="15" t="str">
        <f aca="false">IF($J464="","",IF($J464&gt;0,$M464/$J464,""))</f>
        <v/>
      </c>
      <c r="O464" s="12"/>
      <c r="P464" s="12"/>
      <c r="Q464" s="11"/>
      <c r="R464" s="11"/>
      <c r="S464" s="12"/>
      <c r="T464" s="16" t="str">
        <f aca="false">IF($J464="","",IF($C464="",1,$C464))</f>
        <v/>
      </c>
    </row>
    <row r="465" customFormat="false" ht="15" hidden="false" customHeight="false" outlineLevel="0" collapsed="false">
      <c r="A465" s="7"/>
      <c r="B465" s="8"/>
      <c r="C465" s="9"/>
      <c r="D465" s="10"/>
      <c r="E465" s="11"/>
      <c r="F465" s="11"/>
      <c r="G465" s="8"/>
      <c r="H465" s="11"/>
      <c r="I465" s="12"/>
      <c r="J465" s="13" t="str">
        <f aca="false">IF(OR($A465="",$D465=""),"",IF($C465="",1,$C465)*$D465+N($E465)-N($F465))</f>
        <v/>
      </c>
      <c r="K465" s="13" t="str">
        <f aca="false">IF($J465="","",IF($R465&lt;&gt;"",$R465,IF($G465="",0,MAX(IFERROR(INDEX(Settings!$D$6:$D$15,MATCH($G465,Settings!$A$6:$A$15,0)),0),$J465*IFERROR(INDEX(Settings!$B$6:$B$15,MATCH($G465,Settings!$A$6:$A$15,0)),0)+IFERROR(INDEX(Settings!$C$6:$C$15,MATCH($G465,Settings!$A$6:$A$15,0)),0)))))</f>
        <v/>
      </c>
      <c r="L465" s="13" t="str">
        <f aca="false">IF($J465="","",IF($C465="",1,$C465)*IF($Q465&lt;&gt;"",$Q465,IFERROR(INDEX(Products!$D$5:$D$54,MATCH($B465,Products!$A$5:$A$54,0)),0)))</f>
        <v/>
      </c>
      <c r="M465" s="14" t="str">
        <f aca="false">IF($J465="","",$J465-$K465-N($H465)-$L465)</f>
        <v/>
      </c>
      <c r="N465" s="15" t="str">
        <f aca="false">IF($J465="","",IF($J465&gt;0,$M465/$J465,""))</f>
        <v/>
      </c>
      <c r="O465" s="12"/>
      <c r="P465" s="12"/>
      <c r="Q465" s="11"/>
      <c r="R465" s="11"/>
      <c r="S465" s="12"/>
      <c r="T465" s="16" t="str">
        <f aca="false">IF($J465="","",IF($C465="",1,$C465))</f>
        <v/>
      </c>
    </row>
    <row r="466" customFormat="false" ht="15" hidden="false" customHeight="false" outlineLevel="0" collapsed="false">
      <c r="A466" s="7"/>
      <c r="B466" s="8"/>
      <c r="C466" s="9"/>
      <c r="D466" s="10"/>
      <c r="E466" s="11"/>
      <c r="F466" s="11"/>
      <c r="G466" s="8"/>
      <c r="H466" s="11"/>
      <c r="I466" s="12"/>
      <c r="J466" s="13" t="str">
        <f aca="false">IF(OR($A466="",$D466=""),"",IF($C466="",1,$C466)*$D466+N($E466)-N($F466))</f>
        <v/>
      </c>
      <c r="K466" s="13" t="str">
        <f aca="false">IF($J466="","",IF($R466&lt;&gt;"",$R466,IF($G466="",0,MAX(IFERROR(INDEX(Settings!$D$6:$D$15,MATCH($G466,Settings!$A$6:$A$15,0)),0),$J466*IFERROR(INDEX(Settings!$B$6:$B$15,MATCH($G466,Settings!$A$6:$A$15,0)),0)+IFERROR(INDEX(Settings!$C$6:$C$15,MATCH($G466,Settings!$A$6:$A$15,0)),0)))))</f>
        <v/>
      </c>
      <c r="L466" s="13" t="str">
        <f aca="false">IF($J466="","",IF($C466="",1,$C466)*IF($Q466&lt;&gt;"",$Q466,IFERROR(INDEX(Products!$D$5:$D$54,MATCH($B466,Products!$A$5:$A$54,0)),0)))</f>
        <v/>
      </c>
      <c r="M466" s="14" t="str">
        <f aca="false">IF($J466="","",$J466-$K466-N($H466)-$L466)</f>
        <v/>
      </c>
      <c r="N466" s="15" t="str">
        <f aca="false">IF($J466="","",IF($J466&gt;0,$M466/$J466,""))</f>
        <v/>
      </c>
      <c r="O466" s="12"/>
      <c r="P466" s="12"/>
      <c r="Q466" s="11"/>
      <c r="R466" s="11"/>
      <c r="S466" s="12"/>
      <c r="T466" s="16" t="str">
        <f aca="false">IF($J466="","",IF($C466="",1,$C466))</f>
        <v/>
      </c>
    </row>
    <row r="467" customFormat="false" ht="15" hidden="false" customHeight="false" outlineLevel="0" collapsed="false">
      <c r="A467" s="7"/>
      <c r="B467" s="8"/>
      <c r="C467" s="9"/>
      <c r="D467" s="10"/>
      <c r="E467" s="11"/>
      <c r="F467" s="11"/>
      <c r="G467" s="8"/>
      <c r="H467" s="11"/>
      <c r="I467" s="12"/>
      <c r="J467" s="13" t="str">
        <f aca="false">IF(OR($A467="",$D467=""),"",IF($C467="",1,$C467)*$D467+N($E467)-N($F467))</f>
        <v/>
      </c>
      <c r="K467" s="13" t="str">
        <f aca="false">IF($J467="","",IF($R467&lt;&gt;"",$R467,IF($G467="",0,MAX(IFERROR(INDEX(Settings!$D$6:$D$15,MATCH($G467,Settings!$A$6:$A$15,0)),0),$J467*IFERROR(INDEX(Settings!$B$6:$B$15,MATCH($G467,Settings!$A$6:$A$15,0)),0)+IFERROR(INDEX(Settings!$C$6:$C$15,MATCH($G467,Settings!$A$6:$A$15,0)),0)))))</f>
        <v/>
      </c>
      <c r="L467" s="13" t="str">
        <f aca="false">IF($J467="","",IF($C467="",1,$C467)*IF($Q467&lt;&gt;"",$Q467,IFERROR(INDEX(Products!$D$5:$D$54,MATCH($B467,Products!$A$5:$A$54,0)),0)))</f>
        <v/>
      </c>
      <c r="M467" s="14" t="str">
        <f aca="false">IF($J467="","",$J467-$K467-N($H467)-$L467)</f>
        <v/>
      </c>
      <c r="N467" s="15" t="str">
        <f aca="false">IF($J467="","",IF($J467&gt;0,$M467/$J467,""))</f>
        <v/>
      </c>
      <c r="O467" s="12"/>
      <c r="P467" s="12"/>
      <c r="Q467" s="11"/>
      <c r="R467" s="11"/>
      <c r="S467" s="12"/>
      <c r="T467" s="16" t="str">
        <f aca="false">IF($J467="","",IF($C467="",1,$C467))</f>
        <v/>
      </c>
    </row>
    <row r="468" customFormat="false" ht="15" hidden="false" customHeight="false" outlineLevel="0" collapsed="false">
      <c r="A468" s="7"/>
      <c r="B468" s="8"/>
      <c r="C468" s="9"/>
      <c r="D468" s="10"/>
      <c r="E468" s="11"/>
      <c r="F468" s="11"/>
      <c r="G468" s="8"/>
      <c r="H468" s="11"/>
      <c r="I468" s="12"/>
      <c r="J468" s="13" t="str">
        <f aca="false">IF(OR($A468="",$D468=""),"",IF($C468="",1,$C468)*$D468+N($E468)-N($F468))</f>
        <v/>
      </c>
      <c r="K468" s="13" t="str">
        <f aca="false">IF($J468="","",IF($R468&lt;&gt;"",$R468,IF($G468="",0,MAX(IFERROR(INDEX(Settings!$D$6:$D$15,MATCH($G468,Settings!$A$6:$A$15,0)),0),$J468*IFERROR(INDEX(Settings!$B$6:$B$15,MATCH($G468,Settings!$A$6:$A$15,0)),0)+IFERROR(INDEX(Settings!$C$6:$C$15,MATCH($G468,Settings!$A$6:$A$15,0)),0)))))</f>
        <v/>
      </c>
      <c r="L468" s="13" t="str">
        <f aca="false">IF($J468="","",IF($C468="",1,$C468)*IF($Q468&lt;&gt;"",$Q468,IFERROR(INDEX(Products!$D$5:$D$54,MATCH($B468,Products!$A$5:$A$54,0)),0)))</f>
        <v/>
      </c>
      <c r="M468" s="14" t="str">
        <f aca="false">IF($J468="","",$J468-$K468-N($H468)-$L468)</f>
        <v/>
      </c>
      <c r="N468" s="15" t="str">
        <f aca="false">IF($J468="","",IF($J468&gt;0,$M468/$J468,""))</f>
        <v/>
      </c>
      <c r="O468" s="12"/>
      <c r="P468" s="12"/>
      <c r="Q468" s="11"/>
      <c r="R468" s="11"/>
      <c r="S468" s="12"/>
      <c r="T468" s="16" t="str">
        <f aca="false">IF($J468="","",IF($C468="",1,$C468))</f>
        <v/>
      </c>
    </row>
    <row r="469" customFormat="false" ht="15" hidden="false" customHeight="false" outlineLevel="0" collapsed="false">
      <c r="A469" s="7"/>
      <c r="B469" s="8"/>
      <c r="C469" s="9"/>
      <c r="D469" s="10"/>
      <c r="E469" s="11"/>
      <c r="F469" s="11"/>
      <c r="G469" s="8"/>
      <c r="H469" s="11"/>
      <c r="I469" s="12"/>
      <c r="J469" s="13" t="str">
        <f aca="false">IF(OR($A469="",$D469=""),"",IF($C469="",1,$C469)*$D469+N($E469)-N($F469))</f>
        <v/>
      </c>
      <c r="K469" s="13" t="str">
        <f aca="false">IF($J469="","",IF($R469&lt;&gt;"",$R469,IF($G469="",0,MAX(IFERROR(INDEX(Settings!$D$6:$D$15,MATCH($G469,Settings!$A$6:$A$15,0)),0),$J469*IFERROR(INDEX(Settings!$B$6:$B$15,MATCH($G469,Settings!$A$6:$A$15,0)),0)+IFERROR(INDEX(Settings!$C$6:$C$15,MATCH($G469,Settings!$A$6:$A$15,0)),0)))))</f>
        <v/>
      </c>
      <c r="L469" s="13" t="str">
        <f aca="false">IF($J469="","",IF($C469="",1,$C469)*IF($Q469&lt;&gt;"",$Q469,IFERROR(INDEX(Products!$D$5:$D$54,MATCH($B469,Products!$A$5:$A$54,0)),0)))</f>
        <v/>
      </c>
      <c r="M469" s="14" t="str">
        <f aca="false">IF($J469="","",$J469-$K469-N($H469)-$L469)</f>
        <v/>
      </c>
      <c r="N469" s="15" t="str">
        <f aca="false">IF($J469="","",IF($J469&gt;0,$M469/$J469,""))</f>
        <v/>
      </c>
      <c r="O469" s="12"/>
      <c r="P469" s="12"/>
      <c r="Q469" s="11"/>
      <c r="R469" s="11"/>
      <c r="S469" s="12"/>
      <c r="T469" s="16" t="str">
        <f aca="false">IF($J469="","",IF($C469="",1,$C469))</f>
        <v/>
      </c>
    </row>
    <row r="470" customFormat="false" ht="15" hidden="false" customHeight="false" outlineLevel="0" collapsed="false">
      <c r="A470" s="7"/>
      <c r="B470" s="8"/>
      <c r="C470" s="9"/>
      <c r="D470" s="10"/>
      <c r="E470" s="11"/>
      <c r="F470" s="11"/>
      <c r="G470" s="8"/>
      <c r="H470" s="11"/>
      <c r="I470" s="12"/>
      <c r="J470" s="13" t="str">
        <f aca="false">IF(OR($A470="",$D470=""),"",IF($C470="",1,$C470)*$D470+N($E470)-N($F470))</f>
        <v/>
      </c>
      <c r="K470" s="13" t="str">
        <f aca="false">IF($J470="","",IF($R470&lt;&gt;"",$R470,IF($G470="",0,MAX(IFERROR(INDEX(Settings!$D$6:$D$15,MATCH($G470,Settings!$A$6:$A$15,0)),0),$J470*IFERROR(INDEX(Settings!$B$6:$B$15,MATCH($G470,Settings!$A$6:$A$15,0)),0)+IFERROR(INDEX(Settings!$C$6:$C$15,MATCH($G470,Settings!$A$6:$A$15,0)),0)))))</f>
        <v/>
      </c>
      <c r="L470" s="13" t="str">
        <f aca="false">IF($J470="","",IF($C470="",1,$C470)*IF($Q470&lt;&gt;"",$Q470,IFERROR(INDEX(Products!$D$5:$D$54,MATCH($B470,Products!$A$5:$A$54,0)),0)))</f>
        <v/>
      </c>
      <c r="M470" s="14" t="str">
        <f aca="false">IF($J470="","",$J470-$K470-N($H470)-$L470)</f>
        <v/>
      </c>
      <c r="N470" s="15" t="str">
        <f aca="false">IF($J470="","",IF($J470&gt;0,$M470/$J470,""))</f>
        <v/>
      </c>
      <c r="O470" s="12"/>
      <c r="P470" s="12"/>
      <c r="Q470" s="11"/>
      <c r="R470" s="11"/>
      <c r="S470" s="12"/>
      <c r="T470" s="16" t="str">
        <f aca="false">IF($J470="","",IF($C470="",1,$C470))</f>
        <v/>
      </c>
    </row>
    <row r="471" customFormat="false" ht="15" hidden="false" customHeight="false" outlineLevel="0" collapsed="false">
      <c r="A471" s="7"/>
      <c r="B471" s="8"/>
      <c r="C471" s="9"/>
      <c r="D471" s="10"/>
      <c r="E471" s="11"/>
      <c r="F471" s="11"/>
      <c r="G471" s="8"/>
      <c r="H471" s="11"/>
      <c r="I471" s="12"/>
      <c r="J471" s="13" t="str">
        <f aca="false">IF(OR($A471="",$D471=""),"",IF($C471="",1,$C471)*$D471+N($E471)-N($F471))</f>
        <v/>
      </c>
      <c r="K471" s="13" t="str">
        <f aca="false">IF($J471="","",IF($R471&lt;&gt;"",$R471,IF($G471="",0,MAX(IFERROR(INDEX(Settings!$D$6:$D$15,MATCH($G471,Settings!$A$6:$A$15,0)),0),$J471*IFERROR(INDEX(Settings!$B$6:$B$15,MATCH($G471,Settings!$A$6:$A$15,0)),0)+IFERROR(INDEX(Settings!$C$6:$C$15,MATCH($G471,Settings!$A$6:$A$15,0)),0)))))</f>
        <v/>
      </c>
      <c r="L471" s="13" t="str">
        <f aca="false">IF($J471="","",IF($C471="",1,$C471)*IF($Q471&lt;&gt;"",$Q471,IFERROR(INDEX(Products!$D$5:$D$54,MATCH($B471,Products!$A$5:$A$54,0)),0)))</f>
        <v/>
      </c>
      <c r="M471" s="14" t="str">
        <f aca="false">IF($J471="","",$J471-$K471-N($H471)-$L471)</f>
        <v/>
      </c>
      <c r="N471" s="15" t="str">
        <f aca="false">IF($J471="","",IF($J471&gt;0,$M471/$J471,""))</f>
        <v/>
      </c>
      <c r="O471" s="12"/>
      <c r="P471" s="12"/>
      <c r="Q471" s="11"/>
      <c r="R471" s="11"/>
      <c r="S471" s="12"/>
      <c r="T471" s="16" t="str">
        <f aca="false">IF($J471="","",IF($C471="",1,$C471))</f>
        <v/>
      </c>
    </row>
    <row r="472" customFormat="false" ht="15" hidden="false" customHeight="false" outlineLevel="0" collapsed="false">
      <c r="A472" s="7"/>
      <c r="B472" s="8"/>
      <c r="C472" s="9"/>
      <c r="D472" s="10"/>
      <c r="E472" s="11"/>
      <c r="F472" s="11"/>
      <c r="G472" s="8"/>
      <c r="H472" s="11"/>
      <c r="I472" s="12"/>
      <c r="J472" s="13" t="str">
        <f aca="false">IF(OR($A472="",$D472=""),"",IF($C472="",1,$C472)*$D472+N($E472)-N($F472))</f>
        <v/>
      </c>
      <c r="K472" s="13" t="str">
        <f aca="false">IF($J472="","",IF($R472&lt;&gt;"",$R472,IF($G472="",0,MAX(IFERROR(INDEX(Settings!$D$6:$D$15,MATCH($G472,Settings!$A$6:$A$15,0)),0),$J472*IFERROR(INDEX(Settings!$B$6:$B$15,MATCH($G472,Settings!$A$6:$A$15,0)),0)+IFERROR(INDEX(Settings!$C$6:$C$15,MATCH($G472,Settings!$A$6:$A$15,0)),0)))))</f>
        <v/>
      </c>
      <c r="L472" s="13" t="str">
        <f aca="false">IF($J472="","",IF($C472="",1,$C472)*IF($Q472&lt;&gt;"",$Q472,IFERROR(INDEX(Products!$D$5:$D$54,MATCH($B472,Products!$A$5:$A$54,0)),0)))</f>
        <v/>
      </c>
      <c r="M472" s="14" t="str">
        <f aca="false">IF($J472="","",$J472-$K472-N($H472)-$L472)</f>
        <v/>
      </c>
      <c r="N472" s="15" t="str">
        <f aca="false">IF($J472="","",IF($J472&gt;0,$M472/$J472,""))</f>
        <v/>
      </c>
      <c r="O472" s="12"/>
      <c r="P472" s="12"/>
      <c r="Q472" s="11"/>
      <c r="R472" s="11"/>
      <c r="S472" s="12"/>
      <c r="T472" s="16" t="str">
        <f aca="false">IF($J472="","",IF($C472="",1,$C472))</f>
        <v/>
      </c>
    </row>
    <row r="473" customFormat="false" ht="15" hidden="false" customHeight="false" outlineLevel="0" collapsed="false">
      <c r="A473" s="7"/>
      <c r="B473" s="8"/>
      <c r="C473" s="9"/>
      <c r="D473" s="10"/>
      <c r="E473" s="11"/>
      <c r="F473" s="11"/>
      <c r="G473" s="8"/>
      <c r="H473" s="11"/>
      <c r="I473" s="12"/>
      <c r="J473" s="13" t="str">
        <f aca="false">IF(OR($A473="",$D473=""),"",IF($C473="",1,$C473)*$D473+N($E473)-N($F473))</f>
        <v/>
      </c>
      <c r="K473" s="13" t="str">
        <f aca="false">IF($J473="","",IF($R473&lt;&gt;"",$R473,IF($G473="",0,MAX(IFERROR(INDEX(Settings!$D$6:$D$15,MATCH($G473,Settings!$A$6:$A$15,0)),0),$J473*IFERROR(INDEX(Settings!$B$6:$B$15,MATCH($G473,Settings!$A$6:$A$15,0)),0)+IFERROR(INDEX(Settings!$C$6:$C$15,MATCH($G473,Settings!$A$6:$A$15,0)),0)))))</f>
        <v/>
      </c>
      <c r="L473" s="13" t="str">
        <f aca="false">IF($J473="","",IF($C473="",1,$C473)*IF($Q473&lt;&gt;"",$Q473,IFERROR(INDEX(Products!$D$5:$D$54,MATCH($B473,Products!$A$5:$A$54,0)),0)))</f>
        <v/>
      </c>
      <c r="M473" s="14" t="str">
        <f aca="false">IF($J473="","",$J473-$K473-N($H473)-$L473)</f>
        <v/>
      </c>
      <c r="N473" s="15" t="str">
        <f aca="false">IF($J473="","",IF($J473&gt;0,$M473/$J473,""))</f>
        <v/>
      </c>
      <c r="O473" s="12"/>
      <c r="P473" s="12"/>
      <c r="Q473" s="11"/>
      <c r="R473" s="11"/>
      <c r="S473" s="12"/>
      <c r="T473" s="16" t="str">
        <f aca="false">IF($J473="","",IF($C473="",1,$C473))</f>
        <v/>
      </c>
    </row>
    <row r="474" customFormat="false" ht="15" hidden="false" customHeight="false" outlineLevel="0" collapsed="false">
      <c r="A474" s="7"/>
      <c r="B474" s="8"/>
      <c r="C474" s="9"/>
      <c r="D474" s="10"/>
      <c r="E474" s="11"/>
      <c r="F474" s="11"/>
      <c r="G474" s="8"/>
      <c r="H474" s="11"/>
      <c r="I474" s="12"/>
      <c r="J474" s="13" t="str">
        <f aca="false">IF(OR($A474="",$D474=""),"",IF($C474="",1,$C474)*$D474+N($E474)-N($F474))</f>
        <v/>
      </c>
      <c r="K474" s="13" t="str">
        <f aca="false">IF($J474="","",IF($R474&lt;&gt;"",$R474,IF($G474="",0,MAX(IFERROR(INDEX(Settings!$D$6:$D$15,MATCH($G474,Settings!$A$6:$A$15,0)),0),$J474*IFERROR(INDEX(Settings!$B$6:$B$15,MATCH($G474,Settings!$A$6:$A$15,0)),0)+IFERROR(INDEX(Settings!$C$6:$C$15,MATCH($G474,Settings!$A$6:$A$15,0)),0)))))</f>
        <v/>
      </c>
      <c r="L474" s="13" t="str">
        <f aca="false">IF($J474="","",IF($C474="",1,$C474)*IF($Q474&lt;&gt;"",$Q474,IFERROR(INDEX(Products!$D$5:$D$54,MATCH($B474,Products!$A$5:$A$54,0)),0)))</f>
        <v/>
      </c>
      <c r="M474" s="14" t="str">
        <f aca="false">IF($J474="","",$J474-$K474-N($H474)-$L474)</f>
        <v/>
      </c>
      <c r="N474" s="15" t="str">
        <f aca="false">IF($J474="","",IF($J474&gt;0,$M474/$J474,""))</f>
        <v/>
      </c>
      <c r="O474" s="12"/>
      <c r="P474" s="12"/>
      <c r="Q474" s="11"/>
      <c r="R474" s="11"/>
      <c r="S474" s="12"/>
      <c r="T474" s="16" t="str">
        <f aca="false">IF($J474="","",IF($C474="",1,$C474))</f>
        <v/>
      </c>
    </row>
    <row r="475" customFormat="false" ht="15" hidden="false" customHeight="false" outlineLevel="0" collapsed="false">
      <c r="A475" s="7"/>
      <c r="B475" s="8"/>
      <c r="C475" s="9"/>
      <c r="D475" s="10"/>
      <c r="E475" s="11"/>
      <c r="F475" s="11"/>
      <c r="G475" s="8"/>
      <c r="H475" s="11"/>
      <c r="I475" s="12"/>
      <c r="J475" s="13" t="str">
        <f aca="false">IF(OR($A475="",$D475=""),"",IF($C475="",1,$C475)*$D475+N($E475)-N($F475))</f>
        <v/>
      </c>
      <c r="K475" s="13" t="str">
        <f aca="false">IF($J475="","",IF($R475&lt;&gt;"",$R475,IF($G475="",0,MAX(IFERROR(INDEX(Settings!$D$6:$D$15,MATCH($G475,Settings!$A$6:$A$15,0)),0),$J475*IFERROR(INDEX(Settings!$B$6:$B$15,MATCH($G475,Settings!$A$6:$A$15,0)),0)+IFERROR(INDEX(Settings!$C$6:$C$15,MATCH($G475,Settings!$A$6:$A$15,0)),0)))))</f>
        <v/>
      </c>
      <c r="L475" s="13" t="str">
        <f aca="false">IF($J475="","",IF($C475="",1,$C475)*IF($Q475&lt;&gt;"",$Q475,IFERROR(INDEX(Products!$D$5:$D$54,MATCH($B475,Products!$A$5:$A$54,0)),0)))</f>
        <v/>
      </c>
      <c r="M475" s="14" t="str">
        <f aca="false">IF($J475="","",$J475-$K475-N($H475)-$L475)</f>
        <v/>
      </c>
      <c r="N475" s="15" t="str">
        <f aca="false">IF($J475="","",IF($J475&gt;0,$M475/$J475,""))</f>
        <v/>
      </c>
      <c r="O475" s="12"/>
      <c r="P475" s="12"/>
      <c r="Q475" s="11"/>
      <c r="R475" s="11"/>
      <c r="S475" s="12"/>
      <c r="T475" s="16" t="str">
        <f aca="false">IF($J475="","",IF($C475="",1,$C475))</f>
        <v/>
      </c>
    </row>
    <row r="476" customFormat="false" ht="15" hidden="false" customHeight="false" outlineLevel="0" collapsed="false">
      <c r="A476" s="7"/>
      <c r="B476" s="8"/>
      <c r="C476" s="9"/>
      <c r="D476" s="10"/>
      <c r="E476" s="11"/>
      <c r="F476" s="11"/>
      <c r="G476" s="8"/>
      <c r="H476" s="11"/>
      <c r="I476" s="12"/>
      <c r="J476" s="13" t="str">
        <f aca="false">IF(OR($A476="",$D476=""),"",IF($C476="",1,$C476)*$D476+N($E476)-N($F476))</f>
        <v/>
      </c>
      <c r="K476" s="13" t="str">
        <f aca="false">IF($J476="","",IF($R476&lt;&gt;"",$R476,IF($G476="",0,MAX(IFERROR(INDEX(Settings!$D$6:$D$15,MATCH($G476,Settings!$A$6:$A$15,0)),0),$J476*IFERROR(INDEX(Settings!$B$6:$B$15,MATCH($G476,Settings!$A$6:$A$15,0)),0)+IFERROR(INDEX(Settings!$C$6:$C$15,MATCH($G476,Settings!$A$6:$A$15,0)),0)))))</f>
        <v/>
      </c>
      <c r="L476" s="13" t="str">
        <f aca="false">IF($J476="","",IF($C476="",1,$C476)*IF($Q476&lt;&gt;"",$Q476,IFERROR(INDEX(Products!$D$5:$D$54,MATCH($B476,Products!$A$5:$A$54,0)),0)))</f>
        <v/>
      </c>
      <c r="M476" s="14" t="str">
        <f aca="false">IF($J476="","",$J476-$K476-N($H476)-$L476)</f>
        <v/>
      </c>
      <c r="N476" s="15" t="str">
        <f aca="false">IF($J476="","",IF($J476&gt;0,$M476/$J476,""))</f>
        <v/>
      </c>
      <c r="O476" s="12"/>
      <c r="P476" s="12"/>
      <c r="Q476" s="11"/>
      <c r="R476" s="11"/>
      <c r="S476" s="12"/>
      <c r="T476" s="16" t="str">
        <f aca="false">IF($J476="","",IF($C476="",1,$C476))</f>
        <v/>
      </c>
    </row>
    <row r="477" customFormat="false" ht="15" hidden="false" customHeight="false" outlineLevel="0" collapsed="false">
      <c r="A477" s="7"/>
      <c r="B477" s="8"/>
      <c r="C477" s="9"/>
      <c r="D477" s="10"/>
      <c r="E477" s="11"/>
      <c r="F477" s="11"/>
      <c r="G477" s="8"/>
      <c r="H477" s="11"/>
      <c r="I477" s="12"/>
      <c r="J477" s="13" t="str">
        <f aca="false">IF(OR($A477="",$D477=""),"",IF($C477="",1,$C477)*$D477+N($E477)-N($F477))</f>
        <v/>
      </c>
      <c r="K477" s="13" t="str">
        <f aca="false">IF($J477="","",IF($R477&lt;&gt;"",$R477,IF($G477="",0,MAX(IFERROR(INDEX(Settings!$D$6:$D$15,MATCH($G477,Settings!$A$6:$A$15,0)),0),$J477*IFERROR(INDEX(Settings!$B$6:$B$15,MATCH($G477,Settings!$A$6:$A$15,0)),0)+IFERROR(INDEX(Settings!$C$6:$C$15,MATCH($G477,Settings!$A$6:$A$15,0)),0)))))</f>
        <v/>
      </c>
      <c r="L477" s="13" t="str">
        <f aca="false">IF($J477="","",IF($C477="",1,$C477)*IF($Q477&lt;&gt;"",$Q477,IFERROR(INDEX(Products!$D$5:$D$54,MATCH($B477,Products!$A$5:$A$54,0)),0)))</f>
        <v/>
      </c>
      <c r="M477" s="14" t="str">
        <f aca="false">IF($J477="","",$J477-$K477-N($H477)-$L477)</f>
        <v/>
      </c>
      <c r="N477" s="15" t="str">
        <f aca="false">IF($J477="","",IF($J477&gt;0,$M477/$J477,""))</f>
        <v/>
      </c>
      <c r="O477" s="12"/>
      <c r="P477" s="12"/>
      <c r="Q477" s="11"/>
      <c r="R477" s="11"/>
      <c r="S477" s="12"/>
      <c r="T477" s="16" t="str">
        <f aca="false">IF($J477="","",IF($C477="",1,$C477))</f>
        <v/>
      </c>
    </row>
    <row r="478" customFormat="false" ht="15" hidden="false" customHeight="false" outlineLevel="0" collapsed="false">
      <c r="A478" s="7"/>
      <c r="B478" s="8"/>
      <c r="C478" s="9"/>
      <c r="D478" s="10"/>
      <c r="E478" s="11"/>
      <c r="F478" s="11"/>
      <c r="G478" s="8"/>
      <c r="H478" s="11"/>
      <c r="I478" s="12"/>
      <c r="J478" s="13" t="str">
        <f aca="false">IF(OR($A478="",$D478=""),"",IF($C478="",1,$C478)*$D478+N($E478)-N($F478))</f>
        <v/>
      </c>
      <c r="K478" s="13" t="str">
        <f aca="false">IF($J478="","",IF($R478&lt;&gt;"",$R478,IF($G478="",0,MAX(IFERROR(INDEX(Settings!$D$6:$D$15,MATCH($G478,Settings!$A$6:$A$15,0)),0),$J478*IFERROR(INDEX(Settings!$B$6:$B$15,MATCH($G478,Settings!$A$6:$A$15,0)),0)+IFERROR(INDEX(Settings!$C$6:$C$15,MATCH($G478,Settings!$A$6:$A$15,0)),0)))))</f>
        <v/>
      </c>
      <c r="L478" s="13" t="str">
        <f aca="false">IF($J478="","",IF($C478="",1,$C478)*IF($Q478&lt;&gt;"",$Q478,IFERROR(INDEX(Products!$D$5:$D$54,MATCH($B478,Products!$A$5:$A$54,0)),0)))</f>
        <v/>
      </c>
      <c r="M478" s="14" t="str">
        <f aca="false">IF($J478="","",$J478-$K478-N($H478)-$L478)</f>
        <v/>
      </c>
      <c r="N478" s="15" t="str">
        <f aca="false">IF($J478="","",IF($J478&gt;0,$M478/$J478,""))</f>
        <v/>
      </c>
      <c r="O478" s="12"/>
      <c r="P478" s="12"/>
      <c r="Q478" s="11"/>
      <c r="R478" s="11"/>
      <c r="S478" s="12"/>
      <c r="T478" s="16" t="str">
        <f aca="false">IF($J478="","",IF($C478="",1,$C478))</f>
        <v/>
      </c>
    </row>
    <row r="479" customFormat="false" ht="15" hidden="false" customHeight="false" outlineLevel="0" collapsed="false">
      <c r="A479" s="7"/>
      <c r="B479" s="8"/>
      <c r="C479" s="9"/>
      <c r="D479" s="10"/>
      <c r="E479" s="11"/>
      <c r="F479" s="11"/>
      <c r="G479" s="8"/>
      <c r="H479" s="11"/>
      <c r="I479" s="12"/>
      <c r="J479" s="13" t="str">
        <f aca="false">IF(OR($A479="",$D479=""),"",IF($C479="",1,$C479)*$D479+N($E479)-N($F479))</f>
        <v/>
      </c>
      <c r="K479" s="13" t="str">
        <f aca="false">IF($J479="","",IF($R479&lt;&gt;"",$R479,IF($G479="",0,MAX(IFERROR(INDEX(Settings!$D$6:$D$15,MATCH($G479,Settings!$A$6:$A$15,0)),0),$J479*IFERROR(INDEX(Settings!$B$6:$B$15,MATCH($G479,Settings!$A$6:$A$15,0)),0)+IFERROR(INDEX(Settings!$C$6:$C$15,MATCH($G479,Settings!$A$6:$A$15,0)),0)))))</f>
        <v/>
      </c>
      <c r="L479" s="13" t="str">
        <f aca="false">IF($J479="","",IF($C479="",1,$C479)*IF($Q479&lt;&gt;"",$Q479,IFERROR(INDEX(Products!$D$5:$D$54,MATCH($B479,Products!$A$5:$A$54,0)),0)))</f>
        <v/>
      </c>
      <c r="M479" s="14" t="str">
        <f aca="false">IF($J479="","",$J479-$K479-N($H479)-$L479)</f>
        <v/>
      </c>
      <c r="N479" s="15" t="str">
        <f aca="false">IF($J479="","",IF($J479&gt;0,$M479/$J479,""))</f>
        <v/>
      </c>
      <c r="O479" s="12"/>
      <c r="P479" s="12"/>
      <c r="Q479" s="11"/>
      <c r="R479" s="11"/>
      <c r="S479" s="12"/>
      <c r="T479" s="16" t="str">
        <f aca="false">IF($J479="","",IF($C479="",1,$C479))</f>
        <v/>
      </c>
    </row>
    <row r="480" customFormat="false" ht="15" hidden="false" customHeight="false" outlineLevel="0" collapsed="false">
      <c r="A480" s="7"/>
      <c r="B480" s="8"/>
      <c r="C480" s="9"/>
      <c r="D480" s="10"/>
      <c r="E480" s="11"/>
      <c r="F480" s="11"/>
      <c r="G480" s="8"/>
      <c r="H480" s="11"/>
      <c r="I480" s="12"/>
      <c r="J480" s="13" t="str">
        <f aca="false">IF(OR($A480="",$D480=""),"",IF($C480="",1,$C480)*$D480+N($E480)-N($F480))</f>
        <v/>
      </c>
      <c r="K480" s="13" t="str">
        <f aca="false">IF($J480="","",IF($R480&lt;&gt;"",$R480,IF($G480="",0,MAX(IFERROR(INDEX(Settings!$D$6:$D$15,MATCH($G480,Settings!$A$6:$A$15,0)),0),$J480*IFERROR(INDEX(Settings!$B$6:$B$15,MATCH($G480,Settings!$A$6:$A$15,0)),0)+IFERROR(INDEX(Settings!$C$6:$C$15,MATCH($G480,Settings!$A$6:$A$15,0)),0)))))</f>
        <v/>
      </c>
      <c r="L480" s="13" t="str">
        <f aca="false">IF($J480="","",IF($C480="",1,$C480)*IF($Q480&lt;&gt;"",$Q480,IFERROR(INDEX(Products!$D$5:$D$54,MATCH($B480,Products!$A$5:$A$54,0)),0)))</f>
        <v/>
      </c>
      <c r="M480" s="14" t="str">
        <f aca="false">IF($J480="","",$J480-$K480-N($H480)-$L480)</f>
        <v/>
      </c>
      <c r="N480" s="15" t="str">
        <f aca="false">IF($J480="","",IF($J480&gt;0,$M480/$J480,""))</f>
        <v/>
      </c>
      <c r="O480" s="12"/>
      <c r="P480" s="12"/>
      <c r="Q480" s="11"/>
      <c r="R480" s="11"/>
      <c r="S480" s="12"/>
      <c r="T480" s="16" t="str">
        <f aca="false">IF($J480="","",IF($C480="",1,$C480))</f>
        <v/>
      </c>
    </row>
    <row r="481" customFormat="false" ht="15" hidden="false" customHeight="false" outlineLevel="0" collapsed="false">
      <c r="A481" s="7"/>
      <c r="B481" s="8"/>
      <c r="C481" s="9"/>
      <c r="D481" s="10"/>
      <c r="E481" s="11"/>
      <c r="F481" s="11"/>
      <c r="G481" s="8"/>
      <c r="H481" s="11"/>
      <c r="I481" s="12"/>
      <c r="J481" s="13" t="str">
        <f aca="false">IF(OR($A481="",$D481=""),"",IF($C481="",1,$C481)*$D481+N($E481)-N($F481))</f>
        <v/>
      </c>
      <c r="K481" s="13" t="str">
        <f aca="false">IF($J481="","",IF($R481&lt;&gt;"",$R481,IF($G481="",0,MAX(IFERROR(INDEX(Settings!$D$6:$D$15,MATCH($G481,Settings!$A$6:$A$15,0)),0),$J481*IFERROR(INDEX(Settings!$B$6:$B$15,MATCH($G481,Settings!$A$6:$A$15,0)),0)+IFERROR(INDEX(Settings!$C$6:$C$15,MATCH($G481,Settings!$A$6:$A$15,0)),0)))))</f>
        <v/>
      </c>
      <c r="L481" s="13" t="str">
        <f aca="false">IF($J481="","",IF($C481="",1,$C481)*IF($Q481&lt;&gt;"",$Q481,IFERROR(INDEX(Products!$D$5:$D$54,MATCH($B481,Products!$A$5:$A$54,0)),0)))</f>
        <v/>
      </c>
      <c r="M481" s="14" t="str">
        <f aca="false">IF($J481="","",$J481-$K481-N($H481)-$L481)</f>
        <v/>
      </c>
      <c r="N481" s="15" t="str">
        <f aca="false">IF($J481="","",IF($J481&gt;0,$M481/$J481,""))</f>
        <v/>
      </c>
      <c r="O481" s="12"/>
      <c r="P481" s="12"/>
      <c r="Q481" s="11"/>
      <c r="R481" s="11"/>
      <c r="S481" s="12"/>
      <c r="T481" s="16" t="str">
        <f aca="false">IF($J481="","",IF($C481="",1,$C481))</f>
        <v/>
      </c>
    </row>
    <row r="482" customFormat="false" ht="15" hidden="false" customHeight="false" outlineLevel="0" collapsed="false">
      <c r="A482" s="7"/>
      <c r="B482" s="8"/>
      <c r="C482" s="9"/>
      <c r="D482" s="10"/>
      <c r="E482" s="11"/>
      <c r="F482" s="11"/>
      <c r="G482" s="8"/>
      <c r="H482" s="11"/>
      <c r="I482" s="12"/>
      <c r="J482" s="13" t="str">
        <f aca="false">IF(OR($A482="",$D482=""),"",IF($C482="",1,$C482)*$D482+N($E482)-N($F482))</f>
        <v/>
      </c>
      <c r="K482" s="13" t="str">
        <f aca="false">IF($J482="","",IF($R482&lt;&gt;"",$R482,IF($G482="",0,MAX(IFERROR(INDEX(Settings!$D$6:$D$15,MATCH($G482,Settings!$A$6:$A$15,0)),0),$J482*IFERROR(INDEX(Settings!$B$6:$B$15,MATCH($G482,Settings!$A$6:$A$15,0)),0)+IFERROR(INDEX(Settings!$C$6:$C$15,MATCH($G482,Settings!$A$6:$A$15,0)),0)))))</f>
        <v/>
      </c>
      <c r="L482" s="13" t="str">
        <f aca="false">IF($J482="","",IF($C482="",1,$C482)*IF($Q482&lt;&gt;"",$Q482,IFERROR(INDEX(Products!$D$5:$D$54,MATCH($B482,Products!$A$5:$A$54,0)),0)))</f>
        <v/>
      </c>
      <c r="M482" s="14" t="str">
        <f aca="false">IF($J482="","",$J482-$K482-N($H482)-$L482)</f>
        <v/>
      </c>
      <c r="N482" s="15" t="str">
        <f aca="false">IF($J482="","",IF($J482&gt;0,$M482/$J482,""))</f>
        <v/>
      </c>
      <c r="O482" s="12"/>
      <c r="P482" s="12"/>
      <c r="Q482" s="11"/>
      <c r="R482" s="11"/>
      <c r="S482" s="12"/>
      <c r="T482" s="16" t="str">
        <f aca="false">IF($J482="","",IF($C482="",1,$C482))</f>
        <v/>
      </c>
    </row>
    <row r="483" customFormat="false" ht="15" hidden="false" customHeight="false" outlineLevel="0" collapsed="false">
      <c r="A483" s="7"/>
      <c r="B483" s="8"/>
      <c r="C483" s="9"/>
      <c r="D483" s="10"/>
      <c r="E483" s="11"/>
      <c r="F483" s="11"/>
      <c r="G483" s="8"/>
      <c r="H483" s="11"/>
      <c r="I483" s="12"/>
      <c r="J483" s="13" t="str">
        <f aca="false">IF(OR($A483="",$D483=""),"",IF($C483="",1,$C483)*$D483+N($E483)-N($F483))</f>
        <v/>
      </c>
      <c r="K483" s="13" t="str">
        <f aca="false">IF($J483="","",IF($R483&lt;&gt;"",$R483,IF($G483="",0,MAX(IFERROR(INDEX(Settings!$D$6:$D$15,MATCH($G483,Settings!$A$6:$A$15,0)),0),$J483*IFERROR(INDEX(Settings!$B$6:$B$15,MATCH($G483,Settings!$A$6:$A$15,0)),0)+IFERROR(INDEX(Settings!$C$6:$C$15,MATCH($G483,Settings!$A$6:$A$15,0)),0)))))</f>
        <v/>
      </c>
      <c r="L483" s="13" t="str">
        <f aca="false">IF($J483="","",IF($C483="",1,$C483)*IF($Q483&lt;&gt;"",$Q483,IFERROR(INDEX(Products!$D$5:$D$54,MATCH($B483,Products!$A$5:$A$54,0)),0)))</f>
        <v/>
      </c>
      <c r="M483" s="14" t="str">
        <f aca="false">IF($J483="","",$J483-$K483-N($H483)-$L483)</f>
        <v/>
      </c>
      <c r="N483" s="15" t="str">
        <f aca="false">IF($J483="","",IF($J483&gt;0,$M483/$J483,""))</f>
        <v/>
      </c>
      <c r="O483" s="12"/>
      <c r="P483" s="12"/>
      <c r="Q483" s="11"/>
      <c r="R483" s="11"/>
      <c r="S483" s="12"/>
      <c r="T483" s="16" t="str">
        <f aca="false">IF($J483="","",IF($C483="",1,$C483))</f>
        <v/>
      </c>
    </row>
    <row r="484" customFormat="false" ht="15" hidden="false" customHeight="false" outlineLevel="0" collapsed="false">
      <c r="A484" s="7"/>
      <c r="B484" s="8"/>
      <c r="C484" s="9"/>
      <c r="D484" s="10"/>
      <c r="E484" s="11"/>
      <c r="F484" s="11"/>
      <c r="G484" s="8"/>
      <c r="H484" s="11"/>
      <c r="I484" s="12"/>
      <c r="J484" s="13" t="str">
        <f aca="false">IF(OR($A484="",$D484=""),"",IF($C484="",1,$C484)*$D484+N($E484)-N($F484))</f>
        <v/>
      </c>
      <c r="K484" s="13" t="str">
        <f aca="false">IF($J484="","",IF($R484&lt;&gt;"",$R484,IF($G484="",0,MAX(IFERROR(INDEX(Settings!$D$6:$D$15,MATCH($G484,Settings!$A$6:$A$15,0)),0),$J484*IFERROR(INDEX(Settings!$B$6:$B$15,MATCH($G484,Settings!$A$6:$A$15,0)),0)+IFERROR(INDEX(Settings!$C$6:$C$15,MATCH($G484,Settings!$A$6:$A$15,0)),0)))))</f>
        <v/>
      </c>
      <c r="L484" s="13" t="str">
        <f aca="false">IF($J484="","",IF($C484="",1,$C484)*IF($Q484&lt;&gt;"",$Q484,IFERROR(INDEX(Products!$D$5:$D$54,MATCH($B484,Products!$A$5:$A$54,0)),0)))</f>
        <v/>
      </c>
      <c r="M484" s="14" t="str">
        <f aca="false">IF($J484="","",$J484-$K484-N($H484)-$L484)</f>
        <v/>
      </c>
      <c r="N484" s="15" t="str">
        <f aca="false">IF($J484="","",IF($J484&gt;0,$M484/$J484,""))</f>
        <v/>
      </c>
      <c r="O484" s="12"/>
      <c r="P484" s="12"/>
      <c r="Q484" s="11"/>
      <c r="R484" s="11"/>
      <c r="S484" s="12"/>
      <c r="T484" s="16" t="str">
        <f aca="false">IF($J484="","",IF($C484="",1,$C484))</f>
        <v/>
      </c>
    </row>
    <row r="485" customFormat="false" ht="15" hidden="false" customHeight="false" outlineLevel="0" collapsed="false">
      <c r="A485" s="7"/>
      <c r="B485" s="8"/>
      <c r="C485" s="9"/>
      <c r="D485" s="10"/>
      <c r="E485" s="11"/>
      <c r="F485" s="11"/>
      <c r="G485" s="8"/>
      <c r="H485" s="11"/>
      <c r="I485" s="12"/>
      <c r="J485" s="13" t="str">
        <f aca="false">IF(OR($A485="",$D485=""),"",IF($C485="",1,$C485)*$D485+N($E485)-N($F485))</f>
        <v/>
      </c>
      <c r="K485" s="13" t="str">
        <f aca="false">IF($J485="","",IF($R485&lt;&gt;"",$R485,IF($G485="",0,MAX(IFERROR(INDEX(Settings!$D$6:$D$15,MATCH($G485,Settings!$A$6:$A$15,0)),0),$J485*IFERROR(INDEX(Settings!$B$6:$B$15,MATCH($G485,Settings!$A$6:$A$15,0)),0)+IFERROR(INDEX(Settings!$C$6:$C$15,MATCH($G485,Settings!$A$6:$A$15,0)),0)))))</f>
        <v/>
      </c>
      <c r="L485" s="13" t="str">
        <f aca="false">IF($J485="","",IF($C485="",1,$C485)*IF($Q485&lt;&gt;"",$Q485,IFERROR(INDEX(Products!$D$5:$D$54,MATCH($B485,Products!$A$5:$A$54,0)),0)))</f>
        <v/>
      </c>
      <c r="M485" s="14" t="str">
        <f aca="false">IF($J485="","",$J485-$K485-N($H485)-$L485)</f>
        <v/>
      </c>
      <c r="N485" s="15" t="str">
        <f aca="false">IF($J485="","",IF($J485&gt;0,$M485/$J485,""))</f>
        <v/>
      </c>
      <c r="O485" s="12"/>
      <c r="P485" s="12"/>
      <c r="Q485" s="11"/>
      <c r="R485" s="11"/>
      <c r="S485" s="12"/>
      <c r="T485" s="16" t="str">
        <f aca="false">IF($J485="","",IF($C485="",1,$C485))</f>
        <v/>
      </c>
    </row>
    <row r="486" customFormat="false" ht="15" hidden="false" customHeight="false" outlineLevel="0" collapsed="false">
      <c r="A486" s="7"/>
      <c r="B486" s="8"/>
      <c r="C486" s="9"/>
      <c r="D486" s="10"/>
      <c r="E486" s="11"/>
      <c r="F486" s="11"/>
      <c r="G486" s="8"/>
      <c r="H486" s="11"/>
      <c r="I486" s="12"/>
      <c r="J486" s="13" t="str">
        <f aca="false">IF(OR($A486="",$D486=""),"",IF($C486="",1,$C486)*$D486+N($E486)-N($F486))</f>
        <v/>
      </c>
      <c r="K486" s="13" t="str">
        <f aca="false">IF($J486="","",IF($R486&lt;&gt;"",$R486,IF($G486="",0,MAX(IFERROR(INDEX(Settings!$D$6:$D$15,MATCH($G486,Settings!$A$6:$A$15,0)),0),$J486*IFERROR(INDEX(Settings!$B$6:$B$15,MATCH($G486,Settings!$A$6:$A$15,0)),0)+IFERROR(INDEX(Settings!$C$6:$C$15,MATCH($G486,Settings!$A$6:$A$15,0)),0)))))</f>
        <v/>
      </c>
      <c r="L486" s="13" t="str">
        <f aca="false">IF($J486="","",IF($C486="",1,$C486)*IF($Q486&lt;&gt;"",$Q486,IFERROR(INDEX(Products!$D$5:$D$54,MATCH($B486,Products!$A$5:$A$54,0)),0)))</f>
        <v/>
      </c>
      <c r="M486" s="14" t="str">
        <f aca="false">IF($J486="","",$J486-$K486-N($H486)-$L486)</f>
        <v/>
      </c>
      <c r="N486" s="15" t="str">
        <f aca="false">IF($J486="","",IF($J486&gt;0,$M486/$J486,""))</f>
        <v/>
      </c>
      <c r="O486" s="12"/>
      <c r="P486" s="12"/>
      <c r="Q486" s="11"/>
      <c r="R486" s="11"/>
      <c r="S486" s="12"/>
      <c r="T486" s="16" t="str">
        <f aca="false">IF($J486="","",IF($C486="",1,$C486))</f>
        <v/>
      </c>
    </row>
    <row r="487" customFormat="false" ht="15" hidden="false" customHeight="false" outlineLevel="0" collapsed="false">
      <c r="A487" s="7"/>
      <c r="B487" s="8"/>
      <c r="C487" s="9"/>
      <c r="D487" s="10"/>
      <c r="E487" s="11"/>
      <c r="F487" s="11"/>
      <c r="G487" s="8"/>
      <c r="H487" s="11"/>
      <c r="I487" s="12"/>
      <c r="J487" s="13" t="str">
        <f aca="false">IF(OR($A487="",$D487=""),"",IF($C487="",1,$C487)*$D487+N($E487)-N($F487))</f>
        <v/>
      </c>
      <c r="K487" s="13" t="str">
        <f aca="false">IF($J487="","",IF($R487&lt;&gt;"",$R487,IF($G487="",0,MAX(IFERROR(INDEX(Settings!$D$6:$D$15,MATCH($G487,Settings!$A$6:$A$15,0)),0),$J487*IFERROR(INDEX(Settings!$B$6:$B$15,MATCH($G487,Settings!$A$6:$A$15,0)),0)+IFERROR(INDEX(Settings!$C$6:$C$15,MATCH($G487,Settings!$A$6:$A$15,0)),0)))))</f>
        <v/>
      </c>
      <c r="L487" s="13" t="str">
        <f aca="false">IF($J487="","",IF($C487="",1,$C487)*IF($Q487&lt;&gt;"",$Q487,IFERROR(INDEX(Products!$D$5:$D$54,MATCH($B487,Products!$A$5:$A$54,0)),0)))</f>
        <v/>
      </c>
      <c r="M487" s="14" t="str">
        <f aca="false">IF($J487="","",$J487-$K487-N($H487)-$L487)</f>
        <v/>
      </c>
      <c r="N487" s="15" t="str">
        <f aca="false">IF($J487="","",IF($J487&gt;0,$M487/$J487,""))</f>
        <v/>
      </c>
      <c r="O487" s="12"/>
      <c r="P487" s="12"/>
      <c r="Q487" s="11"/>
      <c r="R487" s="11"/>
      <c r="S487" s="12"/>
      <c r="T487" s="16" t="str">
        <f aca="false">IF($J487="","",IF($C487="",1,$C487))</f>
        <v/>
      </c>
    </row>
    <row r="488" customFormat="false" ht="15" hidden="false" customHeight="false" outlineLevel="0" collapsed="false">
      <c r="A488" s="7"/>
      <c r="B488" s="8"/>
      <c r="C488" s="9"/>
      <c r="D488" s="10"/>
      <c r="E488" s="11"/>
      <c r="F488" s="11"/>
      <c r="G488" s="8"/>
      <c r="H488" s="11"/>
      <c r="I488" s="12"/>
      <c r="J488" s="13" t="str">
        <f aca="false">IF(OR($A488="",$D488=""),"",IF($C488="",1,$C488)*$D488+N($E488)-N($F488))</f>
        <v/>
      </c>
      <c r="K488" s="13" t="str">
        <f aca="false">IF($J488="","",IF($R488&lt;&gt;"",$R488,IF($G488="",0,MAX(IFERROR(INDEX(Settings!$D$6:$D$15,MATCH($G488,Settings!$A$6:$A$15,0)),0),$J488*IFERROR(INDEX(Settings!$B$6:$B$15,MATCH($G488,Settings!$A$6:$A$15,0)),0)+IFERROR(INDEX(Settings!$C$6:$C$15,MATCH($G488,Settings!$A$6:$A$15,0)),0)))))</f>
        <v/>
      </c>
      <c r="L488" s="13" t="str">
        <f aca="false">IF($J488="","",IF($C488="",1,$C488)*IF($Q488&lt;&gt;"",$Q488,IFERROR(INDEX(Products!$D$5:$D$54,MATCH($B488,Products!$A$5:$A$54,0)),0)))</f>
        <v/>
      </c>
      <c r="M488" s="14" t="str">
        <f aca="false">IF($J488="","",$J488-$K488-N($H488)-$L488)</f>
        <v/>
      </c>
      <c r="N488" s="15" t="str">
        <f aca="false">IF($J488="","",IF($J488&gt;0,$M488/$J488,""))</f>
        <v/>
      </c>
      <c r="O488" s="12"/>
      <c r="P488" s="12"/>
      <c r="Q488" s="11"/>
      <c r="R488" s="11"/>
      <c r="S488" s="12"/>
      <c r="T488" s="16" t="str">
        <f aca="false">IF($J488="","",IF($C488="",1,$C488))</f>
        <v/>
      </c>
    </row>
    <row r="489" customFormat="false" ht="15" hidden="false" customHeight="false" outlineLevel="0" collapsed="false">
      <c r="A489" s="7"/>
      <c r="B489" s="8"/>
      <c r="C489" s="9"/>
      <c r="D489" s="10"/>
      <c r="E489" s="11"/>
      <c r="F489" s="11"/>
      <c r="G489" s="8"/>
      <c r="H489" s="11"/>
      <c r="I489" s="12"/>
      <c r="J489" s="13" t="str">
        <f aca="false">IF(OR($A489="",$D489=""),"",IF($C489="",1,$C489)*$D489+N($E489)-N($F489))</f>
        <v/>
      </c>
      <c r="K489" s="13" t="str">
        <f aca="false">IF($J489="","",IF($R489&lt;&gt;"",$R489,IF($G489="",0,MAX(IFERROR(INDEX(Settings!$D$6:$D$15,MATCH($G489,Settings!$A$6:$A$15,0)),0),$J489*IFERROR(INDEX(Settings!$B$6:$B$15,MATCH($G489,Settings!$A$6:$A$15,0)),0)+IFERROR(INDEX(Settings!$C$6:$C$15,MATCH($G489,Settings!$A$6:$A$15,0)),0)))))</f>
        <v/>
      </c>
      <c r="L489" s="13" t="str">
        <f aca="false">IF($J489="","",IF($C489="",1,$C489)*IF($Q489&lt;&gt;"",$Q489,IFERROR(INDEX(Products!$D$5:$D$54,MATCH($B489,Products!$A$5:$A$54,0)),0)))</f>
        <v/>
      </c>
      <c r="M489" s="14" t="str">
        <f aca="false">IF($J489="","",$J489-$K489-N($H489)-$L489)</f>
        <v/>
      </c>
      <c r="N489" s="15" t="str">
        <f aca="false">IF($J489="","",IF($J489&gt;0,$M489/$J489,""))</f>
        <v/>
      </c>
      <c r="O489" s="12"/>
      <c r="P489" s="12"/>
      <c r="Q489" s="11"/>
      <c r="R489" s="11"/>
      <c r="S489" s="12"/>
      <c r="T489" s="16" t="str">
        <f aca="false">IF($J489="","",IF($C489="",1,$C489))</f>
        <v/>
      </c>
    </row>
    <row r="490" customFormat="false" ht="15" hidden="false" customHeight="false" outlineLevel="0" collapsed="false">
      <c r="A490" s="7"/>
      <c r="B490" s="8"/>
      <c r="C490" s="9"/>
      <c r="D490" s="10"/>
      <c r="E490" s="11"/>
      <c r="F490" s="11"/>
      <c r="G490" s="8"/>
      <c r="H490" s="11"/>
      <c r="I490" s="12"/>
      <c r="J490" s="13" t="str">
        <f aca="false">IF(OR($A490="",$D490=""),"",IF($C490="",1,$C490)*$D490+N($E490)-N($F490))</f>
        <v/>
      </c>
      <c r="K490" s="13" t="str">
        <f aca="false">IF($J490="","",IF($R490&lt;&gt;"",$R490,IF($G490="",0,MAX(IFERROR(INDEX(Settings!$D$6:$D$15,MATCH($G490,Settings!$A$6:$A$15,0)),0),$J490*IFERROR(INDEX(Settings!$B$6:$B$15,MATCH($G490,Settings!$A$6:$A$15,0)),0)+IFERROR(INDEX(Settings!$C$6:$C$15,MATCH($G490,Settings!$A$6:$A$15,0)),0)))))</f>
        <v/>
      </c>
      <c r="L490" s="13" t="str">
        <f aca="false">IF($J490="","",IF($C490="",1,$C490)*IF($Q490&lt;&gt;"",$Q490,IFERROR(INDEX(Products!$D$5:$D$54,MATCH($B490,Products!$A$5:$A$54,0)),0)))</f>
        <v/>
      </c>
      <c r="M490" s="14" t="str">
        <f aca="false">IF($J490="","",$J490-$K490-N($H490)-$L490)</f>
        <v/>
      </c>
      <c r="N490" s="15" t="str">
        <f aca="false">IF($J490="","",IF($J490&gt;0,$M490/$J490,""))</f>
        <v/>
      </c>
      <c r="O490" s="12"/>
      <c r="P490" s="12"/>
      <c r="Q490" s="11"/>
      <c r="R490" s="11"/>
      <c r="S490" s="12"/>
      <c r="T490" s="16" t="str">
        <f aca="false">IF($J490="","",IF($C490="",1,$C490))</f>
        <v/>
      </c>
    </row>
    <row r="491" customFormat="false" ht="15" hidden="false" customHeight="false" outlineLevel="0" collapsed="false">
      <c r="A491" s="7"/>
      <c r="B491" s="8"/>
      <c r="C491" s="9"/>
      <c r="D491" s="10"/>
      <c r="E491" s="11"/>
      <c r="F491" s="11"/>
      <c r="G491" s="8"/>
      <c r="H491" s="11"/>
      <c r="I491" s="12"/>
      <c r="J491" s="13" t="str">
        <f aca="false">IF(OR($A491="",$D491=""),"",IF($C491="",1,$C491)*$D491+N($E491)-N($F491))</f>
        <v/>
      </c>
      <c r="K491" s="13" t="str">
        <f aca="false">IF($J491="","",IF($R491&lt;&gt;"",$R491,IF($G491="",0,MAX(IFERROR(INDEX(Settings!$D$6:$D$15,MATCH($G491,Settings!$A$6:$A$15,0)),0),$J491*IFERROR(INDEX(Settings!$B$6:$B$15,MATCH($G491,Settings!$A$6:$A$15,0)),0)+IFERROR(INDEX(Settings!$C$6:$C$15,MATCH($G491,Settings!$A$6:$A$15,0)),0)))))</f>
        <v/>
      </c>
      <c r="L491" s="13" t="str">
        <f aca="false">IF($J491="","",IF($C491="",1,$C491)*IF($Q491&lt;&gt;"",$Q491,IFERROR(INDEX(Products!$D$5:$D$54,MATCH($B491,Products!$A$5:$A$54,0)),0)))</f>
        <v/>
      </c>
      <c r="M491" s="14" t="str">
        <f aca="false">IF($J491="","",$J491-$K491-N($H491)-$L491)</f>
        <v/>
      </c>
      <c r="N491" s="15" t="str">
        <f aca="false">IF($J491="","",IF($J491&gt;0,$M491/$J491,""))</f>
        <v/>
      </c>
      <c r="O491" s="12"/>
      <c r="P491" s="12"/>
      <c r="Q491" s="11"/>
      <c r="R491" s="11"/>
      <c r="S491" s="12"/>
      <c r="T491" s="16" t="str">
        <f aca="false">IF($J491="","",IF($C491="",1,$C491))</f>
        <v/>
      </c>
    </row>
    <row r="492" customFormat="false" ht="15" hidden="false" customHeight="false" outlineLevel="0" collapsed="false">
      <c r="A492" s="7"/>
      <c r="B492" s="8"/>
      <c r="C492" s="9"/>
      <c r="D492" s="10"/>
      <c r="E492" s="11"/>
      <c r="F492" s="11"/>
      <c r="G492" s="8"/>
      <c r="H492" s="11"/>
      <c r="I492" s="12"/>
      <c r="J492" s="13" t="str">
        <f aca="false">IF(OR($A492="",$D492=""),"",IF($C492="",1,$C492)*$D492+N($E492)-N($F492))</f>
        <v/>
      </c>
      <c r="K492" s="13" t="str">
        <f aca="false">IF($J492="","",IF($R492&lt;&gt;"",$R492,IF($G492="",0,MAX(IFERROR(INDEX(Settings!$D$6:$D$15,MATCH($G492,Settings!$A$6:$A$15,0)),0),$J492*IFERROR(INDEX(Settings!$B$6:$B$15,MATCH($G492,Settings!$A$6:$A$15,0)),0)+IFERROR(INDEX(Settings!$C$6:$C$15,MATCH($G492,Settings!$A$6:$A$15,0)),0)))))</f>
        <v/>
      </c>
      <c r="L492" s="13" t="str">
        <f aca="false">IF($J492="","",IF($C492="",1,$C492)*IF($Q492&lt;&gt;"",$Q492,IFERROR(INDEX(Products!$D$5:$D$54,MATCH($B492,Products!$A$5:$A$54,0)),0)))</f>
        <v/>
      </c>
      <c r="M492" s="14" t="str">
        <f aca="false">IF($J492="","",$J492-$K492-N($H492)-$L492)</f>
        <v/>
      </c>
      <c r="N492" s="15" t="str">
        <f aca="false">IF($J492="","",IF($J492&gt;0,$M492/$J492,""))</f>
        <v/>
      </c>
      <c r="O492" s="12"/>
      <c r="P492" s="12"/>
      <c r="Q492" s="11"/>
      <c r="R492" s="11"/>
      <c r="S492" s="12"/>
      <c r="T492" s="16" t="str">
        <f aca="false">IF($J492="","",IF($C492="",1,$C492))</f>
        <v/>
      </c>
    </row>
    <row r="493" customFormat="false" ht="15" hidden="false" customHeight="false" outlineLevel="0" collapsed="false">
      <c r="A493" s="7"/>
      <c r="B493" s="8"/>
      <c r="C493" s="9"/>
      <c r="D493" s="10"/>
      <c r="E493" s="11"/>
      <c r="F493" s="11"/>
      <c r="G493" s="8"/>
      <c r="H493" s="11"/>
      <c r="I493" s="12"/>
      <c r="J493" s="13" t="str">
        <f aca="false">IF(OR($A493="",$D493=""),"",IF($C493="",1,$C493)*$D493+N($E493)-N($F493))</f>
        <v/>
      </c>
      <c r="K493" s="13" t="str">
        <f aca="false">IF($J493="","",IF($R493&lt;&gt;"",$R493,IF($G493="",0,MAX(IFERROR(INDEX(Settings!$D$6:$D$15,MATCH($G493,Settings!$A$6:$A$15,0)),0),$J493*IFERROR(INDEX(Settings!$B$6:$B$15,MATCH($G493,Settings!$A$6:$A$15,0)),0)+IFERROR(INDEX(Settings!$C$6:$C$15,MATCH($G493,Settings!$A$6:$A$15,0)),0)))))</f>
        <v/>
      </c>
      <c r="L493" s="13" t="str">
        <f aca="false">IF($J493="","",IF($C493="",1,$C493)*IF($Q493&lt;&gt;"",$Q493,IFERROR(INDEX(Products!$D$5:$D$54,MATCH($B493,Products!$A$5:$A$54,0)),0)))</f>
        <v/>
      </c>
      <c r="M493" s="14" t="str">
        <f aca="false">IF($J493="","",$J493-$K493-N($H493)-$L493)</f>
        <v/>
      </c>
      <c r="N493" s="15" t="str">
        <f aca="false">IF($J493="","",IF($J493&gt;0,$M493/$J493,""))</f>
        <v/>
      </c>
      <c r="O493" s="12"/>
      <c r="P493" s="12"/>
      <c r="Q493" s="11"/>
      <c r="R493" s="11"/>
      <c r="S493" s="12"/>
      <c r="T493" s="16" t="str">
        <f aca="false">IF($J493="","",IF($C493="",1,$C493))</f>
        <v/>
      </c>
    </row>
    <row r="494" customFormat="false" ht="15" hidden="false" customHeight="false" outlineLevel="0" collapsed="false">
      <c r="A494" s="7"/>
      <c r="B494" s="8"/>
      <c r="C494" s="9"/>
      <c r="D494" s="10"/>
      <c r="E494" s="11"/>
      <c r="F494" s="11"/>
      <c r="G494" s="8"/>
      <c r="H494" s="11"/>
      <c r="I494" s="12"/>
      <c r="J494" s="13" t="str">
        <f aca="false">IF(OR($A494="",$D494=""),"",IF($C494="",1,$C494)*$D494+N($E494)-N($F494))</f>
        <v/>
      </c>
      <c r="K494" s="13" t="str">
        <f aca="false">IF($J494="","",IF($R494&lt;&gt;"",$R494,IF($G494="",0,MAX(IFERROR(INDEX(Settings!$D$6:$D$15,MATCH($G494,Settings!$A$6:$A$15,0)),0),$J494*IFERROR(INDEX(Settings!$B$6:$B$15,MATCH($G494,Settings!$A$6:$A$15,0)),0)+IFERROR(INDEX(Settings!$C$6:$C$15,MATCH($G494,Settings!$A$6:$A$15,0)),0)))))</f>
        <v/>
      </c>
      <c r="L494" s="13" t="str">
        <f aca="false">IF($J494="","",IF($C494="",1,$C494)*IF($Q494&lt;&gt;"",$Q494,IFERROR(INDEX(Products!$D$5:$D$54,MATCH($B494,Products!$A$5:$A$54,0)),0)))</f>
        <v/>
      </c>
      <c r="M494" s="14" t="str">
        <f aca="false">IF($J494="","",$J494-$K494-N($H494)-$L494)</f>
        <v/>
      </c>
      <c r="N494" s="15" t="str">
        <f aca="false">IF($J494="","",IF($J494&gt;0,$M494/$J494,""))</f>
        <v/>
      </c>
      <c r="O494" s="12"/>
      <c r="P494" s="12"/>
      <c r="Q494" s="11"/>
      <c r="R494" s="11"/>
      <c r="S494" s="12"/>
      <c r="T494" s="16" t="str">
        <f aca="false">IF($J494="","",IF($C494="",1,$C494))</f>
        <v/>
      </c>
    </row>
    <row r="495" customFormat="false" ht="15" hidden="false" customHeight="false" outlineLevel="0" collapsed="false">
      <c r="A495" s="7"/>
      <c r="B495" s="8"/>
      <c r="C495" s="9"/>
      <c r="D495" s="10"/>
      <c r="E495" s="11"/>
      <c r="F495" s="11"/>
      <c r="G495" s="8"/>
      <c r="H495" s="11"/>
      <c r="I495" s="12"/>
      <c r="J495" s="13" t="str">
        <f aca="false">IF(OR($A495="",$D495=""),"",IF($C495="",1,$C495)*$D495+N($E495)-N($F495))</f>
        <v/>
      </c>
      <c r="K495" s="13" t="str">
        <f aca="false">IF($J495="","",IF($R495&lt;&gt;"",$R495,IF($G495="",0,MAX(IFERROR(INDEX(Settings!$D$6:$D$15,MATCH($G495,Settings!$A$6:$A$15,0)),0),$J495*IFERROR(INDEX(Settings!$B$6:$B$15,MATCH($G495,Settings!$A$6:$A$15,0)),0)+IFERROR(INDEX(Settings!$C$6:$C$15,MATCH($G495,Settings!$A$6:$A$15,0)),0)))))</f>
        <v/>
      </c>
      <c r="L495" s="13" t="str">
        <f aca="false">IF($J495="","",IF($C495="",1,$C495)*IF($Q495&lt;&gt;"",$Q495,IFERROR(INDEX(Products!$D$5:$D$54,MATCH($B495,Products!$A$5:$A$54,0)),0)))</f>
        <v/>
      </c>
      <c r="M495" s="14" t="str">
        <f aca="false">IF($J495="","",$J495-$K495-N($H495)-$L495)</f>
        <v/>
      </c>
      <c r="N495" s="15" t="str">
        <f aca="false">IF($J495="","",IF($J495&gt;0,$M495/$J495,""))</f>
        <v/>
      </c>
      <c r="O495" s="12"/>
      <c r="P495" s="12"/>
      <c r="Q495" s="11"/>
      <c r="R495" s="11"/>
      <c r="S495" s="12"/>
      <c r="T495" s="16" t="str">
        <f aca="false">IF($J495="","",IF($C495="",1,$C495))</f>
        <v/>
      </c>
    </row>
    <row r="496" customFormat="false" ht="15" hidden="false" customHeight="false" outlineLevel="0" collapsed="false">
      <c r="A496" s="7"/>
      <c r="B496" s="8"/>
      <c r="C496" s="9"/>
      <c r="D496" s="10"/>
      <c r="E496" s="11"/>
      <c r="F496" s="11"/>
      <c r="G496" s="8"/>
      <c r="H496" s="11"/>
      <c r="I496" s="12"/>
      <c r="J496" s="13" t="str">
        <f aca="false">IF(OR($A496="",$D496=""),"",IF($C496="",1,$C496)*$D496+N($E496)-N($F496))</f>
        <v/>
      </c>
      <c r="K496" s="13" t="str">
        <f aca="false">IF($J496="","",IF($R496&lt;&gt;"",$R496,IF($G496="",0,MAX(IFERROR(INDEX(Settings!$D$6:$D$15,MATCH($G496,Settings!$A$6:$A$15,0)),0),$J496*IFERROR(INDEX(Settings!$B$6:$B$15,MATCH($G496,Settings!$A$6:$A$15,0)),0)+IFERROR(INDEX(Settings!$C$6:$C$15,MATCH($G496,Settings!$A$6:$A$15,0)),0)))))</f>
        <v/>
      </c>
      <c r="L496" s="13" t="str">
        <f aca="false">IF($J496="","",IF($C496="",1,$C496)*IF($Q496&lt;&gt;"",$Q496,IFERROR(INDEX(Products!$D$5:$D$54,MATCH($B496,Products!$A$5:$A$54,0)),0)))</f>
        <v/>
      </c>
      <c r="M496" s="14" t="str">
        <f aca="false">IF($J496="","",$J496-$K496-N($H496)-$L496)</f>
        <v/>
      </c>
      <c r="N496" s="15" t="str">
        <f aca="false">IF($J496="","",IF($J496&gt;0,$M496/$J496,""))</f>
        <v/>
      </c>
      <c r="O496" s="12"/>
      <c r="P496" s="12"/>
      <c r="Q496" s="11"/>
      <c r="R496" s="11"/>
      <c r="S496" s="12"/>
      <c r="T496" s="16" t="str">
        <f aca="false">IF($J496="","",IF($C496="",1,$C496))</f>
        <v/>
      </c>
    </row>
    <row r="497" customFormat="false" ht="15" hidden="false" customHeight="false" outlineLevel="0" collapsed="false">
      <c r="A497" s="7"/>
      <c r="B497" s="8"/>
      <c r="C497" s="9"/>
      <c r="D497" s="10"/>
      <c r="E497" s="11"/>
      <c r="F497" s="11"/>
      <c r="G497" s="8"/>
      <c r="H497" s="11"/>
      <c r="I497" s="12"/>
      <c r="J497" s="13" t="str">
        <f aca="false">IF(OR($A497="",$D497=""),"",IF($C497="",1,$C497)*$D497+N($E497)-N($F497))</f>
        <v/>
      </c>
      <c r="K497" s="13" t="str">
        <f aca="false">IF($J497="","",IF($R497&lt;&gt;"",$R497,IF($G497="",0,MAX(IFERROR(INDEX(Settings!$D$6:$D$15,MATCH($G497,Settings!$A$6:$A$15,0)),0),$J497*IFERROR(INDEX(Settings!$B$6:$B$15,MATCH($G497,Settings!$A$6:$A$15,0)),0)+IFERROR(INDEX(Settings!$C$6:$C$15,MATCH($G497,Settings!$A$6:$A$15,0)),0)))))</f>
        <v/>
      </c>
      <c r="L497" s="13" t="str">
        <f aca="false">IF($J497="","",IF($C497="",1,$C497)*IF($Q497&lt;&gt;"",$Q497,IFERROR(INDEX(Products!$D$5:$D$54,MATCH($B497,Products!$A$5:$A$54,0)),0)))</f>
        <v/>
      </c>
      <c r="M497" s="14" t="str">
        <f aca="false">IF($J497="","",$J497-$K497-N($H497)-$L497)</f>
        <v/>
      </c>
      <c r="N497" s="15" t="str">
        <f aca="false">IF($J497="","",IF($J497&gt;0,$M497/$J497,""))</f>
        <v/>
      </c>
      <c r="O497" s="12"/>
      <c r="P497" s="12"/>
      <c r="Q497" s="11"/>
      <c r="R497" s="11"/>
      <c r="S497" s="12"/>
      <c r="T497" s="16" t="str">
        <f aca="false">IF($J497="","",IF($C497="",1,$C497))</f>
        <v/>
      </c>
    </row>
    <row r="498" customFormat="false" ht="15" hidden="false" customHeight="false" outlineLevel="0" collapsed="false">
      <c r="A498" s="7"/>
      <c r="B498" s="8"/>
      <c r="C498" s="9"/>
      <c r="D498" s="10"/>
      <c r="E498" s="11"/>
      <c r="F498" s="11"/>
      <c r="G498" s="8"/>
      <c r="H498" s="11"/>
      <c r="I498" s="12"/>
      <c r="J498" s="13" t="str">
        <f aca="false">IF(OR($A498="",$D498=""),"",IF($C498="",1,$C498)*$D498+N($E498)-N($F498))</f>
        <v/>
      </c>
      <c r="K498" s="13" t="str">
        <f aca="false">IF($J498="","",IF($R498&lt;&gt;"",$R498,IF($G498="",0,MAX(IFERROR(INDEX(Settings!$D$6:$D$15,MATCH($G498,Settings!$A$6:$A$15,0)),0),$J498*IFERROR(INDEX(Settings!$B$6:$B$15,MATCH($G498,Settings!$A$6:$A$15,0)),0)+IFERROR(INDEX(Settings!$C$6:$C$15,MATCH($G498,Settings!$A$6:$A$15,0)),0)))))</f>
        <v/>
      </c>
      <c r="L498" s="13" t="str">
        <f aca="false">IF($J498="","",IF($C498="",1,$C498)*IF($Q498&lt;&gt;"",$Q498,IFERROR(INDEX(Products!$D$5:$D$54,MATCH($B498,Products!$A$5:$A$54,0)),0)))</f>
        <v/>
      </c>
      <c r="M498" s="14" t="str">
        <f aca="false">IF($J498="","",$J498-$K498-N($H498)-$L498)</f>
        <v/>
      </c>
      <c r="N498" s="15" t="str">
        <f aca="false">IF($J498="","",IF($J498&gt;0,$M498/$J498,""))</f>
        <v/>
      </c>
      <c r="O498" s="12"/>
      <c r="P498" s="12"/>
      <c r="Q498" s="11"/>
      <c r="R498" s="11"/>
      <c r="S498" s="12"/>
      <c r="T498" s="16" t="str">
        <f aca="false">IF($J498="","",IF($C498="",1,$C498))</f>
        <v/>
      </c>
    </row>
    <row r="499" customFormat="false" ht="15" hidden="false" customHeight="false" outlineLevel="0" collapsed="false">
      <c r="A499" s="7"/>
      <c r="B499" s="8"/>
      <c r="C499" s="9"/>
      <c r="D499" s="10"/>
      <c r="E499" s="11"/>
      <c r="F499" s="11"/>
      <c r="G499" s="8"/>
      <c r="H499" s="11"/>
      <c r="I499" s="12"/>
      <c r="J499" s="13" t="str">
        <f aca="false">IF(OR($A499="",$D499=""),"",IF($C499="",1,$C499)*$D499+N($E499)-N($F499))</f>
        <v/>
      </c>
      <c r="K499" s="13" t="str">
        <f aca="false">IF($J499="","",IF($R499&lt;&gt;"",$R499,IF($G499="",0,MAX(IFERROR(INDEX(Settings!$D$6:$D$15,MATCH($G499,Settings!$A$6:$A$15,0)),0),$J499*IFERROR(INDEX(Settings!$B$6:$B$15,MATCH($G499,Settings!$A$6:$A$15,0)),0)+IFERROR(INDEX(Settings!$C$6:$C$15,MATCH($G499,Settings!$A$6:$A$15,0)),0)))))</f>
        <v/>
      </c>
      <c r="L499" s="13" t="str">
        <f aca="false">IF($J499="","",IF($C499="",1,$C499)*IF($Q499&lt;&gt;"",$Q499,IFERROR(INDEX(Products!$D$5:$D$54,MATCH($B499,Products!$A$5:$A$54,0)),0)))</f>
        <v/>
      </c>
      <c r="M499" s="14" t="str">
        <f aca="false">IF($J499="","",$J499-$K499-N($H499)-$L499)</f>
        <v/>
      </c>
      <c r="N499" s="15" t="str">
        <f aca="false">IF($J499="","",IF($J499&gt;0,$M499/$J499,""))</f>
        <v/>
      </c>
      <c r="O499" s="12"/>
      <c r="P499" s="12"/>
      <c r="Q499" s="11"/>
      <c r="R499" s="11"/>
      <c r="S499" s="12"/>
      <c r="T499" s="16" t="str">
        <f aca="false">IF($J499="","",IF($C499="",1,$C499))</f>
        <v/>
      </c>
    </row>
    <row r="500" customFormat="false" ht="15" hidden="false" customHeight="false" outlineLevel="0" collapsed="false">
      <c r="A500" s="7"/>
      <c r="B500" s="8"/>
      <c r="C500" s="9"/>
      <c r="D500" s="10"/>
      <c r="E500" s="11"/>
      <c r="F500" s="11"/>
      <c r="G500" s="8"/>
      <c r="H500" s="11"/>
      <c r="I500" s="12"/>
      <c r="J500" s="13" t="str">
        <f aca="false">IF(OR($A500="",$D500=""),"",IF($C500="",1,$C500)*$D500+N($E500)-N($F500))</f>
        <v/>
      </c>
      <c r="K500" s="13" t="str">
        <f aca="false">IF($J500="","",IF($R500&lt;&gt;"",$R500,IF($G500="",0,MAX(IFERROR(INDEX(Settings!$D$6:$D$15,MATCH($G500,Settings!$A$6:$A$15,0)),0),$J500*IFERROR(INDEX(Settings!$B$6:$B$15,MATCH($G500,Settings!$A$6:$A$15,0)),0)+IFERROR(INDEX(Settings!$C$6:$C$15,MATCH($G500,Settings!$A$6:$A$15,0)),0)))))</f>
        <v/>
      </c>
      <c r="L500" s="13" t="str">
        <f aca="false">IF($J500="","",IF($C500="",1,$C500)*IF($Q500&lt;&gt;"",$Q500,IFERROR(INDEX(Products!$D$5:$D$54,MATCH($B500,Products!$A$5:$A$54,0)),0)))</f>
        <v/>
      </c>
      <c r="M500" s="14" t="str">
        <f aca="false">IF($J500="","",$J500-$K500-N($H500)-$L500)</f>
        <v/>
      </c>
      <c r="N500" s="15" t="str">
        <f aca="false">IF($J500="","",IF($J500&gt;0,$M500/$J500,""))</f>
        <v/>
      </c>
      <c r="O500" s="12"/>
      <c r="P500" s="12"/>
      <c r="Q500" s="11"/>
      <c r="R500" s="11"/>
      <c r="S500" s="12"/>
      <c r="T500" s="16" t="str">
        <f aca="false">IF($J500="","",IF($C500="",1,$C500))</f>
        <v/>
      </c>
    </row>
    <row r="501" customFormat="false" ht="15" hidden="false" customHeight="false" outlineLevel="0" collapsed="false">
      <c r="A501" s="7"/>
      <c r="B501" s="8"/>
      <c r="C501" s="9"/>
      <c r="D501" s="10"/>
      <c r="E501" s="11"/>
      <c r="F501" s="11"/>
      <c r="G501" s="8"/>
      <c r="H501" s="11"/>
      <c r="I501" s="12"/>
      <c r="J501" s="13" t="str">
        <f aca="false">IF(OR($A501="",$D501=""),"",IF($C501="",1,$C501)*$D501+N($E501)-N($F501))</f>
        <v/>
      </c>
      <c r="K501" s="13" t="str">
        <f aca="false">IF($J501="","",IF($R501&lt;&gt;"",$R501,IF($G501="",0,MAX(IFERROR(INDEX(Settings!$D$6:$D$15,MATCH($G501,Settings!$A$6:$A$15,0)),0),$J501*IFERROR(INDEX(Settings!$B$6:$B$15,MATCH($G501,Settings!$A$6:$A$15,0)),0)+IFERROR(INDEX(Settings!$C$6:$C$15,MATCH($G501,Settings!$A$6:$A$15,0)),0)))))</f>
        <v/>
      </c>
      <c r="L501" s="13" t="str">
        <f aca="false">IF($J501="","",IF($C501="",1,$C501)*IF($Q501&lt;&gt;"",$Q501,IFERROR(INDEX(Products!$D$5:$D$54,MATCH($B501,Products!$A$5:$A$54,0)),0)))</f>
        <v/>
      </c>
      <c r="M501" s="14" t="str">
        <f aca="false">IF($J501="","",$J501-$K501-N($H501)-$L501)</f>
        <v/>
      </c>
      <c r="N501" s="15" t="str">
        <f aca="false">IF($J501="","",IF($J501&gt;0,$M501/$J501,""))</f>
        <v/>
      </c>
      <c r="O501" s="12"/>
      <c r="P501" s="12"/>
      <c r="Q501" s="11"/>
      <c r="R501" s="11"/>
      <c r="S501" s="12"/>
      <c r="T501" s="16" t="str">
        <f aca="false">IF($J501="","",IF($C501="",1,$C501))</f>
        <v/>
      </c>
    </row>
    <row r="502" customFormat="false" ht="15" hidden="false" customHeight="false" outlineLevel="0" collapsed="false">
      <c r="A502" s="7"/>
      <c r="B502" s="8"/>
      <c r="C502" s="9"/>
      <c r="D502" s="10"/>
      <c r="E502" s="11"/>
      <c r="F502" s="11"/>
      <c r="G502" s="8"/>
      <c r="H502" s="11"/>
      <c r="I502" s="12"/>
      <c r="J502" s="13" t="str">
        <f aca="false">IF(OR($A502="",$D502=""),"",IF($C502="",1,$C502)*$D502+N($E502)-N($F502))</f>
        <v/>
      </c>
      <c r="K502" s="13" t="str">
        <f aca="false">IF($J502="","",IF($R502&lt;&gt;"",$R502,IF($G502="",0,MAX(IFERROR(INDEX(Settings!$D$6:$D$15,MATCH($G502,Settings!$A$6:$A$15,0)),0),$J502*IFERROR(INDEX(Settings!$B$6:$B$15,MATCH($G502,Settings!$A$6:$A$15,0)),0)+IFERROR(INDEX(Settings!$C$6:$C$15,MATCH($G502,Settings!$A$6:$A$15,0)),0)))))</f>
        <v/>
      </c>
      <c r="L502" s="13" t="str">
        <f aca="false">IF($J502="","",IF($C502="",1,$C502)*IF($Q502&lt;&gt;"",$Q502,IFERROR(INDEX(Products!$D$5:$D$54,MATCH($B502,Products!$A$5:$A$54,0)),0)))</f>
        <v/>
      </c>
      <c r="M502" s="14" t="str">
        <f aca="false">IF($J502="","",$J502-$K502-N($H502)-$L502)</f>
        <v/>
      </c>
      <c r="N502" s="15" t="str">
        <f aca="false">IF($J502="","",IF($J502&gt;0,$M502/$J502,""))</f>
        <v/>
      </c>
      <c r="O502" s="12"/>
      <c r="P502" s="12"/>
      <c r="Q502" s="11"/>
      <c r="R502" s="11"/>
      <c r="S502" s="12"/>
      <c r="T502" s="16" t="str">
        <f aca="false">IF($J502="","",IF($C502="",1,$C502))</f>
        <v/>
      </c>
    </row>
    <row r="503" customFormat="false" ht="15" hidden="false" customHeight="false" outlineLevel="0" collapsed="false">
      <c r="A503" s="7"/>
      <c r="B503" s="8"/>
      <c r="C503" s="9"/>
      <c r="D503" s="10"/>
      <c r="E503" s="11"/>
      <c r="F503" s="11"/>
      <c r="G503" s="8"/>
      <c r="H503" s="11"/>
      <c r="I503" s="12"/>
      <c r="J503" s="13" t="str">
        <f aca="false">IF(OR($A503="",$D503=""),"",IF($C503="",1,$C503)*$D503+N($E503)-N($F503))</f>
        <v/>
      </c>
      <c r="K503" s="13" t="str">
        <f aca="false">IF($J503="","",IF($R503&lt;&gt;"",$R503,IF($G503="",0,MAX(IFERROR(INDEX(Settings!$D$6:$D$15,MATCH($G503,Settings!$A$6:$A$15,0)),0),$J503*IFERROR(INDEX(Settings!$B$6:$B$15,MATCH($G503,Settings!$A$6:$A$15,0)),0)+IFERROR(INDEX(Settings!$C$6:$C$15,MATCH($G503,Settings!$A$6:$A$15,0)),0)))))</f>
        <v/>
      </c>
      <c r="L503" s="13" t="str">
        <f aca="false">IF($J503="","",IF($C503="",1,$C503)*IF($Q503&lt;&gt;"",$Q503,IFERROR(INDEX(Products!$D$5:$D$54,MATCH($B503,Products!$A$5:$A$54,0)),0)))</f>
        <v/>
      </c>
      <c r="M503" s="14" t="str">
        <f aca="false">IF($J503="","",$J503-$K503-N($H503)-$L503)</f>
        <v/>
      </c>
      <c r="N503" s="15" t="str">
        <f aca="false">IF($J503="","",IF($J503&gt;0,$M503/$J503,""))</f>
        <v/>
      </c>
      <c r="O503" s="12"/>
      <c r="P503" s="12"/>
      <c r="Q503" s="11"/>
      <c r="R503" s="11"/>
      <c r="S503" s="12"/>
      <c r="T503" s="16" t="str">
        <f aca="false">IF($J503="","",IF($C503="",1,$C503))</f>
        <v/>
      </c>
    </row>
    <row r="504" customFormat="false" ht="15" hidden="false" customHeight="false" outlineLevel="0" collapsed="false">
      <c r="A504" s="7"/>
      <c r="B504" s="8"/>
      <c r="C504" s="9"/>
      <c r="D504" s="10"/>
      <c r="E504" s="11"/>
      <c r="F504" s="11"/>
      <c r="G504" s="8"/>
      <c r="H504" s="11"/>
      <c r="I504" s="12"/>
      <c r="J504" s="13" t="str">
        <f aca="false">IF(OR($A504="",$D504=""),"",IF($C504="",1,$C504)*$D504+N($E504)-N($F504))</f>
        <v/>
      </c>
      <c r="K504" s="13" t="str">
        <f aca="false">IF($J504="","",IF($R504&lt;&gt;"",$R504,IF($G504="",0,MAX(IFERROR(INDEX(Settings!$D$6:$D$15,MATCH($G504,Settings!$A$6:$A$15,0)),0),$J504*IFERROR(INDEX(Settings!$B$6:$B$15,MATCH($G504,Settings!$A$6:$A$15,0)),0)+IFERROR(INDEX(Settings!$C$6:$C$15,MATCH($G504,Settings!$A$6:$A$15,0)),0)))))</f>
        <v/>
      </c>
      <c r="L504" s="13" t="str">
        <f aca="false">IF($J504="","",IF($C504="",1,$C504)*IF($Q504&lt;&gt;"",$Q504,IFERROR(INDEX(Products!$D$5:$D$54,MATCH($B504,Products!$A$5:$A$54,0)),0)))</f>
        <v/>
      </c>
      <c r="M504" s="14" t="str">
        <f aca="false">IF($J504="","",$J504-$K504-N($H504)-$L504)</f>
        <v/>
      </c>
      <c r="N504" s="15" t="str">
        <f aca="false">IF($J504="","",IF($J504&gt;0,$M504/$J504,""))</f>
        <v/>
      </c>
      <c r="O504" s="12"/>
      <c r="P504" s="12"/>
      <c r="Q504" s="11"/>
      <c r="R504" s="11"/>
      <c r="S504" s="12"/>
      <c r="T504" s="16" t="str">
        <f aca="false">IF($J504="","",IF($C504="",1,$C504))</f>
        <v/>
      </c>
    </row>
    <row r="505" customFormat="false" ht="15" hidden="false" customHeight="false" outlineLevel="0" collapsed="false">
      <c r="A505" s="7"/>
      <c r="B505" s="8"/>
      <c r="C505" s="9"/>
      <c r="D505" s="10"/>
      <c r="E505" s="11"/>
      <c r="F505" s="11"/>
      <c r="G505" s="8"/>
      <c r="H505" s="11"/>
      <c r="I505" s="12"/>
      <c r="J505" s="13" t="str">
        <f aca="false">IF(OR($A505="",$D505=""),"",IF($C505="",1,$C505)*$D505+N($E505)-N($F505))</f>
        <v/>
      </c>
      <c r="K505" s="13" t="str">
        <f aca="false">IF($J505="","",IF($R505&lt;&gt;"",$R505,IF($G505="",0,MAX(IFERROR(INDEX(Settings!$D$6:$D$15,MATCH($G505,Settings!$A$6:$A$15,0)),0),$J505*IFERROR(INDEX(Settings!$B$6:$B$15,MATCH($G505,Settings!$A$6:$A$15,0)),0)+IFERROR(INDEX(Settings!$C$6:$C$15,MATCH($G505,Settings!$A$6:$A$15,0)),0)))))</f>
        <v/>
      </c>
      <c r="L505" s="13" t="str">
        <f aca="false">IF($J505="","",IF($C505="",1,$C505)*IF($Q505&lt;&gt;"",$Q505,IFERROR(INDEX(Products!$D$5:$D$54,MATCH($B505,Products!$A$5:$A$54,0)),0)))</f>
        <v/>
      </c>
      <c r="M505" s="14" t="str">
        <f aca="false">IF($J505="","",$J505-$K505-N($H505)-$L505)</f>
        <v/>
      </c>
      <c r="N505" s="15" t="str">
        <f aca="false">IF($J505="","",IF($J505&gt;0,$M505/$J505,""))</f>
        <v/>
      </c>
      <c r="O505" s="12"/>
      <c r="P505" s="12"/>
      <c r="Q505" s="11"/>
      <c r="R505" s="11"/>
      <c r="S505" s="12"/>
      <c r="T505" s="16" t="str">
        <f aca="false">IF($J505="","",IF($C505="",1,$C505))</f>
        <v/>
      </c>
    </row>
    <row r="506" customFormat="false" ht="15" hidden="false" customHeight="false" outlineLevel="0" collapsed="false">
      <c r="A506" s="7"/>
      <c r="B506" s="8"/>
      <c r="C506" s="9"/>
      <c r="D506" s="10"/>
      <c r="E506" s="11"/>
      <c r="F506" s="11"/>
      <c r="G506" s="8"/>
      <c r="H506" s="11"/>
      <c r="I506" s="12"/>
      <c r="J506" s="13" t="str">
        <f aca="false">IF(OR($A506="",$D506=""),"",IF($C506="",1,$C506)*$D506+N($E506)-N($F506))</f>
        <v/>
      </c>
      <c r="K506" s="13" t="str">
        <f aca="false">IF($J506="","",IF($R506&lt;&gt;"",$R506,IF($G506="",0,MAX(IFERROR(INDEX(Settings!$D$6:$D$15,MATCH($G506,Settings!$A$6:$A$15,0)),0),$J506*IFERROR(INDEX(Settings!$B$6:$B$15,MATCH($G506,Settings!$A$6:$A$15,0)),0)+IFERROR(INDEX(Settings!$C$6:$C$15,MATCH($G506,Settings!$A$6:$A$15,0)),0)))))</f>
        <v/>
      </c>
      <c r="L506" s="13" t="str">
        <f aca="false">IF($J506="","",IF($C506="",1,$C506)*IF($Q506&lt;&gt;"",$Q506,IFERROR(INDEX(Products!$D$5:$D$54,MATCH($B506,Products!$A$5:$A$54,0)),0)))</f>
        <v/>
      </c>
      <c r="M506" s="14" t="str">
        <f aca="false">IF($J506="","",$J506-$K506-N($H506)-$L506)</f>
        <v/>
      </c>
      <c r="N506" s="15" t="str">
        <f aca="false">IF($J506="","",IF($J506&gt;0,$M506/$J506,""))</f>
        <v/>
      </c>
      <c r="O506" s="12"/>
      <c r="P506" s="12"/>
      <c r="Q506" s="11"/>
      <c r="R506" s="11"/>
      <c r="S506" s="12"/>
      <c r="T506" s="16" t="str">
        <f aca="false">IF($J506="","",IF($C506="",1,$C506))</f>
        <v/>
      </c>
    </row>
    <row r="507" customFormat="false" ht="15" hidden="false" customHeight="false" outlineLevel="0" collapsed="false">
      <c r="A507" s="7"/>
      <c r="B507" s="8"/>
      <c r="C507" s="9"/>
      <c r="D507" s="10"/>
      <c r="E507" s="11"/>
      <c r="F507" s="11"/>
      <c r="G507" s="8"/>
      <c r="H507" s="11"/>
      <c r="I507" s="12"/>
      <c r="J507" s="13" t="str">
        <f aca="false">IF(OR($A507="",$D507=""),"",IF($C507="",1,$C507)*$D507+N($E507)-N($F507))</f>
        <v/>
      </c>
      <c r="K507" s="13" t="str">
        <f aca="false">IF($J507="","",IF($R507&lt;&gt;"",$R507,IF($G507="",0,MAX(IFERROR(INDEX(Settings!$D$6:$D$15,MATCH($G507,Settings!$A$6:$A$15,0)),0),$J507*IFERROR(INDEX(Settings!$B$6:$B$15,MATCH($G507,Settings!$A$6:$A$15,0)),0)+IFERROR(INDEX(Settings!$C$6:$C$15,MATCH($G507,Settings!$A$6:$A$15,0)),0)))))</f>
        <v/>
      </c>
      <c r="L507" s="13" t="str">
        <f aca="false">IF($J507="","",IF($C507="",1,$C507)*IF($Q507&lt;&gt;"",$Q507,IFERROR(INDEX(Products!$D$5:$D$54,MATCH($B507,Products!$A$5:$A$54,0)),0)))</f>
        <v/>
      </c>
      <c r="M507" s="14" t="str">
        <f aca="false">IF($J507="","",$J507-$K507-N($H507)-$L507)</f>
        <v/>
      </c>
      <c r="N507" s="15" t="str">
        <f aca="false">IF($J507="","",IF($J507&gt;0,$M507/$J507,""))</f>
        <v/>
      </c>
      <c r="O507" s="12"/>
      <c r="P507" s="12"/>
      <c r="Q507" s="11"/>
      <c r="R507" s="11"/>
      <c r="S507" s="12"/>
      <c r="T507" s="16" t="str">
        <f aca="false">IF($J507="","",IF($C507="",1,$C507))</f>
        <v/>
      </c>
    </row>
    <row r="508" customFormat="false" ht="15" hidden="false" customHeight="false" outlineLevel="0" collapsed="false">
      <c r="A508" s="7"/>
      <c r="B508" s="8"/>
      <c r="C508" s="9"/>
      <c r="D508" s="10"/>
      <c r="E508" s="11"/>
      <c r="F508" s="11"/>
      <c r="G508" s="8"/>
      <c r="H508" s="11"/>
      <c r="I508" s="12"/>
      <c r="J508" s="13" t="str">
        <f aca="false">IF(OR($A508="",$D508=""),"",IF($C508="",1,$C508)*$D508+N($E508)-N($F508))</f>
        <v/>
      </c>
      <c r="K508" s="13" t="str">
        <f aca="false">IF($J508="","",IF($R508&lt;&gt;"",$R508,IF($G508="",0,MAX(IFERROR(INDEX(Settings!$D$6:$D$15,MATCH($G508,Settings!$A$6:$A$15,0)),0),$J508*IFERROR(INDEX(Settings!$B$6:$B$15,MATCH($G508,Settings!$A$6:$A$15,0)),0)+IFERROR(INDEX(Settings!$C$6:$C$15,MATCH($G508,Settings!$A$6:$A$15,0)),0)))))</f>
        <v/>
      </c>
      <c r="L508" s="13" t="str">
        <f aca="false">IF($J508="","",IF($C508="",1,$C508)*IF($Q508&lt;&gt;"",$Q508,IFERROR(INDEX(Products!$D$5:$D$54,MATCH($B508,Products!$A$5:$A$54,0)),0)))</f>
        <v/>
      </c>
      <c r="M508" s="14" t="str">
        <f aca="false">IF($J508="","",$J508-$K508-N($H508)-$L508)</f>
        <v/>
      </c>
      <c r="N508" s="15" t="str">
        <f aca="false">IF($J508="","",IF($J508&gt;0,$M508/$J508,""))</f>
        <v/>
      </c>
      <c r="O508" s="12"/>
      <c r="P508" s="12"/>
      <c r="Q508" s="11"/>
      <c r="R508" s="11"/>
      <c r="S508" s="12"/>
      <c r="T508" s="16" t="str">
        <f aca="false">IF($J508="","",IF($C508="",1,$C508))</f>
        <v/>
      </c>
    </row>
    <row r="509" customFormat="false" ht="15" hidden="false" customHeight="false" outlineLevel="0" collapsed="false">
      <c r="A509" s="7"/>
      <c r="B509" s="8"/>
      <c r="C509" s="9"/>
      <c r="D509" s="10"/>
      <c r="E509" s="11"/>
      <c r="F509" s="11"/>
      <c r="G509" s="8"/>
      <c r="H509" s="11"/>
      <c r="I509" s="12"/>
      <c r="J509" s="13" t="str">
        <f aca="false">IF(OR($A509="",$D509=""),"",IF($C509="",1,$C509)*$D509+N($E509)-N($F509))</f>
        <v/>
      </c>
      <c r="K509" s="13" t="str">
        <f aca="false">IF($J509="","",IF($R509&lt;&gt;"",$R509,IF($G509="",0,MAX(IFERROR(INDEX(Settings!$D$6:$D$15,MATCH($G509,Settings!$A$6:$A$15,0)),0),$J509*IFERROR(INDEX(Settings!$B$6:$B$15,MATCH($G509,Settings!$A$6:$A$15,0)),0)+IFERROR(INDEX(Settings!$C$6:$C$15,MATCH($G509,Settings!$A$6:$A$15,0)),0)))))</f>
        <v/>
      </c>
      <c r="L509" s="13" t="str">
        <f aca="false">IF($J509="","",IF($C509="",1,$C509)*IF($Q509&lt;&gt;"",$Q509,IFERROR(INDEX(Products!$D$5:$D$54,MATCH($B509,Products!$A$5:$A$54,0)),0)))</f>
        <v/>
      </c>
      <c r="M509" s="14" t="str">
        <f aca="false">IF($J509="","",$J509-$K509-N($H509)-$L509)</f>
        <v/>
      </c>
      <c r="N509" s="15" t="str">
        <f aca="false">IF($J509="","",IF($J509&gt;0,$M509/$J509,""))</f>
        <v/>
      </c>
      <c r="O509" s="12"/>
      <c r="P509" s="12"/>
      <c r="Q509" s="11"/>
      <c r="R509" s="11"/>
      <c r="S509" s="12"/>
      <c r="T509" s="16" t="str">
        <f aca="false">IF($J509="","",IF($C509="",1,$C509))</f>
        <v/>
      </c>
    </row>
    <row r="510" customFormat="false" ht="15" hidden="false" customHeight="false" outlineLevel="0" collapsed="false">
      <c r="A510" s="7"/>
      <c r="B510" s="8"/>
      <c r="C510" s="9"/>
      <c r="D510" s="10"/>
      <c r="E510" s="11"/>
      <c r="F510" s="11"/>
      <c r="G510" s="8"/>
      <c r="H510" s="11"/>
      <c r="I510" s="12"/>
      <c r="J510" s="13" t="str">
        <f aca="false">IF(OR($A510="",$D510=""),"",IF($C510="",1,$C510)*$D510+N($E510)-N($F510))</f>
        <v/>
      </c>
      <c r="K510" s="13" t="str">
        <f aca="false">IF($J510="","",IF($R510&lt;&gt;"",$R510,IF($G510="",0,MAX(IFERROR(INDEX(Settings!$D$6:$D$15,MATCH($G510,Settings!$A$6:$A$15,0)),0),$J510*IFERROR(INDEX(Settings!$B$6:$B$15,MATCH($G510,Settings!$A$6:$A$15,0)),0)+IFERROR(INDEX(Settings!$C$6:$C$15,MATCH($G510,Settings!$A$6:$A$15,0)),0)))))</f>
        <v/>
      </c>
      <c r="L510" s="13" t="str">
        <f aca="false">IF($J510="","",IF($C510="",1,$C510)*IF($Q510&lt;&gt;"",$Q510,IFERROR(INDEX(Products!$D$5:$D$54,MATCH($B510,Products!$A$5:$A$54,0)),0)))</f>
        <v/>
      </c>
      <c r="M510" s="14" t="str">
        <f aca="false">IF($J510="","",$J510-$K510-N($H510)-$L510)</f>
        <v/>
      </c>
      <c r="N510" s="15" t="str">
        <f aca="false">IF($J510="","",IF($J510&gt;0,$M510/$J510,""))</f>
        <v/>
      </c>
      <c r="O510" s="12"/>
      <c r="P510" s="12"/>
      <c r="Q510" s="11"/>
      <c r="R510" s="11"/>
      <c r="S510" s="12"/>
      <c r="T510" s="16" t="str">
        <f aca="false">IF($J510="","",IF($C510="",1,$C510))</f>
        <v/>
      </c>
    </row>
    <row r="511" customFormat="false" ht="15" hidden="false" customHeight="false" outlineLevel="0" collapsed="false">
      <c r="A511" s="7"/>
      <c r="B511" s="8"/>
      <c r="C511" s="9"/>
      <c r="D511" s="10"/>
      <c r="E511" s="11"/>
      <c r="F511" s="11"/>
      <c r="G511" s="8"/>
      <c r="H511" s="11"/>
      <c r="I511" s="12"/>
      <c r="J511" s="13" t="str">
        <f aca="false">IF(OR($A511="",$D511=""),"",IF($C511="",1,$C511)*$D511+N($E511)-N($F511))</f>
        <v/>
      </c>
      <c r="K511" s="13" t="str">
        <f aca="false">IF($J511="","",IF($R511&lt;&gt;"",$R511,IF($G511="",0,MAX(IFERROR(INDEX(Settings!$D$6:$D$15,MATCH($G511,Settings!$A$6:$A$15,0)),0),$J511*IFERROR(INDEX(Settings!$B$6:$B$15,MATCH($G511,Settings!$A$6:$A$15,0)),0)+IFERROR(INDEX(Settings!$C$6:$C$15,MATCH($G511,Settings!$A$6:$A$15,0)),0)))))</f>
        <v/>
      </c>
      <c r="L511" s="13" t="str">
        <f aca="false">IF($J511="","",IF($C511="",1,$C511)*IF($Q511&lt;&gt;"",$Q511,IFERROR(INDEX(Products!$D$5:$D$54,MATCH($B511,Products!$A$5:$A$54,0)),0)))</f>
        <v/>
      </c>
      <c r="M511" s="14" t="str">
        <f aca="false">IF($J511="","",$J511-$K511-N($H511)-$L511)</f>
        <v/>
      </c>
      <c r="N511" s="15" t="str">
        <f aca="false">IF($J511="","",IF($J511&gt;0,$M511/$J511,""))</f>
        <v/>
      </c>
      <c r="O511" s="12"/>
      <c r="P511" s="12"/>
      <c r="Q511" s="11"/>
      <c r="R511" s="11"/>
      <c r="S511" s="12"/>
      <c r="T511" s="16" t="str">
        <f aca="false">IF($J511="","",IF($C511="",1,$C511))</f>
        <v/>
      </c>
    </row>
    <row r="512" customFormat="false" ht="15" hidden="false" customHeight="false" outlineLevel="0" collapsed="false">
      <c r="A512" s="7"/>
      <c r="B512" s="8"/>
      <c r="C512" s="9"/>
      <c r="D512" s="10"/>
      <c r="E512" s="11"/>
      <c r="F512" s="11"/>
      <c r="G512" s="8"/>
      <c r="H512" s="11"/>
      <c r="I512" s="12"/>
      <c r="J512" s="13" t="str">
        <f aca="false">IF(OR($A512="",$D512=""),"",IF($C512="",1,$C512)*$D512+N($E512)-N($F512))</f>
        <v/>
      </c>
      <c r="K512" s="13" t="str">
        <f aca="false">IF($J512="","",IF($R512&lt;&gt;"",$R512,IF($G512="",0,MAX(IFERROR(INDEX(Settings!$D$6:$D$15,MATCH($G512,Settings!$A$6:$A$15,0)),0),$J512*IFERROR(INDEX(Settings!$B$6:$B$15,MATCH($G512,Settings!$A$6:$A$15,0)),0)+IFERROR(INDEX(Settings!$C$6:$C$15,MATCH($G512,Settings!$A$6:$A$15,0)),0)))))</f>
        <v/>
      </c>
      <c r="L512" s="13" t="str">
        <f aca="false">IF($J512="","",IF($C512="",1,$C512)*IF($Q512&lt;&gt;"",$Q512,IFERROR(INDEX(Products!$D$5:$D$54,MATCH($B512,Products!$A$5:$A$54,0)),0)))</f>
        <v/>
      </c>
      <c r="M512" s="14" t="str">
        <f aca="false">IF($J512="","",$J512-$K512-N($H512)-$L512)</f>
        <v/>
      </c>
      <c r="N512" s="15" t="str">
        <f aca="false">IF($J512="","",IF($J512&gt;0,$M512/$J512,""))</f>
        <v/>
      </c>
      <c r="O512" s="12"/>
      <c r="P512" s="12"/>
      <c r="Q512" s="11"/>
      <c r="R512" s="11"/>
      <c r="S512" s="12"/>
      <c r="T512" s="16" t="str">
        <f aca="false">IF($J512="","",IF($C512="",1,$C512))</f>
        <v/>
      </c>
    </row>
    <row r="513" customFormat="false" ht="15" hidden="false" customHeight="false" outlineLevel="0" collapsed="false">
      <c r="A513" s="7"/>
      <c r="B513" s="8"/>
      <c r="C513" s="9"/>
      <c r="D513" s="10"/>
      <c r="E513" s="11"/>
      <c r="F513" s="11"/>
      <c r="G513" s="8"/>
      <c r="H513" s="11"/>
      <c r="I513" s="12"/>
      <c r="J513" s="13" t="str">
        <f aca="false">IF(OR($A513="",$D513=""),"",IF($C513="",1,$C513)*$D513+N($E513)-N($F513))</f>
        <v/>
      </c>
      <c r="K513" s="13" t="str">
        <f aca="false">IF($J513="","",IF($R513&lt;&gt;"",$R513,IF($G513="",0,MAX(IFERROR(INDEX(Settings!$D$6:$D$15,MATCH($G513,Settings!$A$6:$A$15,0)),0),$J513*IFERROR(INDEX(Settings!$B$6:$B$15,MATCH($G513,Settings!$A$6:$A$15,0)),0)+IFERROR(INDEX(Settings!$C$6:$C$15,MATCH($G513,Settings!$A$6:$A$15,0)),0)))))</f>
        <v/>
      </c>
      <c r="L513" s="13" t="str">
        <f aca="false">IF($J513="","",IF($C513="",1,$C513)*IF($Q513&lt;&gt;"",$Q513,IFERROR(INDEX(Products!$D$5:$D$54,MATCH($B513,Products!$A$5:$A$54,0)),0)))</f>
        <v/>
      </c>
      <c r="M513" s="14" t="str">
        <f aca="false">IF($J513="","",$J513-$K513-N($H513)-$L513)</f>
        <v/>
      </c>
      <c r="N513" s="15" t="str">
        <f aca="false">IF($J513="","",IF($J513&gt;0,$M513/$J513,""))</f>
        <v/>
      </c>
      <c r="O513" s="12"/>
      <c r="P513" s="12"/>
      <c r="Q513" s="11"/>
      <c r="R513" s="11"/>
      <c r="S513" s="12"/>
      <c r="T513" s="16" t="str">
        <f aca="false">IF($J513="","",IF($C513="",1,$C513))</f>
        <v/>
      </c>
    </row>
    <row r="514" customFormat="false" ht="15" hidden="false" customHeight="false" outlineLevel="0" collapsed="false">
      <c r="A514" s="7"/>
      <c r="B514" s="8"/>
      <c r="C514" s="9"/>
      <c r="D514" s="10"/>
      <c r="E514" s="11"/>
      <c r="F514" s="11"/>
      <c r="G514" s="8"/>
      <c r="H514" s="11"/>
      <c r="I514" s="12"/>
      <c r="J514" s="13" t="str">
        <f aca="false">IF(OR($A514="",$D514=""),"",IF($C514="",1,$C514)*$D514+N($E514)-N($F514))</f>
        <v/>
      </c>
      <c r="K514" s="13" t="str">
        <f aca="false">IF($J514="","",IF($R514&lt;&gt;"",$R514,IF($G514="",0,MAX(IFERROR(INDEX(Settings!$D$6:$D$15,MATCH($G514,Settings!$A$6:$A$15,0)),0),$J514*IFERROR(INDEX(Settings!$B$6:$B$15,MATCH($G514,Settings!$A$6:$A$15,0)),0)+IFERROR(INDEX(Settings!$C$6:$C$15,MATCH($G514,Settings!$A$6:$A$15,0)),0)))))</f>
        <v/>
      </c>
      <c r="L514" s="13" t="str">
        <f aca="false">IF($J514="","",IF($C514="",1,$C514)*IF($Q514&lt;&gt;"",$Q514,IFERROR(INDEX(Products!$D$5:$D$54,MATCH($B514,Products!$A$5:$A$54,0)),0)))</f>
        <v/>
      </c>
      <c r="M514" s="14" t="str">
        <f aca="false">IF($J514="","",$J514-$K514-N($H514)-$L514)</f>
        <v/>
      </c>
      <c r="N514" s="15" t="str">
        <f aca="false">IF($J514="","",IF($J514&gt;0,$M514/$J514,""))</f>
        <v/>
      </c>
      <c r="O514" s="12"/>
      <c r="P514" s="12"/>
      <c r="Q514" s="11"/>
      <c r="R514" s="11"/>
      <c r="S514" s="12"/>
      <c r="T514" s="16" t="str">
        <f aca="false">IF($J514="","",IF($C514="",1,$C514))</f>
        <v/>
      </c>
    </row>
    <row r="515" customFormat="false" ht="15" hidden="false" customHeight="false" outlineLevel="0" collapsed="false">
      <c r="A515" s="7"/>
      <c r="B515" s="8"/>
      <c r="C515" s="9"/>
      <c r="D515" s="10"/>
      <c r="E515" s="11"/>
      <c r="F515" s="11"/>
      <c r="G515" s="8"/>
      <c r="H515" s="11"/>
      <c r="I515" s="12"/>
      <c r="J515" s="13" t="str">
        <f aca="false">IF(OR($A515="",$D515=""),"",IF($C515="",1,$C515)*$D515+N($E515)-N($F515))</f>
        <v/>
      </c>
      <c r="K515" s="13" t="str">
        <f aca="false">IF($J515="","",IF($R515&lt;&gt;"",$R515,IF($G515="",0,MAX(IFERROR(INDEX(Settings!$D$6:$D$15,MATCH($G515,Settings!$A$6:$A$15,0)),0),$J515*IFERROR(INDEX(Settings!$B$6:$B$15,MATCH($G515,Settings!$A$6:$A$15,0)),0)+IFERROR(INDEX(Settings!$C$6:$C$15,MATCH($G515,Settings!$A$6:$A$15,0)),0)))))</f>
        <v/>
      </c>
      <c r="L515" s="13" t="str">
        <f aca="false">IF($J515="","",IF($C515="",1,$C515)*IF($Q515&lt;&gt;"",$Q515,IFERROR(INDEX(Products!$D$5:$D$54,MATCH($B515,Products!$A$5:$A$54,0)),0)))</f>
        <v/>
      </c>
      <c r="M515" s="14" t="str">
        <f aca="false">IF($J515="","",$J515-$K515-N($H515)-$L515)</f>
        <v/>
      </c>
      <c r="N515" s="15" t="str">
        <f aca="false">IF($J515="","",IF($J515&gt;0,$M515/$J515,""))</f>
        <v/>
      </c>
      <c r="O515" s="12"/>
      <c r="P515" s="12"/>
      <c r="Q515" s="11"/>
      <c r="R515" s="11"/>
      <c r="S515" s="12"/>
      <c r="T515" s="16" t="str">
        <f aca="false">IF($J515="","",IF($C515="",1,$C515))</f>
        <v/>
      </c>
    </row>
    <row r="516" customFormat="false" ht="15" hidden="false" customHeight="false" outlineLevel="0" collapsed="false">
      <c r="A516" s="7"/>
      <c r="B516" s="8"/>
      <c r="C516" s="9"/>
      <c r="D516" s="10"/>
      <c r="E516" s="11"/>
      <c r="F516" s="11"/>
      <c r="G516" s="8"/>
      <c r="H516" s="11"/>
      <c r="I516" s="12"/>
      <c r="J516" s="13" t="str">
        <f aca="false">IF(OR($A516="",$D516=""),"",IF($C516="",1,$C516)*$D516+N($E516)-N($F516))</f>
        <v/>
      </c>
      <c r="K516" s="13" t="str">
        <f aca="false">IF($J516="","",IF($R516&lt;&gt;"",$R516,IF($G516="",0,MAX(IFERROR(INDEX(Settings!$D$6:$D$15,MATCH($G516,Settings!$A$6:$A$15,0)),0),$J516*IFERROR(INDEX(Settings!$B$6:$B$15,MATCH($G516,Settings!$A$6:$A$15,0)),0)+IFERROR(INDEX(Settings!$C$6:$C$15,MATCH($G516,Settings!$A$6:$A$15,0)),0)))))</f>
        <v/>
      </c>
      <c r="L516" s="13" t="str">
        <f aca="false">IF($J516="","",IF($C516="",1,$C516)*IF($Q516&lt;&gt;"",$Q516,IFERROR(INDEX(Products!$D$5:$D$54,MATCH($B516,Products!$A$5:$A$54,0)),0)))</f>
        <v/>
      </c>
      <c r="M516" s="14" t="str">
        <f aca="false">IF($J516="","",$J516-$K516-N($H516)-$L516)</f>
        <v/>
      </c>
      <c r="N516" s="15" t="str">
        <f aca="false">IF($J516="","",IF($J516&gt;0,$M516/$J516,""))</f>
        <v/>
      </c>
      <c r="O516" s="12"/>
      <c r="P516" s="12"/>
      <c r="Q516" s="11"/>
      <c r="R516" s="11"/>
      <c r="S516" s="12"/>
      <c r="T516" s="16" t="str">
        <f aca="false">IF($J516="","",IF($C516="",1,$C516))</f>
        <v/>
      </c>
    </row>
    <row r="517" customFormat="false" ht="15" hidden="false" customHeight="false" outlineLevel="0" collapsed="false">
      <c r="A517" s="7"/>
      <c r="B517" s="8"/>
      <c r="C517" s="9"/>
      <c r="D517" s="10"/>
      <c r="E517" s="11"/>
      <c r="F517" s="11"/>
      <c r="G517" s="8"/>
      <c r="H517" s="11"/>
      <c r="I517" s="12"/>
      <c r="J517" s="13" t="str">
        <f aca="false">IF(OR($A517="",$D517=""),"",IF($C517="",1,$C517)*$D517+N($E517)-N($F517))</f>
        <v/>
      </c>
      <c r="K517" s="13" t="str">
        <f aca="false">IF($J517="","",IF($R517&lt;&gt;"",$R517,IF($G517="",0,MAX(IFERROR(INDEX(Settings!$D$6:$D$15,MATCH($G517,Settings!$A$6:$A$15,0)),0),$J517*IFERROR(INDEX(Settings!$B$6:$B$15,MATCH($G517,Settings!$A$6:$A$15,0)),0)+IFERROR(INDEX(Settings!$C$6:$C$15,MATCH($G517,Settings!$A$6:$A$15,0)),0)))))</f>
        <v/>
      </c>
      <c r="L517" s="13" t="str">
        <f aca="false">IF($J517="","",IF($C517="",1,$C517)*IF($Q517&lt;&gt;"",$Q517,IFERROR(INDEX(Products!$D$5:$D$54,MATCH($B517,Products!$A$5:$A$54,0)),0)))</f>
        <v/>
      </c>
      <c r="M517" s="14" t="str">
        <f aca="false">IF($J517="","",$J517-$K517-N($H517)-$L517)</f>
        <v/>
      </c>
      <c r="N517" s="15" t="str">
        <f aca="false">IF($J517="","",IF($J517&gt;0,$M517/$J517,""))</f>
        <v/>
      </c>
      <c r="O517" s="12"/>
      <c r="P517" s="12"/>
      <c r="Q517" s="11"/>
      <c r="R517" s="11"/>
      <c r="S517" s="12"/>
      <c r="T517" s="16" t="str">
        <f aca="false">IF($J517="","",IF($C517="",1,$C517))</f>
        <v/>
      </c>
    </row>
    <row r="518" customFormat="false" ht="15" hidden="false" customHeight="false" outlineLevel="0" collapsed="false">
      <c r="A518" s="7"/>
      <c r="B518" s="8"/>
      <c r="C518" s="9"/>
      <c r="D518" s="10"/>
      <c r="E518" s="11"/>
      <c r="F518" s="11"/>
      <c r="G518" s="8"/>
      <c r="H518" s="11"/>
      <c r="I518" s="12"/>
      <c r="J518" s="13" t="str">
        <f aca="false">IF(OR($A518="",$D518=""),"",IF($C518="",1,$C518)*$D518+N($E518)-N($F518))</f>
        <v/>
      </c>
      <c r="K518" s="13" t="str">
        <f aca="false">IF($J518="","",IF($R518&lt;&gt;"",$R518,IF($G518="",0,MAX(IFERROR(INDEX(Settings!$D$6:$D$15,MATCH($G518,Settings!$A$6:$A$15,0)),0),$J518*IFERROR(INDEX(Settings!$B$6:$B$15,MATCH($G518,Settings!$A$6:$A$15,0)),0)+IFERROR(INDEX(Settings!$C$6:$C$15,MATCH($G518,Settings!$A$6:$A$15,0)),0)))))</f>
        <v/>
      </c>
      <c r="L518" s="13" t="str">
        <f aca="false">IF($J518="","",IF($C518="",1,$C518)*IF($Q518&lt;&gt;"",$Q518,IFERROR(INDEX(Products!$D$5:$D$54,MATCH($B518,Products!$A$5:$A$54,0)),0)))</f>
        <v/>
      </c>
      <c r="M518" s="14" t="str">
        <f aca="false">IF($J518="","",$J518-$K518-N($H518)-$L518)</f>
        <v/>
      </c>
      <c r="N518" s="15" t="str">
        <f aca="false">IF($J518="","",IF($J518&gt;0,$M518/$J518,""))</f>
        <v/>
      </c>
      <c r="O518" s="12"/>
      <c r="P518" s="12"/>
      <c r="Q518" s="11"/>
      <c r="R518" s="11"/>
      <c r="S518" s="12"/>
      <c r="T518" s="16" t="str">
        <f aca="false">IF($J518="","",IF($C518="",1,$C518))</f>
        <v/>
      </c>
    </row>
    <row r="519" customFormat="false" ht="15" hidden="false" customHeight="false" outlineLevel="0" collapsed="false">
      <c r="A519" s="7"/>
      <c r="B519" s="8"/>
      <c r="C519" s="9"/>
      <c r="D519" s="10"/>
      <c r="E519" s="11"/>
      <c r="F519" s="11"/>
      <c r="G519" s="8"/>
      <c r="H519" s="11"/>
      <c r="I519" s="12"/>
      <c r="J519" s="13" t="str">
        <f aca="false">IF(OR($A519="",$D519=""),"",IF($C519="",1,$C519)*$D519+N($E519)-N($F519))</f>
        <v/>
      </c>
      <c r="K519" s="13" t="str">
        <f aca="false">IF($J519="","",IF($R519&lt;&gt;"",$R519,IF($G519="",0,MAX(IFERROR(INDEX(Settings!$D$6:$D$15,MATCH($G519,Settings!$A$6:$A$15,0)),0),$J519*IFERROR(INDEX(Settings!$B$6:$B$15,MATCH($G519,Settings!$A$6:$A$15,0)),0)+IFERROR(INDEX(Settings!$C$6:$C$15,MATCH($G519,Settings!$A$6:$A$15,0)),0)))))</f>
        <v/>
      </c>
      <c r="L519" s="13" t="str">
        <f aca="false">IF($J519="","",IF($C519="",1,$C519)*IF($Q519&lt;&gt;"",$Q519,IFERROR(INDEX(Products!$D$5:$D$54,MATCH($B519,Products!$A$5:$A$54,0)),0)))</f>
        <v/>
      </c>
      <c r="M519" s="14" t="str">
        <f aca="false">IF($J519="","",$J519-$K519-N($H519)-$L519)</f>
        <v/>
      </c>
      <c r="N519" s="15" t="str">
        <f aca="false">IF($J519="","",IF($J519&gt;0,$M519/$J519,""))</f>
        <v/>
      </c>
      <c r="O519" s="12"/>
      <c r="P519" s="12"/>
      <c r="Q519" s="11"/>
      <c r="R519" s="11"/>
      <c r="S519" s="12"/>
      <c r="T519" s="16" t="str">
        <f aca="false">IF($J519="","",IF($C519="",1,$C519))</f>
        <v/>
      </c>
    </row>
    <row r="520" customFormat="false" ht="15" hidden="false" customHeight="false" outlineLevel="0" collapsed="false">
      <c r="A520" s="7"/>
      <c r="B520" s="8"/>
      <c r="C520" s="9"/>
      <c r="D520" s="10"/>
      <c r="E520" s="11"/>
      <c r="F520" s="11"/>
      <c r="G520" s="8"/>
      <c r="H520" s="11"/>
      <c r="I520" s="12"/>
      <c r="J520" s="13" t="str">
        <f aca="false">IF(OR($A520="",$D520=""),"",IF($C520="",1,$C520)*$D520+N($E520)-N($F520))</f>
        <v/>
      </c>
      <c r="K520" s="13" t="str">
        <f aca="false">IF($J520="","",IF($R520&lt;&gt;"",$R520,IF($G520="",0,MAX(IFERROR(INDEX(Settings!$D$6:$D$15,MATCH($G520,Settings!$A$6:$A$15,0)),0),$J520*IFERROR(INDEX(Settings!$B$6:$B$15,MATCH($G520,Settings!$A$6:$A$15,0)),0)+IFERROR(INDEX(Settings!$C$6:$C$15,MATCH($G520,Settings!$A$6:$A$15,0)),0)))))</f>
        <v/>
      </c>
      <c r="L520" s="13" t="str">
        <f aca="false">IF($J520="","",IF($C520="",1,$C520)*IF($Q520&lt;&gt;"",$Q520,IFERROR(INDEX(Products!$D$5:$D$54,MATCH($B520,Products!$A$5:$A$54,0)),0)))</f>
        <v/>
      </c>
      <c r="M520" s="14" t="str">
        <f aca="false">IF($J520="","",$J520-$K520-N($H520)-$L520)</f>
        <v/>
      </c>
      <c r="N520" s="15" t="str">
        <f aca="false">IF($J520="","",IF($J520&gt;0,$M520/$J520,""))</f>
        <v/>
      </c>
      <c r="O520" s="12"/>
      <c r="P520" s="12"/>
      <c r="Q520" s="11"/>
      <c r="R520" s="11"/>
      <c r="S520" s="12"/>
      <c r="T520" s="16" t="str">
        <f aca="false">IF($J520="","",IF($C520="",1,$C520))</f>
        <v/>
      </c>
    </row>
    <row r="521" customFormat="false" ht="15" hidden="false" customHeight="false" outlineLevel="0" collapsed="false">
      <c r="A521" s="7"/>
      <c r="B521" s="8"/>
      <c r="C521" s="9"/>
      <c r="D521" s="10"/>
      <c r="E521" s="11"/>
      <c r="F521" s="11"/>
      <c r="G521" s="8"/>
      <c r="H521" s="11"/>
      <c r="I521" s="12"/>
      <c r="J521" s="13" t="str">
        <f aca="false">IF(OR($A521="",$D521=""),"",IF($C521="",1,$C521)*$D521+N($E521)-N($F521))</f>
        <v/>
      </c>
      <c r="K521" s="13" t="str">
        <f aca="false">IF($J521="","",IF($R521&lt;&gt;"",$R521,IF($G521="",0,MAX(IFERROR(INDEX(Settings!$D$6:$D$15,MATCH($G521,Settings!$A$6:$A$15,0)),0),$J521*IFERROR(INDEX(Settings!$B$6:$B$15,MATCH($G521,Settings!$A$6:$A$15,0)),0)+IFERROR(INDEX(Settings!$C$6:$C$15,MATCH($G521,Settings!$A$6:$A$15,0)),0)))))</f>
        <v/>
      </c>
      <c r="L521" s="13" t="str">
        <f aca="false">IF($J521="","",IF($C521="",1,$C521)*IF($Q521&lt;&gt;"",$Q521,IFERROR(INDEX(Products!$D$5:$D$54,MATCH($B521,Products!$A$5:$A$54,0)),0)))</f>
        <v/>
      </c>
      <c r="M521" s="14" t="str">
        <f aca="false">IF($J521="","",$J521-$K521-N($H521)-$L521)</f>
        <v/>
      </c>
      <c r="N521" s="15" t="str">
        <f aca="false">IF($J521="","",IF($J521&gt;0,$M521/$J521,""))</f>
        <v/>
      </c>
      <c r="O521" s="12"/>
      <c r="P521" s="12"/>
      <c r="Q521" s="11"/>
      <c r="R521" s="11"/>
      <c r="S521" s="12"/>
      <c r="T521" s="16" t="str">
        <f aca="false">IF($J521="","",IF($C521="",1,$C521))</f>
        <v/>
      </c>
    </row>
    <row r="522" customFormat="false" ht="15" hidden="false" customHeight="false" outlineLevel="0" collapsed="false">
      <c r="A522" s="7"/>
      <c r="B522" s="8"/>
      <c r="C522" s="9"/>
      <c r="D522" s="10"/>
      <c r="E522" s="11"/>
      <c r="F522" s="11"/>
      <c r="G522" s="8"/>
      <c r="H522" s="11"/>
      <c r="I522" s="12"/>
      <c r="J522" s="13" t="str">
        <f aca="false">IF(OR($A522="",$D522=""),"",IF($C522="",1,$C522)*$D522+N($E522)-N($F522))</f>
        <v/>
      </c>
      <c r="K522" s="13" t="str">
        <f aca="false">IF($J522="","",IF($R522&lt;&gt;"",$R522,IF($G522="",0,MAX(IFERROR(INDEX(Settings!$D$6:$D$15,MATCH($G522,Settings!$A$6:$A$15,0)),0),$J522*IFERROR(INDEX(Settings!$B$6:$B$15,MATCH($G522,Settings!$A$6:$A$15,0)),0)+IFERROR(INDEX(Settings!$C$6:$C$15,MATCH($G522,Settings!$A$6:$A$15,0)),0)))))</f>
        <v/>
      </c>
      <c r="L522" s="13" t="str">
        <f aca="false">IF($J522="","",IF($C522="",1,$C522)*IF($Q522&lt;&gt;"",$Q522,IFERROR(INDEX(Products!$D$5:$D$54,MATCH($B522,Products!$A$5:$A$54,0)),0)))</f>
        <v/>
      </c>
      <c r="M522" s="14" t="str">
        <f aca="false">IF($J522="","",$J522-$K522-N($H522)-$L522)</f>
        <v/>
      </c>
      <c r="N522" s="15" t="str">
        <f aca="false">IF($J522="","",IF($J522&gt;0,$M522/$J522,""))</f>
        <v/>
      </c>
      <c r="O522" s="12"/>
      <c r="P522" s="12"/>
      <c r="Q522" s="11"/>
      <c r="R522" s="11"/>
      <c r="S522" s="12"/>
      <c r="T522" s="16" t="str">
        <f aca="false">IF($J522="","",IF($C522="",1,$C522))</f>
        <v/>
      </c>
    </row>
    <row r="523" customFormat="false" ht="15" hidden="false" customHeight="false" outlineLevel="0" collapsed="false">
      <c r="A523" s="7"/>
      <c r="B523" s="8"/>
      <c r="C523" s="9"/>
      <c r="D523" s="10"/>
      <c r="E523" s="11"/>
      <c r="F523" s="11"/>
      <c r="G523" s="8"/>
      <c r="H523" s="11"/>
      <c r="I523" s="12"/>
      <c r="J523" s="13" t="str">
        <f aca="false">IF(OR($A523="",$D523=""),"",IF($C523="",1,$C523)*$D523+N($E523)-N($F523))</f>
        <v/>
      </c>
      <c r="K523" s="13" t="str">
        <f aca="false">IF($J523="","",IF($R523&lt;&gt;"",$R523,IF($G523="",0,MAX(IFERROR(INDEX(Settings!$D$6:$D$15,MATCH($G523,Settings!$A$6:$A$15,0)),0),$J523*IFERROR(INDEX(Settings!$B$6:$B$15,MATCH($G523,Settings!$A$6:$A$15,0)),0)+IFERROR(INDEX(Settings!$C$6:$C$15,MATCH($G523,Settings!$A$6:$A$15,0)),0)))))</f>
        <v/>
      </c>
      <c r="L523" s="13" t="str">
        <f aca="false">IF($J523="","",IF($C523="",1,$C523)*IF($Q523&lt;&gt;"",$Q523,IFERROR(INDEX(Products!$D$5:$D$54,MATCH($B523,Products!$A$5:$A$54,0)),0)))</f>
        <v/>
      </c>
      <c r="M523" s="14" t="str">
        <f aca="false">IF($J523="","",$J523-$K523-N($H523)-$L523)</f>
        <v/>
      </c>
      <c r="N523" s="15" t="str">
        <f aca="false">IF($J523="","",IF($J523&gt;0,$M523/$J523,""))</f>
        <v/>
      </c>
      <c r="O523" s="12"/>
      <c r="P523" s="12"/>
      <c r="Q523" s="11"/>
      <c r="R523" s="11"/>
      <c r="S523" s="12"/>
      <c r="T523" s="16" t="str">
        <f aca="false">IF($J523="","",IF($C523="",1,$C523))</f>
        <v/>
      </c>
    </row>
    <row r="524" customFormat="false" ht="15" hidden="false" customHeight="false" outlineLevel="0" collapsed="false">
      <c r="A524" s="7"/>
      <c r="B524" s="8"/>
      <c r="C524" s="9"/>
      <c r="D524" s="10"/>
      <c r="E524" s="11"/>
      <c r="F524" s="11"/>
      <c r="G524" s="8"/>
      <c r="H524" s="11"/>
      <c r="I524" s="12"/>
      <c r="J524" s="13" t="str">
        <f aca="false">IF(OR($A524="",$D524=""),"",IF($C524="",1,$C524)*$D524+N($E524)-N($F524))</f>
        <v/>
      </c>
      <c r="K524" s="13" t="str">
        <f aca="false">IF($J524="","",IF($R524&lt;&gt;"",$R524,IF($G524="",0,MAX(IFERROR(INDEX(Settings!$D$6:$D$15,MATCH($G524,Settings!$A$6:$A$15,0)),0),$J524*IFERROR(INDEX(Settings!$B$6:$B$15,MATCH($G524,Settings!$A$6:$A$15,0)),0)+IFERROR(INDEX(Settings!$C$6:$C$15,MATCH($G524,Settings!$A$6:$A$15,0)),0)))))</f>
        <v/>
      </c>
      <c r="L524" s="13" t="str">
        <f aca="false">IF($J524="","",IF($C524="",1,$C524)*IF($Q524&lt;&gt;"",$Q524,IFERROR(INDEX(Products!$D$5:$D$54,MATCH($B524,Products!$A$5:$A$54,0)),0)))</f>
        <v/>
      </c>
      <c r="M524" s="14" t="str">
        <f aca="false">IF($J524="","",$J524-$K524-N($H524)-$L524)</f>
        <v/>
      </c>
      <c r="N524" s="15" t="str">
        <f aca="false">IF($J524="","",IF($J524&gt;0,$M524/$J524,""))</f>
        <v/>
      </c>
      <c r="O524" s="12"/>
      <c r="P524" s="12"/>
      <c r="Q524" s="11"/>
      <c r="R524" s="11"/>
      <c r="S524" s="12"/>
      <c r="T524" s="16" t="str">
        <f aca="false">IF($J524="","",IF($C524="",1,$C524))</f>
        <v/>
      </c>
    </row>
    <row r="525" customFormat="false" ht="15" hidden="false" customHeight="false" outlineLevel="0" collapsed="false">
      <c r="A525" s="7"/>
      <c r="B525" s="8"/>
      <c r="C525" s="9"/>
      <c r="D525" s="10"/>
      <c r="E525" s="11"/>
      <c r="F525" s="11"/>
      <c r="G525" s="8"/>
      <c r="H525" s="11"/>
      <c r="I525" s="12"/>
      <c r="J525" s="13" t="str">
        <f aca="false">IF(OR($A525="",$D525=""),"",IF($C525="",1,$C525)*$D525+N($E525)-N($F525))</f>
        <v/>
      </c>
      <c r="K525" s="13" t="str">
        <f aca="false">IF($J525="","",IF($R525&lt;&gt;"",$R525,IF($G525="",0,MAX(IFERROR(INDEX(Settings!$D$6:$D$15,MATCH($G525,Settings!$A$6:$A$15,0)),0),$J525*IFERROR(INDEX(Settings!$B$6:$B$15,MATCH($G525,Settings!$A$6:$A$15,0)),0)+IFERROR(INDEX(Settings!$C$6:$C$15,MATCH($G525,Settings!$A$6:$A$15,0)),0)))))</f>
        <v/>
      </c>
      <c r="L525" s="13" t="str">
        <f aca="false">IF($J525="","",IF($C525="",1,$C525)*IF($Q525&lt;&gt;"",$Q525,IFERROR(INDEX(Products!$D$5:$D$54,MATCH($B525,Products!$A$5:$A$54,0)),0)))</f>
        <v/>
      </c>
      <c r="M525" s="14" t="str">
        <f aca="false">IF($J525="","",$J525-$K525-N($H525)-$L525)</f>
        <v/>
      </c>
      <c r="N525" s="15" t="str">
        <f aca="false">IF($J525="","",IF($J525&gt;0,$M525/$J525,""))</f>
        <v/>
      </c>
      <c r="O525" s="12"/>
      <c r="P525" s="12"/>
      <c r="Q525" s="11"/>
      <c r="R525" s="11"/>
      <c r="S525" s="12"/>
      <c r="T525" s="16" t="str">
        <f aca="false">IF($J525="","",IF($C525="",1,$C525))</f>
        <v/>
      </c>
    </row>
    <row r="526" customFormat="false" ht="15" hidden="false" customHeight="false" outlineLevel="0" collapsed="false">
      <c r="A526" s="7"/>
      <c r="B526" s="8"/>
      <c r="C526" s="9"/>
      <c r="D526" s="10"/>
      <c r="E526" s="11"/>
      <c r="F526" s="11"/>
      <c r="G526" s="8"/>
      <c r="H526" s="11"/>
      <c r="I526" s="12"/>
      <c r="J526" s="13" t="str">
        <f aca="false">IF(OR($A526="",$D526=""),"",IF($C526="",1,$C526)*$D526+N($E526)-N($F526))</f>
        <v/>
      </c>
      <c r="K526" s="13" t="str">
        <f aca="false">IF($J526="","",IF($R526&lt;&gt;"",$R526,IF($G526="",0,MAX(IFERROR(INDEX(Settings!$D$6:$D$15,MATCH($G526,Settings!$A$6:$A$15,0)),0),$J526*IFERROR(INDEX(Settings!$B$6:$B$15,MATCH($G526,Settings!$A$6:$A$15,0)),0)+IFERROR(INDEX(Settings!$C$6:$C$15,MATCH($G526,Settings!$A$6:$A$15,0)),0)))))</f>
        <v/>
      </c>
      <c r="L526" s="13" t="str">
        <f aca="false">IF($J526="","",IF($C526="",1,$C526)*IF($Q526&lt;&gt;"",$Q526,IFERROR(INDEX(Products!$D$5:$D$54,MATCH($B526,Products!$A$5:$A$54,0)),0)))</f>
        <v/>
      </c>
      <c r="M526" s="14" t="str">
        <f aca="false">IF($J526="","",$J526-$K526-N($H526)-$L526)</f>
        <v/>
      </c>
      <c r="N526" s="15" t="str">
        <f aca="false">IF($J526="","",IF($J526&gt;0,$M526/$J526,""))</f>
        <v/>
      </c>
      <c r="O526" s="12"/>
      <c r="P526" s="12"/>
      <c r="Q526" s="11"/>
      <c r="R526" s="11"/>
      <c r="S526" s="12"/>
      <c r="T526" s="16" t="str">
        <f aca="false">IF($J526="","",IF($C526="",1,$C526))</f>
        <v/>
      </c>
    </row>
    <row r="527" customFormat="false" ht="15" hidden="false" customHeight="false" outlineLevel="0" collapsed="false">
      <c r="A527" s="7"/>
      <c r="B527" s="8"/>
      <c r="C527" s="9"/>
      <c r="D527" s="10"/>
      <c r="E527" s="11"/>
      <c r="F527" s="11"/>
      <c r="G527" s="8"/>
      <c r="H527" s="11"/>
      <c r="I527" s="12"/>
      <c r="J527" s="13" t="str">
        <f aca="false">IF(OR($A527="",$D527=""),"",IF($C527="",1,$C527)*$D527+N($E527)-N($F527))</f>
        <v/>
      </c>
      <c r="K527" s="13" t="str">
        <f aca="false">IF($J527="","",IF($R527&lt;&gt;"",$R527,IF($G527="",0,MAX(IFERROR(INDEX(Settings!$D$6:$D$15,MATCH($G527,Settings!$A$6:$A$15,0)),0),$J527*IFERROR(INDEX(Settings!$B$6:$B$15,MATCH($G527,Settings!$A$6:$A$15,0)),0)+IFERROR(INDEX(Settings!$C$6:$C$15,MATCH($G527,Settings!$A$6:$A$15,0)),0)))))</f>
        <v/>
      </c>
      <c r="L527" s="13" t="str">
        <f aca="false">IF($J527="","",IF($C527="",1,$C527)*IF($Q527&lt;&gt;"",$Q527,IFERROR(INDEX(Products!$D$5:$D$54,MATCH($B527,Products!$A$5:$A$54,0)),0)))</f>
        <v/>
      </c>
      <c r="M527" s="14" t="str">
        <f aca="false">IF($J527="","",$J527-$K527-N($H527)-$L527)</f>
        <v/>
      </c>
      <c r="N527" s="15" t="str">
        <f aca="false">IF($J527="","",IF($J527&gt;0,$M527/$J527,""))</f>
        <v/>
      </c>
      <c r="O527" s="12"/>
      <c r="P527" s="12"/>
      <c r="Q527" s="11"/>
      <c r="R527" s="11"/>
      <c r="S527" s="12"/>
      <c r="T527" s="16" t="str">
        <f aca="false">IF($J527="","",IF($C527="",1,$C527))</f>
        <v/>
      </c>
    </row>
    <row r="528" customFormat="false" ht="15" hidden="false" customHeight="false" outlineLevel="0" collapsed="false">
      <c r="A528" s="7"/>
      <c r="B528" s="8"/>
      <c r="C528" s="9"/>
      <c r="D528" s="10"/>
      <c r="E528" s="11"/>
      <c r="F528" s="11"/>
      <c r="G528" s="8"/>
      <c r="H528" s="11"/>
      <c r="I528" s="12"/>
      <c r="J528" s="13" t="str">
        <f aca="false">IF(OR($A528="",$D528=""),"",IF($C528="",1,$C528)*$D528+N($E528)-N($F528))</f>
        <v/>
      </c>
      <c r="K528" s="13" t="str">
        <f aca="false">IF($J528="","",IF($R528&lt;&gt;"",$R528,IF($G528="",0,MAX(IFERROR(INDEX(Settings!$D$6:$D$15,MATCH($G528,Settings!$A$6:$A$15,0)),0),$J528*IFERROR(INDEX(Settings!$B$6:$B$15,MATCH($G528,Settings!$A$6:$A$15,0)),0)+IFERROR(INDEX(Settings!$C$6:$C$15,MATCH($G528,Settings!$A$6:$A$15,0)),0)))))</f>
        <v/>
      </c>
      <c r="L528" s="13" t="str">
        <f aca="false">IF($J528="","",IF($C528="",1,$C528)*IF($Q528&lt;&gt;"",$Q528,IFERROR(INDEX(Products!$D$5:$D$54,MATCH($B528,Products!$A$5:$A$54,0)),0)))</f>
        <v/>
      </c>
      <c r="M528" s="14" t="str">
        <f aca="false">IF($J528="","",$J528-$K528-N($H528)-$L528)</f>
        <v/>
      </c>
      <c r="N528" s="15" t="str">
        <f aca="false">IF($J528="","",IF($J528&gt;0,$M528/$J528,""))</f>
        <v/>
      </c>
      <c r="O528" s="12"/>
      <c r="P528" s="12"/>
      <c r="Q528" s="11"/>
      <c r="R528" s="11"/>
      <c r="S528" s="12"/>
      <c r="T528" s="16" t="str">
        <f aca="false">IF($J528="","",IF($C528="",1,$C528))</f>
        <v/>
      </c>
    </row>
    <row r="529" customFormat="false" ht="15" hidden="false" customHeight="false" outlineLevel="0" collapsed="false">
      <c r="A529" s="7"/>
      <c r="B529" s="8"/>
      <c r="C529" s="9"/>
      <c r="D529" s="10"/>
      <c r="E529" s="11"/>
      <c r="F529" s="11"/>
      <c r="G529" s="8"/>
      <c r="H529" s="11"/>
      <c r="I529" s="12"/>
      <c r="J529" s="13" t="str">
        <f aca="false">IF(OR($A529="",$D529=""),"",IF($C529="",1,$C529)*$D529+N($E529)-N($F529))</f>
        <v/>
      </c>
      <c r="K529" s="13" t="str">
        <f aca="false">IF($J529="","",IF($R529&lt;&gt;"",$R529,IF($G529="",0,MAX(IFERROR(INDEX(Settings!$D$6:$D$15,MATCH($G529,Settings!$A$6:$A$15,0)),0),$J529*IFERROR(INDEX(Settings!$B$6:$B$15,MATCH($G529,Settings!$A$6:$A$15,0)),0)+IFERROR(INDEX(Settings!$C$6:$C$15,MATCH($G529,Settings!$A$6:$A$15,0)),0)))))</f>
        <v/>
      </c>
      <c r="L529" s="13" t="str">
        <f aca="false">IF($J529="","",IF($C529="",1,$C529)*IF($Q529&lt;&gt;"",$Q529,IFERROR(INDEX(Products!$D$5:$D$54,MATCH($B529,Products!$A$5:$A$54,0)),0)))</f>
        <v/>
      </c>
      <c r="M529" s="14" t="str">
        <f aca="false">IF($J529="","",$J529-$K529-N($H529)-$L529)</f>
        <v/>
      </c>
      <c r="N529" s="15" t="str">
        <f aca="false">IF($J529="","",IF($J529&gt;0,$M529/$J529,""))</f>
        <v/>
      </c>
      <c r="O529" s="12"/>
      <c r="P529" s="12"/>
      <c r="Q529" s="11"/>
      <c r="R529" s="11"/>
      <c r="S529" s="12"/>
      <c r="T529" s="16" t="str">
        <f aca="false">IF($J529="","",IF($C529="",1,$C529))</f>
        <v/>
      </c>
    </row>
    <row r="530" customFormat="false" ht="15" hidden="false" customHeight="false" outlineLevel="0" collapsed="false">
      <c r="A530" s="7"/>
      <c r="B530" s="8"/>
      <c r="C530" s="9"/>
      <c r="D530" s="10"/>
      <c r="E530" s="11"/>
      <c r="F530" s="11"/>
      <c r="G530" s="8"/>
      <c r="H530" s="11"/>
      <c r="I530" s="12"/>
      <c r="J530" s="13" t="str">
        <f aca="false">IF(OR($A530="",$D530=""),"",IF($C530="",1,$C530)*$D530+N($E530)-N($F530))</f>
        <v/>
      </c>
      <c r="K530" s="13" t="str">
        <f aca="false">IF($J530="","",IF($R530&lt;&gt;"",$R530,IF($G530="",0,MAX(IFERROR(INDEX(Settings!$D$6:$D$15,MATCH($G530,Settings!$A$6:$A$15,0)),0),$J530*IFERROR(INDEX(Settings!$B$6:$B$15,MATCH($G530,Settings!$A$6:$A$15,0)),0)+IFERROR(INDEX(Settings!$C$6:$C$15,MATCH($G530,Settings!$A$6:$A$15,0)),0)))))</f>
        <v/>
      </c>
      <c r="L530" s="13" t="str">
        <f aca="false">IF($J530="","",IF($C530="",1,$C530)*IF($Q530&lt;&gt;"",$Q530,IFERROR(INDEX(Products!$D$5:$D$54,MATCH($B530,Products!$A$5:$A$54,0)),0)))</f>
        <v/>
      </c>
      <c r="M530" s="14" t="str">
        <f aca="false">IF($J530="","",$J530-$K530-N($H530)-$L530)</f>
        <v/>
      </c>
      <c r="N530" s="15" t="str">
        <f aca="false">IF($J530="","",IF($J530&gt;0,$M530/$J530,""))</f>
        <v/>
      </c>
      <c r="O530" s="12"/>
      <c r="P530" s="12"/>
      <c r="Q530" s="11"/>
      <c r="R530" s="11"/>
      <c r="S530" s="12"/>
      <c r="T530" s="16" t="str">
        <f aca="false">IF($J530="","",IF($C530="",1,$C530))</f>
        <v/>
      </c>
    </row>
    <row r="531" customFormat="false" ht="15" hidden="false" customHeight="false" outlineLevel="0" collapsed="false">
      <c r="A531" s="7"/>
      <c r="B531" s="8"/>
      <c r="C531" s="9"/>
      <c r="D531" s="10"/>
      <c r="E531" s="11"/>
      <c r="F531" s="11"/>
      <c r="G531" s="8"/>
      <c r="H531" s="11"/>
      <c r="I531" s="12"/>
      <c r="J531" s="13" t="str">
        <f aca="false">IF(OR($A531="",$D531=""),"",IF($C531="",1,$C531)*$D531+N($E531)-N($F531))</f>
        <v/>
      </c>
      <c r="K531" s="13" t="str">
        <f aca="false">IF($J531="","",IF($R531&lt;&gt;"",$R531,IF($G531="",0,MAX(IFERROR(INDEX(Settings!$D$6:$D$15,MATCH($G531,Settings!$A$6:$A$15,0)),0),$J531*IFERROR(INDEX(Settings!$B$6:$B$15,MATCH($G531,Settings!$A$6:$A$15,0)),0)+IFERROR(INDEX(Settings!$C$6:$C$15,MATCH($G531,Settings!$A$6:$A$15,0)),0)))))</f>
        <v/>
      </c>
      <c r="L531" s="13" t="str">
        <f aca="false">IF($J531="","",IF($C531="",1,$C531)*IF($Q531&lt;&gt;"",$Q531,IFERROR(INDEX(Products!$D$5:$D$54,MATCH($B531,Products!$A$5:$A$54,0)),0)))</f>
        <v/>
      </c>
      <c r="M531" s="14" t="str">
        <f aca="false">IF($J531="","",$J531-$K531-N($H531)-$L531)</f>
        <v/>
      </c>
      <c r="N531" s="15" t="str">
        <f aca="false">IF($J531="","",IF($J531&gt;0,$M531/$J531,""))</f>
        <v/>
      </c>
      <c r="O531" s="12"/>
      <c r="P531" s="12"/>
      <c r="Q531" s="11"/>
      <c r="R531" s="11"/>
      <c r="S531" s="12"/>
      <c r="T531" s="16" t="str">
        <f aca="false">IF($J531="","",IF($C531="",1,$C531))</f>
        <v/>
      </c>
    </row>
    <row r="532" customFormat="false" ht="15" hidden="false" customHeight="false" outlineLevel="0" collapsed="false">
      <c r="A532" s="7"/>
      <c r="B532" s="8"/>
      <c r="C532" s="9"/>
      <c r="D532" s="10"/>
      <c r="E532" s="11"/>
      <c r="F532" s="11"/>
      <c r="G532" s="8"/>
      <c r="H532" s="11"/>
      <c r="I532" s="12"/>
      <c r="J532" s="13" t="str">
        <f aca="false">IF(OR($A532="",$D532=""),"",IF($C532="",1,$C532)*$D532+N($E532)-N($F532))</f>
        <v/>
      </c>
      <c r="K532" s="13" t="str">
        <f aca="false">IF($J532="","",IF($R532&lt;&gt;"",$R532,IF($G532="",0,MAX(IFERROR(INDEX(Settings!$D$6:$D$15,MATCH($G532,Settings!$A$6:$A$15,0)),0),$J532*IFERROR(INDEX(Settings!$B$6:$B$15,MATCH($G532,Settings!$A$6:$A$15,0)),0)+IFERROR(INDEX(Settings!$C$6:$C$15,MATCH($G532,Settings!$A$6:$A$15,0)),0)))))</f>
        <v/>
      </c>
      <c r="L532" s="13" t="str">
        <f aca="false">IF($J532="","",IF($C532="",1,$C532)*IF($Q532&lt;&gt;"",$Q532,IFERROR(INDEX(Products!$D$5:$D$54,MATCH($B532,Products!$A$5:$A$54,0)),0)))</f>
        <v/>
      </c>
      <c r="M532" s="14" t="str">
        <f aca="false">IF($J532="","",$J532-$K532-N($H532)-$L532)</f>
        <v/>
      </c>
      <c r="N532" s="15" t="str">
        <f aca="false">IF($J532="","",IF($J532&gt;0,$M532/$J532,""))</f>
        <v/>
      </c>
      <c r="O532" s="12"/>
      <c r="P532" s="12"/>
      <c r="Q532" s="11"/>
      <c r="R532" s="11"/>
      <c r="S532" s="12"/>
      <c r="T532" s="16" t="str">
        <f aca="false">IF($J532="","",IF($C532="",1,$C532))</f>
        <v/>
      </c>
    </row>
    <row r="533" customFormat="false" ht="15" hidden="false" customHeight="false" outlineLevel="0" collapsed="false">
      <c r="A533" s="7"/>
      <c r="B533" s="8"/>
      <c r="C533" s="9"/>
      <c r="D533" s="10"/>
      <c r="E533" s="11"/>
      <c r="F533" s="11"/>
      <c r="G533" s="8"/>
      <c r="H533" s="11"/>
      <c r="I533" s="12"/>
      <c r="J533" s="13" t="str">
        <f aca="false">IF(OR($A533="",$D533=""),"",IF($C533="",1,$C533)*$D533+N($E533)-N($F533))</f>
        <v/>
      </c>
      <c r="K533" s="13" t="str">
        <f aca="false">IF($J533="","",IF($R533&lt;&gt;"",$R533,IF($G533="",0,MAX(IFERROR(INDEX(Settings!$D$6:$D$15,MATCH($G533,Settings!$A$6:$A$15,0)),0),$J533*IFERROR(INDEX(Settings!$B$6:$B$15,MATCH($G533,Settings!$A$6:$A$15,0)),0)+IFERROR(INDEX(Settings!$C$6:$C$15,MATCH($G533,Settings!$A$6:$A$15,0)),0)))))</f>
        <v/>
      </c>
      <c r="L533" s="13" t="str">
        <f aca="false">IF($J533="","",IF($C533="",1,$C533)*IF($Q533&lt;&gt;"",$Q533,IFERROR(INDEX(Products!$D$5:$D$54,MATCH($B533,Products!$A$5:$A$54,0)),0)))</f>
        <v/>
      </c>
      <c r="M533" s="14" t="str">
        <f aca="false">IF($J533="","",$J533-$K533-N($H533)-$L533)</f>
        <v/>
      </c>
      <c r="N533" s="15" t="str">
        <f aca="false">IF($J533="","",IF($J533&gt;0,$M533/$J533,""))</f>
        <v/>
      </c>
      <c r="O533" s="12"/>
      <c r="P533" s="12"/>
      <c r="Q533" s="11"/>
      <c r="R533" s="11"/>
      <c r="S533" s="12"/>
      <c r="T533" s="16" t="str">
        <f aca="false">IF($J533="","",IF($C533="",1,$C533))</f>
        <v/>
      </c>
    </row>
    <row r="534" customFormat="false" ht="15" hidden="false" customHeight="false" outlineLevel="0" collapsed="false">
      <c r="A534" s="7"/>
      <c r="B534" s="8"/>
      <c r="C534" s="9"/>
      <c r="D534" s="10"/>
      <c r="E534" s="11"/>
      <c r="F534" s="11"/>
      <c r="G534" s="8"/>
      <c r="H534" s="11"/>
      <c r="I534" s="12"/>
      <c r="J534" s="13" t="str">
        <f aca="false">IF(OR($A534="",$D534=""),"",IF($C534="",1,$C534)*$D534+N($E534)-N($F534))</f>
        <v/>
      </c>
      <c r="K534" s="13" t="str">
        <f aca="false">IF($J534="","",IF($R534&lt;&gt;"",$R534,IF($G534="",0,MAX(IFERROR(INDEX(Settings!$D$6:$D$15,MATCH($G534,Settings!$A$6:$A$15,0)),0),$J534*IFERROR(INDEX(Settings!$B$6:$B$15,MATCH($G534,Settings!$A$6:$A$15,0)),0)+IFERROR(INDEX(Settings!$C$6:$C$15,MATCH($G534,Settings!$A$6:$A$15,0)),0)))))</f>
        <v/>
      </c>
      <c r="L534" s="13" t="str">
        <f aca="false">IF($J534="","",IF($C534="",1,$C534)*IF($Q534&lt;&gt;"",$Q534,IFERROR(INDEX(Products!$D$5:$D$54,MATCH($B534,Products!$A$5:$A$54,0)),0)))</f>
        <v/>
      </c>
      <c r="M534" s="14" t="str">
        <f aca="false">IF($J534="","",$J534-$K534-N($H534)-$L534)</f>
        <v/>
      </c>
      <c r="N534" s="15" t="str">
        <f aca="false">IF($J534="","",IF($J534&gt;0,$M534/$J534,""))</f>
        <v/>
      </c>
      <c r="O534" s="12"/>
      <c r="P534" s="12"/>
      <c r="Q534" s="11"/>
      <c r="R534" s="11"/>
      <c r="S534" s="12"/>
      <c r="T534" s="16" t="str">
        <f aca="false">IF($J534="","",IF($C534="",1,$C534))</f>
        <v/>
      </c>
    </row>
    <row r="535" customFormat="false" ht="15" hidden="false" customHeight="false" outlineLevel="0" collapsed="false">
      <c r="A535" s="7"/>
      <c r="B535" s="8"/>
      <c r="C535" s="9"/>
      <c r="D535" s="10"/>
      <c r="E535" s="11"/>
      <c r="F535" s="11"/>
      <c r="G535" s="8"/>
      <c r="H535" s="11"/>
      <c r="I535" s="12"/>
      <c r="J535" s="13" t="str">
        <f aca="false">IF(OR($A535="",$D535=""),"",IF($C535="",1,$C535)*$D535+N($E535)-N($F535))</f>
        <v/>
      </c>
      <c r="K535" s="13" t="str">
        <f aca="false">IF($J535="","",IF($R535&lt;&gt;"",$R535,IF($G535="",0,MAX(IFERROR(INDEX(Settings!$D$6:$D$15,MATCH($G535,Settings!$A$6:$A$15,0)),0),$J535*IFERROR(INDEX(Settings!$B$6:$B$15,MATCH($G535,Settings!$A$6:$A$15,0)),0)+IFERROR(INDEX(Settings!$C$6:$C$15,MATCH($G535,Settings!$A$6:$A$15,0)),0)))))</f>
        <v/>
      </c>
      <c r="L535" s="13" t="str">
        <f aca="false">IF($J535="","",IF($C535="",1,$C535)*IF($Q535&lt;&gt;"",$Q535,IFERROR(INDEX(Products!$D$5:$D$54,MATCH($B535,Products!$A$5:$A$54,0)),0)))</f>
        <v/>
      </c>
      <c r="M535" s="14" t="str">
        <f aca="false">IF($J535="","",$J535-$K535-N($H535)-$L535)</f>
        <v/>
      </c>
      <c r="N535" s="15" t="str">
        <f aca="false">IF($J535="","",IF($J535&gt;0,$M535/$J535,""))</f>
        <v/>
      </c>
      <c r="O535" s="12"/>
      <c r="P535" s="12"/>
      <c r="Q535" s="11"/>
      <c r="R535" s="11"/>
      <c r="S535" s="12"/>
      <c r="T535" s="16" t="str">
        <f aca="false">IF($J535="","",IF($C535="",1,$C535))</f>
        <v/>
      </c>
    </row>
    <row r="536" customFormat="false" ht="15" hidden="false" customHeight="false" outlineLevel="0" collapsed="false">
      <c r="A536" s="7"/>
      <c r="B536" s="8"/>
      <c r="C536" s="9"/>
      <c r="D536" s="10"/>
      <c r="E536" s="11"/>
      <c r="F536" s="11"/>
      <c r="G536" s="8"/>
      <c r="H536" s="11"/>
      <c r="I536" s="12"/>
      <c r="J536" s="13" t="str">
        <f aca="false">IF(OR($A536="",$D536=""),"",IF($C536="",1,$C536)*$D536+N($E536)-N($F536))</f>
        <v/>
      </c>
      <c r="K536" s="13" t="str">
        <f aca="false">IF($J536="","",IF($R536&lt;&gt;"",$R536,IF($G536="",0,MAX(IFERROR(INDEX(Settings!$D$6:$D$15,MATCH($G536,Settings!$A$6:$A$15,0)),0),$J536*IFERROR(INDEX(Settings!$B$6:$B$15,MATCH($G536,Settings!$A$6:$A$15,0)),0)+IFERROR(INDEX(Settings!$C$6:$C$15,MATCH($G536,Settings!$A$6:$A$15,0)),0)))))</f>
        <v/>
      </c>
      <c r="L536" s="13" t="str">
        <f aca="false">IF($J536="","",IF($C536="",1,$C536)*IF($Q536&lt;&gt;"",$Q536,IFERROR(INDEX(Products!$D$5:$D$54,MATCH($B536,Products!$A$5:$A$54,0)),0)))</f>
        <v/>
      </c>
      <c r="M536" s="14" t="str">
        <f aca="false">IF($J536="","",$J536-$K536-N($H536)-$L536)</f>
        <v/>
      </c>
      <c r="N536" s="15" t="str">
        <f aca="false">IF($J536="","",IF($J536&gt;0,$M536/$J536,""))</f>
        <v/>
      </c>
      <c r="O536" s="12"/>
      <c r="P536" s="12"/>
      <c r="Q536" s="11"/>
      <c r="R536" s="11"/>
      <c r="S536" s="12"/>
      <c r="T536" s="16" t="str">
        <f aca="false">IF($J536="","",IF($C536="",1,$C536))</f>
        <v/>
      </c>
    </row>
    <row r="537" customFormat="false" ht="15" hidden="false" customHeight="false" outlineLevel="0" collapsed="false">
      <c r="A537" s="7"/>
      <c r="B537" s="8"/>
      <c r="C537" s="9"/>
      <c r="D537" s="10"/>
      <c r="E537" s="11"/>
      <c r="F537" s="11"/>
      <c r="G537" s="8"/>
      <c r="H537" s="11"/>
      <c r="I537" s="12"/>
      <c r="J537" s="13" t="str">
        <f aca="false">IF(OR($A537="",$D537=""),"",IF($C537="",1,$C537)*$D537+N($E537)-N($F537))</f>
        <v/>
      </c>
      <c r="K537" s="13" t="str">
        <f aca="false">IF($J537="","",IF($R537&lt;&gt;"",$R537,IF($G537="",0,MAX(IFERROR(INDEX(Settings!$D$6:$D$15,MATCH($G537,Settings!$A$6:$A$15,0)),0),$J537*IFERROR(INDEX(Settings!$B$6:$B$15,MATCH($G537,Settings!$A$6:$A$15,0)),0)+IFERROR(INDEX(Settings!$C$6:$C$15,MATCH($G537,Settings!$A$6:$A$15,0)),0)))))</f>
        <v/>
      </c>
      <c r="L537" s="13" t="str">
        <f aca="false">IF($J537="","",IF($C537="",1,$C537)*IF($Q537&lt;&gt;"",$Q537,IFERROR(INDEX(Products!$D$5:$D$54,MATCH($B537,Products!$A$5:$A$54,0)),0)))</f>
        <v/>
      </c>
      <c r="M537" s="14" t="str">
        <f aca="false">IF($J537="","",$J537-$K537-N($H537)-$L537)</f>
        <v/>
      </c>
      <c r="N537" s="15" t="str">
        <f aca="false">IF($J537="","",IF($J537&gt;0,$M537/$J537,""))</f>
        <v/>
      </c>
      <c r="O537" s="12"/>
      <c r="P537" s="12"/>
      <c r="Q537" s="11"/>
      <c r="R537" s="11"/>
      <c r="S537" s="12"/>
      <c r="T537" s="16" t="str">
        <f aca="false">IF($J537="","",IF($C537="",1,$C537))</f>
        <v/>
      </c>
    </row>
    <row r="538" customFormat="false" ht="15" hidden="false" customHeight="false" outlineLevel="0" collapsed="false">
      <c r="A538" s="7"/>
      <c r="B538" s="8"/>
      <c r="C538" s="9"/>
      <c r="D538" s="10"/>
      <c r="E538" s="11"/>
      <c r="F538" s="11"/>
      <c r="G538" s="8"/>
      <c r="H538" s="11"/>
      <c r="I538" s="12"/>
      <c r="J538" s="13" t="str">
        <f aca="false">IF(OR($A538="",$D538=""),"",IF($C538="",1,$C538)*$D538+N($E538)-N($F538))</f>
        <v/>
      </c>
      <c r="K538" s="13" t="str">
        <f aca="false">IF($J538="","",IF($R538&lt;&gt;"",$R538,IF($G538="",0,MAX(IFERROR(INDEX(Settings!$D$6:$D$15,MATCH($G538,Settings!$A$6:$A$15,0)),0),$J538*IFERROR(INDEX(Settings!$B$6:$B$15,MATCH($G538,Settings!$A$6:$A$15,0)),0)+IFERROR(INDEX(Settings!$C$6:$C$15,MATCH($G538,Settings!$A$6:$A$15,0)),0)))))</f>
        <v/>
      </c>
      <c r="L538" s="13" t="str">
        <f aca="false">IF($J538="","",IF($C538="",1,$C538)*IF($Q538&lt;&gt;"",$Q538,IFERROR(INDEX(Products!$D$5:$D$54,MATCH($B538,Products!$A$5:$A$54,0)),0)))</f>
        <v/>
      </c>
      <c r="M538" s="14" t="str">
        <f aca="false">IF($J538="","",$J538-$K538-N($H538)-$L538)</f>
        <v/>
      </c>
      <c r="N538" s="15" t="str">
        <f aca="false">IF($J538="","",IF($J538&gt;0,$M538/$J538,""))</f>
        <v/>
      </c>
      <c r="O538" s="12"/>
      <c r="P538" s="12"/>
      <c r="Q538" s="11"/>
      <c r="R538" s="11"/>
      <c r="S538" s="12"/>
      <c r="T538" s="16" t="str">
        <f aca="false">IF($J538="","",IF($C538="",1,$C538))</f>
        <v/>
      </c>
    </row>
    <row r="539" customFormat="false" ht="15" hidden="false" customHeight="false" outlineLevel="0" collapsed="false">
      <c r="A539" s="7"/>
      <c r="B539" s="8"/>
      <c r="C539" s="9"/>
      <c r="D539" s="10"/>
      <c r="E539" s="11"/>
      <c r="F539" s="11"/>
      <c r="G539" s="8"/>
      <c r="H539" s="11"/>
      <c r="I539" s="12"/>
      <c r="J539" s="13" t="str">
        <f aca="false">IF(OR($A539="",$D539=""),"",IF($C539="",1,$C539)*$D539+N($E539)-N($F539))</f>
        <v/>
      </c>
      <c r="K539" s="13" t="str">
        <f aca="false">IF($J539="","",IF($R539&lt;&gt;"",$R539,IF($G539="",0,MAX(IFERROR(INDEX(Settings!$D$6:$D$15,MATCH($G539,Settings!$A$6:$A$15,0)),0),$J539*IFERROR(INDEX(Settings!$B$6:$B$15,MATCH($G539,Settings!$A$6:$A$15,0)),0)+IFERROR(INDEX(Settings!$C$6:$C$15,MATCH($G539,Settings!$A$6:$A$15,0)),0)))))</f>
        <v/>
      </c>
      <c r="L539" s="13" t="str">
        <f aca="false">IF($J539="","",IF($C539="",1,$C539)*IF($Q539&lt;&gt;"",$Q539,IFERROR(INDEX(Products!$D$5:$D$54,MATCH($B539,Products!$A$5:$A$54,0)),0)))</f>
        <v/>
      </c>
      <c r="M539" s="14" t="str">
        <f aca="false">IF($J539="","",$J539-$K539-N($H539)-$L539)</f>
        <v/>
      </c>
      <c r="N539" s="15" t="str">
        <f aca="false">IF($J539="","",IF($J539&gt;0,$M539/$J539,""))</f>
        <v/>
      </c>
      <c r="O539" s="12"/>
      <c r="P539" s="12"/>
      <c r="Q539" s="11"/>
      <c r="R539" s="11"/>
      <c r="S539" s="12"/>
      <c r="T539" s="16" t="str">
        <f aca="false">IF($J539="","",IF($C539="",1,$C539))</f>
        <v/>
      </c>
    </row>
    <row r="540" customFormat="false" ht="15" hidden="false" customHeight="false" outlineLevel="0" collapsed="false">
      <c r="A540" s="7"/>
      <c r="B540" s="8"/>
      <c r="C540" s="9"/>
      <c r="D540" s="10"/>
      <c r="E540" s="11"/>
      <c r="F540" s="11"/>
      <c r="G540" s="8"/>
      <c r="H540" s="11"/>
      <c r="I540" s="12"/>
      <c r="J540" s="13" t="str">
        <f aca="false">IF(OR($A540="",$D540=""),"",IF($C540="",1,$C540)*$D540+N($E540)-N($F540))</f>
        <v/>
      </c>
      <c r="K540" s="13" t="str">
        <f aca="false">IF($J540="","",IF($R540&lt;&gt;"",$R540,IF($G540="",0,MAX(IFERROR(INDEX(Settings!$D$6:$D$15,MATCH($G540,Settings!$A$6:$A$15,0)),0),$J540*IFERROR(INDEX(Settings!$B$6:$B$15,MATCH($G540,Settings!$A$6:$A$15,0)),0)+IFERROR(INDEX(Settings!$C$6:$C$15,MATCH($G540,Settings!$A$6:$A$15,0)),0)))))</f>
        <v/>
      </c>
      <c r="L540" s="13" t="str">
        <f aca="false">IF($J540="","",IF($C540="",1,$C540)*IF($Q540&lt;&gt;"",$Q540,IFERROR(INDEX(Products!$D$5:$D$54,MATCH($B540,Products!$A$5:$A$54,0)),0)))</f>
        <v/>
      </c>
      <c r="M540" s="14" t="str">
        <f aca="false">IF($J540="","",$J540-$K540-N($H540)-$L540)</f>
        <v/>
      </c>
      <c r="N540" s="15" t="str">
        <f aca="false">IF($J540="","",IF($J540&gt;0,$M540/$J540,""))</f>
        <v/>
      </c>
      <c r="O540" s="12"/>
      <c r="P540" s="12"/>
      <c r="Q540" s="11"/>
      <c r="R540" s="11"/>
      <c r="S540" s="12"/>
      <c r="T540" s="16" t="str">
        <f aca="false">IF($J540="","",IF($C540="",1,$C540))</f>
        <v/>
      </c>
    </row>
    <row r="541" customFormat="false" ht="15" hidden="false" customHeight="false" outlineLevel="0" collapsed="false">
      <c r="A541" s="7"/>
      <c r="B541" s="8"/>
      <c r="C541" s="9"/>
      <c r="D541" s="10"/>
      <c r="E541" s="11"/>
      <c r="F541" s="11"/>
      <c r="G541" s="8"/>
      <c r="H541" s="11"/>
      <c r="I541" s="12"/>
      <c r="J541" s="13" t="str">
        <f aca="false">IF(OR($A541="",$D541=""),"",IF($C541="",1,$C541)*$D541+N($E541)-N($F541))</f>
        <v/>
      </c>
      <c r="K541" s="13" t="str">
        <f aca="false">IF($J541="","",IF($R541&lt;&gt;"",$R541,IF($G541="",0,MAX(IFERROR(INDEX(Settings!$D$6:$D$15,MATCH($G541,Settings!$A$6:$A$15,0)),0),$J541*IFERROR(INDEX(Settings!$B$6:$B$15,MATCH($G541,Settings!$A$6:$A$15,0)),0)+IFERROR(INDEX(Settings!$C$6:$C$15,MATCH($G541,Settings!$A$6:$A$15,0)),0)))))</f>
        <v/>
      </c>
      <c r="L541" s="13" t="str">
        <f aca="false">IF($J541="","",IF($C541="",1,$C541)*IF($Q541&lt;&gt;"",$Q541,IFERROR(INDEX(Products!$D$5:$D$54,MATCH($B541,Products!$A$5:$A$54,0)),0)))</f>
        <v/>
      </c>
      <c r="M541" s="14" t="str">
        <f aca="false">IF($J541="","",$J541-$K541-N($H541)-$L541)</f>
        <v/>
      </c>
      <c r="N541" s="15" t="str">
        <f aca="false">IF($J541="","",IF($J541&gt;0,$M541/$J541,""))</f>
        <v/>
      </c>
      <c r="O541" s="12"/>
      <c r="P541" s="12"/>
      <c r="Q541" s="11"/>
      <c r="R541" s="11"/>
      <c r="S541" s="12"/>
      <c r="T541" s="16" t="str">
        <f aca="false">IF($J541="","",IF($C541="",1,$C541))</f>
        <v/>
      </c>
    </row>
    <row r="542" customFormat="false" ht="15" hidden="false" customHeight="false" outlineLevel="0" collapsed="false">
      <c r="A542" s="7"/>
      <c r="B542" s="8"/>
      <c r="C542" s="9"/>
      <c r="D542" s="10"/>
      <c r="E542" s="11"/>
      <c r="F542" s="11"/>
      <c r="G542" s="8"/>
      <c r="H542" s="11"/>
      <c r="I542" s="12"/>
      <c r="J542" s="13" t="str">
        <f aca="false">IF(OR($A542="",$D542=""),"",IF($C542="",1,$C542)*$D542+N($E542)-N($F542))</f>
        <v/>
      </c>
      <c r="K542" s="13" t="str">
        <f aca="false">IF($J542="","",IF($R542&lt;&gt;"",$R542,IF($G542="",0,MAX(IFERROR(INDEX(Settings!$D$6:$D$15,MATCH($G542,Settings!$A$6:$A$15,0)),0),$J542*IFERROR(INDEX(Settings!$B$6:$B$15,MATCH($G542,Settings!$A$6:$A$15,0)),0)+IFERROR(INDEX(Settings!$C$6:$C$15,MATCH($G542,Settings!$A$6:$A$15,0)),0)))))</f>
        <v/>
      </c>
      <c r="L542" s="13" t="str">
        <f aca="false">IF($J542="","",IF($C542="",1,$C542)*IF($Q542&lt;&gt;"",$Q542,IFERROR(INDEX(Products!$D$5:$D$54,MATCH($B542,Products!$A$5:$A$54,0)),0)))</f>
        <v/>
      </c>
      <c r="M542" s="14" t="str">
        <f aca="false">IF($J542="","",$J542-$K542-N($H542)-$L542)</f>
        <v/>
      </c>
      <c r="N542" s="15" t="str">
        <f aca="false">IF($J542="","",IF($J542&gt;0,$M542/$J542,""))</f>
        <v/>
      </c>
      <c r="O542" s="12"/>
      <c r="P542" s="12"/>
      <c r="Q542" s="11"/>
      <c r="R542" s="11"/>
      <c r="S542" s="12"/>
      <c r="T542" s="16" t="str">
        <f aca="false">IF($J542="","",IF($C542="",1,$C542))</f>
        <v/>
      </c>
    </row>
    <row r="543" customFormat="false" ht="15" hidden="false" customHeight="false" outlineLevel="0" collapsed="false">
      <c r="A543" s="7"/>
      <c r="B543" s="8"/>
      <c r="C543" s="9"/>
      <c r="D543" s="10"/>
      <c r="E543" s="11"/>
      <c r="F543" s="11"/>
      <c r="G543" s="8"/>
      <c r="H543" s="11"/>
      <c r="I543" s="12"/>
      <c r="J543" s="13" t="str">
        <f aca="false">IF(OR($A543="",$D543=""),"",IF($C543="",1,$C543)*$D543+N($E543)-N($F543))</f>
        <v/>
      </c>
      <c r="K543" s="13" t="str">
        <f aca="false">IF($J543="","",IF($R543&lt;&gt;"",$R543,IF($G543="",0,MAX(IFERROR(INDEX(Settings!$D$6:$D$15,MATCH($G543,Settings!$A$6:$A$15,0)),0),$J543*IFERROR(INDEX(Settings!$B$6:$B$15,MATCH($G543,Settings!$A$6:$A$15,0)),0)+IFERROR(INDEX(Settings!$C$6:$C$15,MATCH($G543,Settings!$A$6:$A$15,0)),0)))))</f>
        <v/>
      </c>
      <c r="L543" s="13" t="str">
        <f aca="false">IF($J543="","",IF($C543="",1,$C543)*IF($Q543&lt;&gt;"",$Q543,IFERROR(INDEX(Products!$D$5:$D$54,MATCH($B543,Products!$A$5:$A$54,0)),0)))</f>
        <v/>
      </c>
      <c r="M543" s="14" t="str">
        <f aca="false">IF($J543="","",$J543-$K543-N($H543)-$L543)</f>
        <v/>
      </c>
      <c r="N543" s="15" t="str">
        <f aca="false">IF($J543="","",IF($J543&gt;0,$M543/$J543,""))</f>
        <v/>
      </c>
      <c r="O543" s="12"/>
      <c r="P543" s="12"/>
      <c r="Q543" s="11"/>
      <c r="R543" s="11"/>
      <c r="S543" s="12"/>
      <c r="T543" s="16" t="str">
        <f aca="false">IF($J543="","",IF($C543="",1,$C543))</f>
        <v/>
      </c>
    </row>
    <row r="544" customFormat="false" ht="15" hidden="false" customHeight="false" outlineLevel="0" collapsed="false">
      <c r="A544" s="7"/>
      <c r="B544" s="8"/>
      <c r="C544" s="9"/>
      <c r="D544" s="10"/>
      <c r="E544" s="11"/>
      <c r="F544" s="11"/>
      <c r="G544" s="8"/>
      <c r="H544" s="11"/>
      <c r="I544" s="12"/>
      <c r="J544" s="13" t="str">
        <f aca="false">IF(OR($A544="",$D544=""),"",IF($C544="",1,$C544)*$D544+N($E544)-N($F544))</f>
        <v/>
      </c>
      <c r="K544" s="13" t="str">
        <f aca="false">IF($J544="","",IF($R544&lt;&gt;"",$R544,IF($G544="",0,MAX(IFERROR(INDEX(Settings!$D$6:$D$15,MATCH($G544,Settings!$A$6:$A$15,0)),0),$J544*IFERROR(INDEX(Settings!$B$6:$B$15,MATCH($G544,Settings!$A$6:$A$15,0)),0)+IFERROR(INDEX(Settings!$C$6:$C$15,MATCH($G544,Settings!$A$6:$A$15,0)),0)))))</f>
        <v/>
      </c>
      <c r="L544" s="13" t="str">
        <f aca="false">IF($J544="","",IF($C544="",1,$C544)*IF($Q544&lt;&gt;"",$Q544,IFERROR(INDEX(Products!$D$5:$D$54,MATCH($B544,Products!$A$5:$A$54,0)),0)))</f>
        <v/>
      </c>
      <c r="M544" s="14" t="str">
        <f aca="false">IF($J544="","",$J544-$K544-N($H544)-$L544)</f>
        <v/>
      </c>
      <c r="N544" s="15" t="str">
        <f aca="false">IF($J544="","",IF($J544&gt;0,$M544/$J544,""))</f>
        <v/>
      </c>
      <c r="O544" s="12"/>
      <c r="P544" s="12"/>
      <c r="Q544" s="11"/>
      <c r="R544" s="11"/>
      <c r="S544" s="12"/>
      <c r="T544" s="16" t="str">
        <f aca="false">IF($J544="","",IF($C544="",1,$C544))</f>
        <v/>
      </c>
    </row>
    <row r="545" customFormat="false" ht="15" hidden="false" customHeight="false" outlineLevel="0" collapsed="false">
      <c r="A545" s="7"/>
      <c r="B545" s="8"/>
      <c r="C545" s="9"/>
      <c r="D545" s="10"/>
      <c r="E545" s="11"/>
      <c r="F545" s="11"/>
      <c r="G545" s="8"/>
      <c r="H545" s="11"/>
      <c r="I545" s="12"/>
      <c r="J545" s="13" t="str">
        <f aca="false">IF(OR($A545="",$D545=""),"",IF($C545="",1,$C545)*$D545+N($E545)-N($F545))</f>
        <v/>
      </c>
      <c r="K545" s="13" t="str">
        <f aca="false">IF($J545="","",IF($R545&lt;&gt;"",$R545,IF($G545="",0,MAX(IFERROR(INDEX(Settings!$D$6:$D$15,MATCH($G545,Settings!$A$6:$A$15,0)),0),$J545*IFERROR(INDEX(Settings!$B$6:$B$15,MATCH($G545,Settings!$A$6:$A$15,0)),0)+IFERROR(INDEX(Settings!$C$6:$C$15,MATCH($G545,Settings!$A$6:$A$15,0)),0)))))</f>
        <v/>
      </c>
      <c r="L545" s="13" t="str">
        <f aca="false">IF($J545="","",IF($C545="",1,$C545)*IF($Q545&lt;&gt;"",$Q545,IFERROR(INDEX(Products!$D$5:$D$54,MATCH($B545,Products!$A$5:$A$54,0)),0)))</f>
        <v/>
      </c>
      <c r="M545" s="14" t="str">
        <f aca="false">IF($J545="","",$J545-$K545-N($H545)-$L545)</f>
        <v/>
      </c>
      <c r="N545" s="15" t="str">
        <f aca="false">IF($J545="","",IF($J545&gt;0,$M545/$J545,""))</f>
        <v/>
      </c>
      <c r="O545" s="12"/>
      <c r="P545" s="12"/>
      <c r="Q545" s="11"/>
      <c r="R545" s="11"/>
      <c r="S545" s="12"/>
      <c r="T545" s="16" t="str">
        <f aca="false">IF($J545="","",IF($C545="",1,$C545))</f>
        <v/>
      </c>
    </row>
    <row r="546" customFormat="false" ht="15" hidden="false" customHeight="false" outlineLevel="0" collapsed="false">
      <c r="A546" s="7"/>
      <c r="B546" s="8"/>
      <c r="C546" s="9"/>
      <c r="D546" s="10"/>
      <c r="E546" s="11"/>
      <c r="F546" s="11"/>
      <c r="G546" s="8"/>
      <c r="H546" s="11"/>
      <c r="I546" s="12"/>
      <c r="J546" s="13" t="str">
        <f aca="false">IF(OR($A546="",$D546=""),"",IF($C546="",1,$C546)*$D546+N($E546)-N($F546))</f>
        <v/>
      </c>
      <c r="K546" s="13" t="str">
        <f aca="false">IF($J546="","",IF($R546&lt;&gt;"",$R546,IF($G546="",0,MAX(IFERROR(INDEX(Settings!$D$6:$D$15,MATCH($G546,Settings!$A$6:$A$15,0)),0),$J546*IFERROR(INDEX(Settings!$B$6:$B$15,MATCH($G546,Settings!$A$6:$A$15,0)),0)+IFERROR(INDEX(Settings!$C$6:$C$15,MATCH($G546,Settings!$A$6:$A$15,0)),0)))))</f>
        <v/>
      </c>
      <c r="L546" s="13" t="str">
        <f aca="false">IF($J546="","",IF($C546="",1,$C546)*IF($Q546&lt;&gt;"",$Q546,IFERROR(INDEX(Products!$D$5:$D$54,MATCH($B546,Products!$A$5:$A$54,0)),0)))</f>
        <v/>
      </c>
      <c r="M546" s="14" t="str">
        <f aca="false">IF($J546="","",$J546-$K546-N($H546)-$L546)</f>
        <v/>
      </c>
      <c r="N546" s="15" t="str">
        <f aca="false">IF($J546="","",IF($J546&gt;0,$M546/$J546,""))</f>
        <v/>
      </c>
      <c r="O546" s="12"/>
      <c r="P546" s="12"/>
      <c r="Q546" s="11"/>
      <c r="R546" s="11"/>
      <c r="S546" s="12"/>
      <c r="T546" s="16" t="str">
        <f aca="false">IF($J546="","",IF($C546="",1,$C546))</f>
        <v/>
      </c>
    </row>
    <row r="547" customFormat="false" ht="15" hidden="false" customHeight="false" outlineLevel="0" collapsed="false">
      <c r="A547" s="7"/>
      <c r="B547" s="8"/>
      <c r="C547" s="9"/>
      <c r="D547" s="10"/>
      <c r="E547" s="11"/>
      <c r="F547" s="11"/>
      <c r="G547" s="8"/>
      <c r="H547" s="11"/>
      <c r="I547" s="12"/>
      <c r="J547" s="13" t="str">
        <f aca="false">IF(OR($A547="",$D547=""),"",IF($C547="",1,$C547)*$D547+N($E547)-N($F547))</f>
        <v/>
      </c>
      <c r="K547" s="13" t="str">
        <f aca="false">IF($J547="","",IF($R547&lt;&gt;"",$R547,IF($G547="",0,MAX(IFERROR(INDEX(Settings!$D$6:$D$15,MATCH($G547,Settings!$A$6:$A$15,0)),0),$J547*IFERROR(INDEX(Settings!$B$6:$B$15,MATCH($G547,Settings!$A$6:$A$15,0)),0)+IFERROR(INDEX(Settings!$C$6:$C$15,MATCH($G547,Settings!$A$6:$A$15,0)),0)))))</f>
        <v/>
      </c>
      <c r="L547" s="13" t="str">
        <f aca="false">IF($J547="","",IF($C547="",1,$C547)*IF($Q547&lt;&gt;"",$Q547,IFERROR(INDEX(Products!$D$5:$D$54,MATCH($B547,Products!$A$5:$A$54,0)),0)))</f>
        <v/>
      </c>
      <c r="M547" s="14" t="str">
        <f aca="false">IF($J547="","",$J547-$K547-N($H547)-$L547)</f>
        <v/>
      </c>
      <c r="N547" s="15" t="str">
        <f aca="false">IF($J547="","",IF($J547&gt;0,$M547/$J547,""))</f>
        <v/>
      </c>
      <c r="O547" s="12"/>
      <c r="P547" s="12"/>
      <c r="Q547" s="11"/>
      <c r="R547" s="11"/>
      <c r="S547" s="12"/>
      <c r="T547" s="16" t="str">
        <f aca="false">IF($J547="","",IF($C547="",1,$C547))</f>
        <v/>
      </c>
    </row>
    <row r="548" customFormat="false" ht="15" hidden="false" customHeight="false" outlineLevel="0" collapsed="false">
      <c r="A548" s="7"/>
      <c r="B548" s="8"/>
      <c r="C548" s="9"/>
      <c r="D548" s="10"/>
      <c r="E548" s="11"/>
      <c r="F548" s="11"/>
      <c r="G548" s="8"/>
      <c r="H548" s="11"/>
      <c r="I548" s="12"/>
      <c r="J548" s="13" t="str">
        <f aca="false">IF(OR($A548="",$D548=""),"",IF($C548="",1,$C548)*$D548+N($E548)-N($F548))</f>
        <v/>
      </c>
      <c r="K548" s="13" t="str">
        <f aca="false">IF($J548="","",IF($R548&lt;&gt;"",$R548,IF($G548="",0,MAX(IFERROR(INDEX(Settings!$D$6:$D$15,MATCH($G548,Settings!$A$6:$A$15,0)),0),$J548*IFERROR(INDEX(Settings!$B$6:$B$15,MATCH($G548,Settings!$A$6:$A$15,0)),0)+IFERROR(INDEX(Settings!$C$6:$C$15,MATCH($G548,Settings!$A$6:$A$15,0)),0)))))</f>
        <v/>
      </c>
      <c r="L548" s="13" t="str">
        <f aca="false">IF($J548="","",IF($C548="",1,$C548)*IF($Q548&lt;&gt;"",$Q548,IFERROR(INDEX(Products!$D$5:$D$54,MATCH($B548,Products!$A$5:$A$54,0)),0)))</f>
        <v/>
      </c>
      <c r="M548" s="14" t="str">
        <f aca="false">IF($J548="","",$J548-$K548-N($H548)-$L548)</f>
        <v/>
      </c>
      <c r="N548" s="15" t="str">
        <f aca="false">IF($J548="","",IF($J548&gt;0,$M548/$J548,""))</f>
        <v/>
      </c>
      <c r="O548" s="12"/>
      <c r="P548" s="12"/>
      <c r="Q548" s="11"/>
      <c r="R548" s="11"/>
      <c r="S548" s="12"/>
      <c r="T548" s="16" t="str">
        <f aca="false">IF($J548="","",IF($C548="",1,$C548))</f>
        <v/>
      </c>
    </row>
    <row r="549" customFormat="false" ht="15" hidden="false" customHeight="false" outlineLevel="0" collapsed="false">
      <c r="A549" s="7"/>
      <c r="B549" s="8"/>
      <c r="C549" s="9"/>
      <c r="D549" s="10"/>
      <c r="E549" s="11"/>
      <c r="F549" s="11"/>
      <c r="G549" s="8"/>
      <c r="H549" s="11"/>
      <c r="I549" s="12"/>
      <c r="J549" s="13" t="str">
        <f aca="false">IF(OR($A549="",$D549=""),"",IF($C549="",1,$C549)*$D549+N($E549)-N($F549))</f>
        <v/>
      </c>
      <c r="K549" s="13" t="str">
        <f aca="false">IF($J549="","",IF($R549&lt;&gt;"",$R549,IF($G549="",0,MAX(IFERROR(INDEX(Settings!$D$6:$D$15,MATCH($G549,Settings!$A$6:$A$15,0)),0),$J549*IFERROR(INDEX(Settings!$B$6:$B$15,MATCH($G549,Settings!$A$6:$A$15,0)),0)+IFERROR(INDEX(Settings!$C$6:$C$15,MATCH($G549,Settings!$A$6:$A$15,0)),0)))))</f>
        <v/>
      </c>
      <c r="L549" s="13" t="str">
        <f aca="false">IF($J549="","",IF($C549="",1,$C549)*IF($Q549&lt;&gt;"",$Q549,IFERROR(INDEX(Products!$D$5:$D$54,MATCH($B549,Products!$A$5:$A$54,0)),0)))</f>
        <v/>
      </c>
      <c r="M549" s="14" t="str">
        <f aca="false">IF($J549="","",$J549-$K549-N($H549)-$L549)</f>
        <v/>
      </c>
      <c r="N549" s="15" t="str">
        <f aca="false">IF($J549="","",IF($J549&gt;0,$M549/$J549,""))</f>
        <v/>
      </c>
      <c r="O549" s="12"/>
      <c r="P549" s="12"/>
      <c r="Q549" s="11"/>
      <c r="R549" s="11"/>
      <c r="S549" s="12"/>
      <c r="T549" s="16" t="str">
        <f aca="false">IF($J549="","",IF($C549="",1,$C549))</f>
        <v/>
      </c>
    </row>
    <row r="550" customFormat="false" ht="15" hidden="false" customHeight="false" outlineLevel="0" collapsed="false">
      <c r="A550" s="7"/>
      <c r="B550" s="8"/>
      <c r="C550" s="9"/>
      <c r="D550" s="10"/>
      <c r="E550" s="11"/>
      <c r="F550" s="11"/>
      <c r="G550" s="8"/>
      <c r="H550" s="11"/>
      <c r="I550" s="12"/>
      <c r="J550" s="13" t="str">
        <f aca="false">IF(OR($A550="",$D550=""),"",IF($C550="",1,$C550)*$D550+N($E550)-N($F550))</f>
        <v/>
      </c>
      <c r="K550" s="13" t="str">
        <f aca="false">IF($J550="","",IF($R550&lt;&gt;"",$R550,IF($G550="",0,MAX(IFERROR(INDEX(Settings!$D$6:$D$15,MATCH($G550,Settings!$A$6:$A$15,0)),0),$J550*IFERROR(INDEX(Settings!$B$6:$B$15,MATCH($G550,Settings!$A$6:$A$15,0)),0)+IFERROR(INDEX(Settings!$C$6:$C$15,MATCH($G550,Settings!$A$6:$A$15,0)),0)))))</f>
        <v/>
      </c>
      <c r="L550" s="13" t="str">
        <f aca="false">IF($J550="","",IF($C550="",1,$C550)*IF($Q550&lt;&gt;"",$Q550,IFERROR(INDEX(Products!$D$5:$D$54,MATCH($B550,Products!$A$5:$A$54,0)),0)))</f>
        <v/>
      </c>
      <c r="M550" s="14" t="str">
        <f aca="false">IF($J550="","",$J550-$K550-N($H550)-$L550)</f>
        <v/>
      </c>
      <c r="N550" s="15" t="str">
        <f aca="false">IF($J550="","",IF($J550&gt;0,$M550/$J550,""))</f>
        <v/>
      </c>
      <c r="O550" s="12"/>
      <c r="P550" s="12"/>
      <c r="Q550" s="11"/>
      <c r="R550" s="11"/>
      <c r="S550" s="12"/>
      <c r="T550" s="16" t="str">
        <f aca="false">IF($J550="","",IF($C550="",1,$C550))</f>
        <v/>
      </c>
    </row>
    <row r="551" customFormat="false" ht="15" hidden="false" customHeight="false" outlineLevel="0" collapsed="false">
      <c r="A551" s="7"/>
      <c r="B551" s="8"/>
      <c r="C551" s="9"/>
      <c r="D551" s="10"/>
      <c r="E551" s="11"/>
      <c r="F551" s="11"/>
      <c r="G551" s="8"/>
      <c r="H551" s="11"/>
      <c r="I551" s="12"/>
      <c r="J551" s="13" t="str">
        <f aca="false">IF(OR($A551="",$D551=""),"",IF($C551="",1,$C551)*$D551+N($E551)-N($F551))</f>
        <v/>
      </c>
      <c r="K551" s="13" t="str">
        <f aca="false">IF($J551="","",IF($R551&lt;&gt;"",$R551,IF($G551="",0,MAX(IFERROR(INDEX(Settings!$D$6:$D$15,MATCH($G551,Settings!$A$6:$A$15,0)),0),$J551*IFERROR(INDEX(Settings!$B$6:$B$15,MATCH($G551,Settings!$A$6:$A$15,0)),0)+IFERROR(INDEX(Settings!$C$6:$C$15,MATCH($G551,Settings!$A$6:$A$15,0)),0)))))</f>
        <v/>
      </c>
      <c r="L551" s="13" t="str">
        <f aca="false">IF($J551="","",IF($C551="",1,$C551)*IF($Q551&lt;&gt;"",$Q551,IFERROR(INDEX(Products!$D$5:$D$54,MATCH($B551,Products!$A$5:$A$54,0)),0)))</f>
        <v/>
      </c>
      <c r="M551" s="14" t="str">
        <f aca="false">IF($J551="","",$J551-$K551-N($H551)-$L551)</f>
        <v/>
      </c>
      <c r="N551" s="15" t="str">
        <f aca="false">IF($J551="","",IF($J551&gt;0,$M551/$J551,""))</f>
        <v/>
      </c>
      <c r="O551" s="12"/>
      <c r="P551" s="12"/>
      <c r="Q551" s="11"/>
      <c r="R551" s="11"/>
      <c r="S551" s="12"/>
      <c r="T551" s="16" t="str">
        <f aca="false">IF($J551="","",IF($C551="",1,$C551))</f>
        <v/>
      </c>
    </row>
    <row r="552" customFormat="false" ht="15" hidden="false" customHeight="false" outlineLevel="0" collapsed="false">
      <c r="A552" s="7"/>
      <c r="B552" s="8"/>
      <c r="C552" s="9"/>
      <c r="D552" s="10"/>
      <c r="E552" s="11"/>
      <c r="F552" s="11"/>
      <c r="G552" s="8"/>
      <c r="H552" s="11"/>
      <c r="I552" s="12"/>
      <c r="J552" s="13" t="str">
        <f aca="false">IF(OR($A552="",$D552=""),"",IF($C552="",1,$C552)*$D552+N($E552)-N($F552))</f>
        <v/>
      </c>
      <c r="K552" s="13" t="str">
        <f aca="false">IF($J552="","",IF($R552&lt;&gt;"",$R552,IF($G552="",0,MAX(IFERROR(INDEX(Settings!$D$6:$D$15,MATCH($G552,Settings!$A$6:$A$15,0)),0),$J552*IFERROR(INDEX(Settings!$B$6:$B$15,MATCH($G552,Settings!$A$6:$A$15,0)),0)+IFERROR(INDEX(Settings!$C$6:$C$15,MATCH($G552,Settings!$A$6:$A$15,0)),0)))))</f>
        <v/>
      </c>
      <c r="L552" s="13" t="str">
        <f aca="false">IF($J552="","",IF($C552="",1,$C552)*IF($Q552&lt;&gt;"",$Q552,IFERROR(INDEX(Products!$D$5:$D$54,MATCH($B552,Products!$A$5:$A$54,0)),0)))</f>
        <v/>
      </c>
      <c r="M552" s="14" t="str">
        <f aca="false">IF($J552="","",$J552-$K552-N($H552)-$L552)</f>
        <v/>
      </c>
      <c r="N552" s="15" t="str">
        <f aca="false">IF($J552="","",IF($J552&gt;0,$M552/$J552,""))</f>
        <v/>
      </c>
      <c r="O552" s="12"/>
      <c r="P552" s="12"/>
      <c r="Q552" s="11"/>
      <c r="R552" s="11"/>
      <c r="S552" s="12"/>
      <c r="T552" s="16" t="str">
        <f aca="false">IF($J552="","",IF($C552="",1,$C552))</f>
        <v/>
      </c>
    </row>
    <row r="553" customFormat="false" ht="15" hidden="false" customHeight="false" outlineLevel="0" collapsed="false">
      <c r="A553" s="7"/>
      <c r="B553" s="8"/>
      <c r="C553" s="9"/>
      <c r="D553" s="10"/>
      <c r="E553" s="11"/>
      <c r="F553" s="11"/>
      <c r="G553" s="8"/>
      <c r="H553" s="11"/>
      <c r="I553" s="12"/>
      <c r="J553" s="13" t="str">
        <f aca="false">IF(OR($A553="",$D553=""),"",IF($C553="",1,$C553)*$D553+N($E553)-N($F553))</f>
        <v/>
      </c>
      <c r="K553" s="13" t="str">
        <f aca="false">IF($J553="","",IF($R553&lt;&gt;"",$R553,IF($G553="",0,MAX(IFERROR(INDEX(Settings!$D$6:$D$15,MATCH($G553,Settings!$A$6:$A$15,0)),0),$J553*IFERROR(INDEX(Settings!$B$6:$B$15,MATCH($G553,Settings!$A$6:$A$15,0)),0)+IFERROR(INDEX(Settings!$C$6:$C$15,MATCH($G553,Settings!$A$6:$A$15,0)),0)))))</f>
        <v/>
      </c>
      <c r="L553" s="13" t="str">
        <f aca="false">IF($J553="","",IF($C553="",1,$C553)*IF($Q553&lt;&gt;"",$Q553,IFERROR(INDEX(Products!$D$5:$D$54,MATCH($B553,Products!$A$5:$A$54,0)),0)))</f>
        <v/>
      </c>
      <c r="M553" s="14" t="str">
        <f aca="false">IF($J553="","",$J553-$K553-N($H553)-$L553)</f>
        <v/>
      </c>
      <c r="N553" s="15" t="str">
        <f aca="false">IF($J553="","",IF($J553&gt;0,$M553/$J553,""))</f>
        <v/>
      </c>
      <c r="O553" s="12"/>
      <c r="P553" s="12"/>
      <c r="Q553" s="11"/>
      <c r="R553" s="11"/>
      <c r="S553" s="12"/>
      <c r="T553" s="16" t="str">
        <f aca="false">IF($J553="","",IF($C553="",1,$C553))</f>
        <v/>
      </c>
    </row>
    <row r="554" customFormat="false" ht="15" hidden="false" customHeight="false" outlineLevel="0" collapsed="false">
      <c r="A554" s="7"/>
      <c r="B554" s="8"/>
      <c r="C554" s="9"/>
      <c r="D554" s="10"/>
      <c r="E554" s="11"/>
      <c r="F554" s="11"/>
      <c r="G554" s="8"/>
      <c r="H554" s="11"/>
      <c r="I554" s="12"/>
      <c r="J554" s="13" t="str">
        <f aca="false">IF(OR($A554="",$D554=""),"",IF($C554="",1,$C554)*$D554+N($E554)-N($F554))</f>
        <v/>
      </c>
      <c r="K554" s="13" t="str">
        <f aca="false">IF($J554="","",IF($R554&lt;&gt;"",$R554,IF($G554="",0,MAX(IFERROR(INDEX(Settings!$D$6:$D$15,MATCH($G554,Settings!$A$6:$A$15,0)),0),$J554*IFERROR(INDEX(Settings!$B$6:$B$15,MATCH($G554,Settings!$A$6:$A$15,0)),0)+IFERROR(INDEX(Settings!$C$6:$C$15,MATCH($G554,Settings!$A$6:$A$15,0)),0)))))</f>
        <v/>
      </c>
      <c r="L554" s="13" t="str">
        <f aca="false">IF($J554="","",IF($C554="",1,$C554)*IF($Q554&lt;&gt;"",$Q554,IFERROR(INDEX(Products!$D$5:$D$54,MATCH($B554,Products!$A$5:$A$54,0)),0)))</f>
        <v/>
      </c>
      <c r="M554" s="14" t="str">
        <f aca="false">IF($J554="","",$J554-$K554-N($H554)-$L554)</f>
        <v/>
      </c>
      <c r="N554" s="15" t="str">
        <f aca="false">IF($J554="","",IF($J554&gt;0,$M554/$J554,""))</f>
        <v/>
      </c>
      <c r="O554" s="12"/>
      <c r="P554" s="12"/>
      <c r="Q554" s="11"/>
      <c r="R554" s="11"/>
      <c r="S554" s="12"/>
      <c r="T554" s="16" t="str">
        <f aca="false">IF($J554="","",IF($C554="",1,$C554))</f>
        <v/>
      </c>
    </row>
    <row r="555" customFormat="false" ht="15" hidden="false" customHeight="false" outlineLevel="0" collapsed="false">
      <c r="A555" s="7"/>
      <c r="B555" s="8"/>
      <c r="C555" s="9"/>
      <c r="D555" s="10"/>
      <c r="E555" s="11"/>
      <c r="F555" s="11"/>
      <c r="G555" s="8"/>
      <c r="H555" s="11"/>
      <c r="I555" s="12"/>
      <c r="J555" s="13" t="str">
        <f aca="false">IF(OR($A555="",$D555=""),"",IF($C555="",1,$C555)*$D555+N($E555)-N($F555))</f>
        <v/>
      </c>
      <c r="K555" s="13" t="str">
        <f aca="false">IF($J555="","",IF($R555&lt;&gt;"",$R555,IF($G555="",0,MAX(IFERROR(INDEX(Settings!$D$6:$D$15,MATCH($G555,Settings!$A$6:$A$15,0)),0),$J555*IFERROR(INDEX(Settings!$B$6:$B$15,MATCH($G555,Settings!$A$6:$A$15,0)),0)+IFERROR(INDEX(Settings!$C$6:$C$15,MATCH($G555,Settings!$A$6:$A$15,0)),0)))))</f>
        <v/>
      </c>
      <c r="L555" s="13" t="str">
        <f aca="false">IF($J555="","",IF($C555="",1,$C555)*IF($Q555&lt;&gt;"",$Q555,IFERROR(INDEX(Products!$D$5:$D$54,MATCH($B555,Products!$A$5:$A$54,0)),0)))</f>
        <v/>
      </c>
      <c r="M555" s="14" t="str">
        <f aca="false">IF($J555="","",$J555-$K555-N($H555)-$L555)</f>
        <v/>
      </c>
      <c r="N555" s="15" t="str">
        <f aca="false">IF($J555="","",IF($J555&gt;0,$M555/$J555,""))</f>
        <v/>
      </c>
      <c r="O555" s="12"/>
      <c r="P555" s="12"/>
      <c r="Q555" s="11"/>
      <c r="R555" s="11"/>
      <c r="S555" s="12"/>
      <c r="T555" s="16" t="str">
        <f aca="false">IF($J555="","",IF($C555="",1,$C555))</f>
        <v/>
      </c>
    </row>
    <row r="556" customFormat="false" ht="15" hidden="false" customHeight="false" outlineLevel="0" collapsed="false">
      <c r="A556" s="7"/>
      <c r="B556" s="8"/>
      <c r="C556" s="9"/>
      <c r="D556" s="10"/>
      <c r="E556" s="11"/>
      <c r="F556" s="11"/>
      <c r="G556" s="8"/>
      <c r="H556" s="11"/>
      <c r="I556" s="12"/>
      <c r="J556" s="13" t="str">
        <f aca="false">IF(OR($A556="",$D556=""),"",IF($C556="",1,$C556)*$D556+N($E556)-N($F556))</f>
        <v/>
      </c>
      <c r="K556" s="13" t="str">
        <f aca="false">IF($J556="","",IF($R556&lt;&gt;"",$R556,IF($G556="",0,MAX(IFERROR(INDEX(Settings!$D$6:$D$15,MATCH($G556,Settings!$A$6:$A$15,0)),0),$J556*IFERROR(INDEX(Settings!$B$6:$B$15,MATCH($G556,Settings!$A$6:$A$15,0)),0)+IFERROR(INDEX(Settings!$C$6:$C$15,MATCH($G556,Settings!$A$6:$A$15,0)),0)))))</f>
        <v/>
      </c>
      <c r="L556" s="13" t="str">
        <f aca="false">IF($J556="","",IF($C556="",1,$C556)*IF($Q556&lt;&gt;"",$Q556,IFERROR(INDEX(Products!$D$5:$D$54,MATCH($B556,Products!$A$5:$A$54,0)),0)))</f>
        <v/>
      </c>
      <c r="M556" s="14" t="str">
        <f aca="false">IF($J556="","",$J556-$K556-N($H556)-$L556)</f>
        <v/>
      </c>
      <c r="N556" s="15" t="str">
        <f aca="false">IF($J556="","",IF($J556&gt;0,$M556/$J556,""))</f>
        <v/>
      </c>
      <c r="O556" s="12"/>
      <c r="P556" s="12"/>
      <c r="Q556" s="11"/>
      <c r="R556" s="11"/>
      <c r="S556" s="12"/>
      <c r="T556" s="16" t="str">
        <f aca="false">IF($J556="","",IF($C556="",1,$C556))</f>
        <v/>
      </c>
    </row>
    <row r="557" customFormat="false" ht="15" hidden="false" customHeight="false" outlineLevel="0" collapsed="false">
      <c r="A557" s="7"/>
      <c r="B557" s="8"/>
      <c r="C557" s="9"/>
      <c r="D557" s="10"/>
      <c r="E557" s="11"/>
      <c r="F557" s="11"/>
      <c r="G557" s="8"/>
      <c r="H557" s="11"/>
      <c r="I557" s="12"/>
      <c r="J557" s="13" t="str">
        <f aca="false">IF(OR($A557="",$D557=""),"",IF($C557="",1,$C557)*$D557+N($E557)-N($F557))</f>
        <v/>
      </c>
      <c r="K557" s="13" t="str">
        <f aca="false">IF($J557="","",IF($R557&lt;&gt;"",$R557,IF($G557="",0,MAX(IFERROR(INDEX(Settings!$D$6:$D$15,MATCH($G557,Settings!$A$6:$A$15,0)),0),$J557*IFERROR(INDEX(Settings!$B$6:$B$15,MATCH($G557,Settings!$A$6:$A$15,0)),0)+IFERROR(INDEX(Settings!$C$6:$C$15,MATCH($G557,Settings!$A$6:$A$15,0)),0)))))</f>
        <v/>
      </c>
      <c r="L557" s="13" t="str">
        <f aca="false">IF($J557="","",IF($C557="",1,$C557)*IF($Q557&lt;&gt;"",$Q557,IFERROR(INDEX(Products!$D$5:$D$54,MATCH($B557,Products!$A$5:$A$54,0)),0)))</f>
        <v/>
      </c>
      <c r="M557" s="14" t="str">
        <f aca="false">IF($J557="","",$J557-$K557-N($H557)-$L557)</f>
        <v/>
      </c>
      <c r="N557" s="15" t="str">
        <f aca="false">IF($J557="","",IF($J557&gt;0,$M557/$J557,""))</f>
        <v/>
      </c>
      <c r="O557" s="12"/>
      <c r="P557" s="12"/>
      <c r="Q557" s="11"/>
      <c r="R557" s="11"/>
      <c r="S557" s="12"/>
      <c r="T557" s="16" t="str">
        <f aca="false">IF($J557="","",IF($C557="",1,$C557))</f>
        <v/>
      </c>
    </row>
    <row r="558" customFormat="false" ht="15" hidden="false" customHeight="false" outlineLevel="0" collapsed="false">
      <c r="A558" s="7"/>
      <c r="B558" s="8"/>
      <c r="C558" s="9"/>
      <c r="D558" s="10"/>
      <c r="E558" s="11"/>
      <c r="F558" s="11"/>
      <c r="G558" s="8"/>
      <c r="H558" s="11"/>
      <c r="I558" s="12"/>
      <c r="J558" s="13" t="str">
        <f aca="false">IF(OR($A558="",$D558=""),"",IF($C558="",1,$C558)*$D558+N($E558)-N($F558))</f>
        <v/>
      </c>
      <c r="K558" s="13" t="str">
        <f aca="false">IF($J558="","",IF($R558&lt;&gt;"",$R558,IF($G558="",0,MAX(IFERROR(INDEX(Settings!$D$6:$D$15,MATCH($G558,Settings!$A$6:$A$15,0)),0),$J558*IFERROR(INDEX(Settings!$B$6:$B$15,MATCH($G558,Settings!$A$6:$A$15,0)),0)+IFERROR(INDEX(Settings!$C$6:$C$15,MATCH($G558,Settings!$A$6:$A$15,0)),0)))))</f>
        <v/>
      </c>
      <c r="L558" s="13" t="str">
        <f aca="false">IF($J558="","",IF($C558="",1,$C558)*IF($Q558&lt;&gt;"",$Q558,IFERROR(INDEX(Products!$D$5:$D$54,MATCH($B558,Products!$A$5:$A$54,0)),0)))</f>
        <v/>
      </c>
      <c r="M558" s="14" t="str">
        <f aca="false">IF($J558="","",$J558-$K558-N($H558)-$L558)</f>
        <v/>
      </c>
      <c r="N558" s="15" t="str">
        <f aca="false">IF($J558="","",IF($J558&gt;0,$M558/$J558,""))</f>
        <v/>
      </c>
      <c r="O558" s="12"/>
      <c r="P558" s="12"/>
      <c r="Q558" s="11"/>
      <c r="R558" s="11"/>
      <c r="S558" s="12"/>
      <c r="T558" s="16" t="str">
        <f aca="false">IF($J558="","",IF($C558="",1,$C558))</f>
        <v/>
      </c>
    </row>
    <row r="559" customFormat="false" ht="15" hidden="false" customHeight="false" outlineLevel="0" collapsed="false">
      <c r="A559" s="7"/>
      <c r="B559" s="8"/>
      <c r="C559" s="9"/>
      <c r="D559" s="10"/>
      <c r="E559" s="11"/>
      <c r="F559" s="11"/>
      <c r="G559" s="8"/>
      <c r="H559" s="11"/>
      <c r="I559" s="12"/>
      <c r="J559" s="13" t="str">
        <f aca="false">IF(OR($A559="",$D559=""),"",IF($C559="",1,$C559)*$D559+N($E559)-N($F559))</f>
        <v/>
      </c>
      <c r="K559" s="13" t="str">
        <f aca="false">IF($J559="","",IF($R559&lt;&gt;"",$R559,IF($G559="",0,MAX(IFERROR(INDEX(Settings!$D$6:$D$15,MATCH($G559,Settings!$A$6:$A$15,0)),0),$J559*IFERROR(INDEX(Settings!$B$6:$B$15,MATCH($G559,Settings!$A$6:$A$15,0)),0)+IFERROR(INDEX(Settings!$C$6:$C$15,MATCH($G559,Settings!$A$6:$A$15,0)),0)))))</f>
        <v/>
      </c>
      <c r="L559" s="13" t="str">
        <f aca="false">IF($J559="","",IF($C559="",1,$C559)*IF($Q559&lt;&gt;"",$Q559,IFERROR(INDEX(Products!$D$5:$D$54,MATCH($B559,Products!$A$5:$A$54,0)),0)))</f>
        <v/>
      </c>
      <c r="M559" s="14" t="str">
        <f aca="false">IF($J559="","",$J559-$K559-N($H559)-$L559)</f>
        <v/>
      </c>
      <c r="N559" s="15" t="str">
        <f aca="false">IF($J559="","",IF($J559&gt;0,$M559/$J559,""))</f>
        <v/>
      </c>
      <c r="O559" s="12"/>
      <c r="P559" s="12"/>
      <c r="Q559" s="11"/>
      <c r="R559" s="11"/>
      <c r="S559" s="12"/>
      <c r="T559" s="16" t="str">
        <f aca="false">IF($J559="","",IF($C559="",1,$C559))</f>
        <v/>
      </c>
    </row>
    <row r="560" customFormat="false" ht="15" hidden="false" customHeight="false" outlineLevel="0" collapsed="false">
      <c r="A560" s="7"/>
      <c r="B560" s="8"/>
      <c r="C560" s="9"/>
      <c r="D560" s="10"/>
      <c r="E560" s="11"/>
      <c r="F560" s="11"/>
      <c r="G560" s="8"/>
      <c r="H560" s="11"/>
      <c r="I560" s="12"/>
      <c r="J560" s="13" t="str">
        <f aca="false">IF(OR($A560="",$D560=""),"",IF($C560="",1,$C560)*$D560+N($E560)-N($F560))</f>
        <v/>
      </c>
      <c r="K560" s="13" t="str">
        <f aca="false">IF($J560="","",IF($R560&lt;&gt;"",$R560,IF($G560="",0,MAX(IFERROR(INDEX(Settings!$D$6:$D$15,MATCH($G560,Settings!$A$6:$A$15,0)),0),$J560*IFERROR(INDEX(Settings!$B$6:$B$15,MATCH($G560,Settings!$A$6:$A$15,0)),0)+IFERROR(INDEX(Settings!$C$6:$C$15,MATCH($G560,Settings!$A$6:$A$15,0)),0)))))</f>
        <v/>
      </c>
      <c r="L560" s="13" t="str">
        <f aca="false">IF($J560="","",IF($C560="",1,$C560)*IF($Q560&lt;&gt;"",$Q560,IFERROR(INDEX(Products!$D$5:$D$54,MATCH($B560,Products!$A$5:$A$54,0)),0)))</f>
        <v/>
      </c>
      <c r="M560" s="14" t="str">
        <f aca="false">IF($J560="","",$J560-$K560-N($H560)-$L560)</f>
        <v/>
      </c>
      <c r="N560" s="15" t="str">
        <f aca="false">IF($J560="","",IF($J560&gt;0,$M560/$J560,""))</f>
        <v/>
      </c>
      <c r="O560" s="12"/>
      <c r="P560" s="12"/>
      <c r="Q560" s="11"/>
      <c r="R560" s="11"/>
      <c r="S560" s="12"/>
      <c r="T560" s="16" t="str">
        <f aca="false">IF($J560="","",IF($C560="",1,$C560))</f>
        <v/>
      </c>
    </row>
    <row r="561" customFormat="false" ht="15" hidden="false" customHeight="false" outlineLevel="0" collapsed="false">
      <c r="A561" s="7"/>
      <c r="B561" s="8"/>
      <c r="C561" s="9"/>
      <c r="D561" s="10"/>
      <c r="E561" s="11"/>
      <c r="F561" s="11"/>
      <c r="G561" s="8"/>
      <c r="H561" s="11"/>
      <c r="I561" s="12"/>
      <c r="J561" s="13" t="str">
        <f aca="false">IF(OR($A561="",$D561=""),"",IF($C561="",1,$C561)*$D561+N($E561)-N($F561))</f>
        <v/>
      </c>
      <c r="K561" s="13" t="str">
        <f aca="false">IF($J561="","",IF($R561&lt;&gt;"",$R561,IF($G561="",0,MAX(IFERROR(INDEX(Settings!$D$6:$D$15,MATCH($G561,Settings!$A$6:$A$15,0)),0),$J561*IFERROR(INDEX(Settings!$B$6:$B$15,MATCH($G561,Settings!$A$6:$A$15,0)),0)+IFERROR(INDEX(Settings!$C$6:$C$15,MATCH($G561,Settings!$A$6:$A$15,0)),0)))))</f>
        <v/>
      </c>
      <c r="L561" s="13" t="str">
        <f aca="false">IF($J561="","",IF($C561="",1,$C561)*IF($Q561&lt;&gt;"",$Q561,IFERROR(INDEX(Products!$D$5:$D$54,MATCH($B561,Products!$A$5:$A$54,0)),0)))</f>
        <v/>
      </c>
      <c r="M561" s="14" t="str">
        <f aca="false">IF($J561="","",$J561-$K561-N($H561)-$L561)</f>
        <v/>
      </c>
      <c r="N561" s="15" t="str">
        <f aca="false">IF($J561="","",IF($J561&gt;0,$M561/$J561,""))</f>
        <v/>
      </c>
      <c r="O561" s="12"/>
      <c r="P561" s="12"/>
      <c r="Q561" s="11"/>
      <c r="R561" s="11"/>
      <c r="S561" s="12"/>
      <c r="T561" s="16" t="str">
        <f aca="false">IF($J561="","",IF($C561="",1,$C561))</f>
        <v/>
      </c>
    </row>
    <row r="562" customFormat="false" ht="15" hidden="false" customHeight="false" outlineLevel="0" collapsed="false">
      <c r="A562" s="7"/>
      <c r="B562" s="8"/>
      <c r="C562" s="9"/>
      <c r="D562" s="10"/>
      <c r="E562" s="11"/>
      <c r="F562" s="11"/>
      <c r="G562" s="8"/>
      <c r="H562" s="11"/>
      <c r="I562" s="12"/>
      <c r="J562" s="13" t="str">
        <f aca="false">IF(OR($A562="",$D562=""),"",IF($C562="",1,$C562)*$D562+N($E562)-N($F562))</f>
        <v/>
      </c>
      <c r="K562" s="13" t="str">
        <f aca="false">IF($J562="","",IF($R562&lt;&gt;"",$R562,IF($G562="",0,MAX(IFERROR(INDEX(Settings!$D$6:$D$15,MATCH($G562,Settings!$A$6:$A$15,0)),0),$J562*IFERROR(INDEX(Settings!$B$6:$B$15,MATCH($G562,Settings!$A$6:$A$15,0)),0)+IFERROR(INDEX(Settings!$C$6:$C$15,MATCH($G562,Settings!$A$6:$A$15,0)),0)))))</f>
        <v/>
      </c>
      <c r="L562" s="13" t="str">
        <f aca="false">IF($J562="","",IF($C562="",1,$C562)*IF($Q562&lt;&gt;"",$Q562,IFERROR(INDEX(Products!$D$5:$D$54,MATCH($B562,Products!$A$5:$A$54,0)),0)))</f>
        <v/>
      </c>
      <c r="M562" s="14" t="str">
        <f aca="false">IF($J562="","",$J562-$K562-N($H562)-$L562)</f>
        <v/>
      </c>
      <c r="N562" s="15" t="str">
        <f aca="false">IF($J562="","",IF($J562&gt;0,$M562/$J562,""))</f>
        <v/>
      </c>
      <c r="O562" s="12"/>
      <c r="P562" s="12"/>
      <c r="Q562" s="11"/>
      <c r="R562" s="11"/>
      <c r="S562" s="12"/>
      <c r="T562" s="16" t="str">
        <f aca="false">IF($J562="","",IF($C562="",1,$C562))</f>
        <v/>
      </c>
    </row>
    <row r="563" customFormat="false" ht="15" hidden="false" customHeight="false" outlineLevel="0" collapsed="false">
      <c r="A563" s="7"/>
      <c r="B563" s="8"/>
      <c r="C563" s="9"/>
      <c r="D563" s="10"/>
      <c r="E563" s="11"/>
      <c r="F563" s="11"/>
      <c r="G563" s="8"/>
      <c r="H563" s="11"/>
      <c r="I563" s="12"/>
      <c r="J563" s="13" t="str">
        <f aca="false">IF(OR($A563="",$D563=""),"",IF($C563="",1,$C563)*$D563+N($E563)-N($F563))</f>
        <v/>
      </c>
      <c r="K563" s="13" t="str">
        <f aca="false">IF($J563="","",IF($R563&lt;&gt;"",$R563,IF($G563="",0,MAX(IFERROR(INDEX(Settings!$D$6:$D$15,MATCH($G563,Settings!$A$6:$A$15,0)),0),$J563*IFERROR(INDEX(Settings!$B$6:$B$15,MATCH($G563,Settings!$A$6:$A$15,0)),0)+IFERROR(INDEX(Settings!$C$6:$C$15,MATCH($G563,Settings!$A$6:$A$15,0)),0)))))</f>
        <v/>
      </c>
      <c r="L563" s="13" t="str">
        <f aca="false">IF($J563="","",IF($C563="",1,$C563)*IF($Q563&lt;&gt;"",$Q563,IFERROR(INDEX(Products!$D$5:$D$54,MATCH($B563,Products!$A$5:$A$54,0)),0)))</f>
        <v/>
      </c>
      <c r="M563" s="14" t="str">
        <f aca="false">IF($J563="","",$J563-$K563-N($H563)-$L563)</f>
        <v/>
      </c>
      <c r="N563" s="15" t="str">
        <f aca="false">IF($J563="","",IF($J563&gt;0,$M563/$J563,""))</f>
        <v/>
      </c>
      <c r="O563" s="12"/>
      <c r="P563" s="12"/>
      <c r="Q563" s="11"/>
      <c r="R563" s="11"/>
      <c r="S563" s="12"/>
      <c r="T563" s="16" t="str">
        <f aca="false">IF($J563="","",IF($C563="",1,$C563))</f>
        <v/>
      </c>
    </row>
    <row r="564" customFormat="false" ht="15" hidden="false" customHeight="false" outlineLevel="0" collapsed="false">
      <c r="A564" s="7"/>
      <c r="B564" s="8"/>
      <c r="C564" s="9"/>
      <c r="D564" s="10"/>
      <c r="E564" s="11"/>
      <c r="F564" s="11"/>
      <c r="G564" s="8"/>
      <c r="H564" s="11"/>
      <c r="I564" s="12"/>
      <c r="J564" s="13" t="str">
        <f aca="false">IF(OR($A564="",$D564=""),"",IF($C564="",1,$C564)*$D564+N($E564)-N($F564))</f>
        <v/>
      </c>
      <c r="K564" s="13" t="str">
        <f aca="false">IF($J564="","",IF($R564&lt;&gt;"",$R564,IF($G564="",0,MAX(IFERROR(INDEX(Settings!$D$6:$D$15,MATCH($G564,Settings!$A$6:$A$15,0)),0),$J564*IFERROR(INDEX(Settings!$B$6:$B$15,MATCH($G564,Settings!$A$6:$A$15,0)),0)+IFERROR(INDEX(Settings!$C$6:$C$15,MATCH($G564,Settings!$A$6:$A$15,0)),0)))))</f>
        <v/>
      </c>
      <c r="L564" s="13" t="str">
        <f aca="false">IF($J564="","",IF($C564="",1,$C564)*IF($Q564&lt;&gt;"",$Q564,IFERROR(INDEX(Products!$D$5:$D$54,MATCH($B564,Products!$A$5:$A$54,0)),0)))</f>
        <v/>
      </c>
      <c r="M564" s="14" t="str">
        <f aca="false">IF($J564="","",$J564-$K564-N($H564)-$L564)</f>
        <v/>
      </c>
      <c r="N564" s="15" t="str">
        <f aca="false">IF($J564="","",IF($J564&gt;0,$M564/$J564,""))</f>
        <v/>
      </c>
      <c r="O564" s="12"/>
      <c r="P564" s="12"/>
      <c r="Q564" s="11"/>
      <c r="R564" s="11"/>
      <c r="S564" s="12"/>
      <c r="T564" s="16" t="str">
        <f aca="false">IF($J564="","",IF($C564="",1,$C564))</f>
        <v/>
      </c>
    </row>
    <row r="565" customFormat="false" ht="15" hidden="false" customHeight="false" outlineLevel="0" collapsed="false">
      <c r="A565" s="7"/>
      <c r="B565" s="8"/>
      <c r="C565" s="9"/>
      <c r="D565" s="10"/>
      <c r="E565" s="11"/>
      <c r="F565" s="11"/>
      <c r="G565" s="8"/>
      <c r="H565" s="11"/>
      <c r="I565" s="12"/>
      <c r="J565" s="13" t="str">
        <f aca="false">IF(OR($A565="",$D565=""),"",IF($C565="",1,$C565)*$D565+N($E565)-N($F565))</f>
        <v/>
      </c>
      <c r="K565" s="13" t="str">
        <f aca="false">IF($J565="","",IF($R565&lt;&gt;"",$R565,IF($G565="",0,MAX(IFERROR(INDEX(Settings!$D$6:$D$15,MATCH($G565,Settings!$A$6:$A$15,0)),0),$J565*IFERROR(INDEX(Settings!$B$6:$B$15,MATCH($G565,Settings!$A$6:$A$15,0)),0)+IFERROR(INDEX(Settings!$C$6:$C$15,MATCH($G565,Settings!$A$6:$A$15,0)),0)))))</f>
        <v/>
      </c>
      <c r="L565" s="13" t="str">
        <f aca="false">IF($J565="","",IF($C565="",1,$C565)*IF($Q565&lt;&gt;"",$Q565,IFERROR(INDEX(Products!$D$5:$D$54,MATCH($B565,Products!$A$5:$A$54,0)),0)))</f>
        <v/>
      </c>
      <c r="M565" s="14" t="str">
        <f aca="false">IF($J565="","",$J565-$K565-N($H565)-$L565)</f>
        <v/>
      </c>
      <c r="N565" s="15" t="str">
        <f aca="false">IF($J565="","",IF($J565&gt;0,$M565/$J565,""))</f>
        <v/>
      </c>
      <c r="O565" s="12"/>
      <c r="P565" s="12"/>
      <c r="Q565" s="11"/>
      <c r="R565" s="11"/>
      <c r="S565" s="12"/>
      <c r="T565" s="16" t="str">
        <f aca="false">IF($J565="","",IF($C565="",1,$C565))</f>
        <v/>
      </c>
    </row>
    <row r="566" customFormat="false" ht="15" hidden="false" customHeight="false" outlineLevel="0" collapsed="false">
      <c r="A566" s="7"/>
      <c r="B566" s="8"/>
      <c r="C566" s="9"/>
      <c r="D566" s="10"/>
      <c r="E566" s="11"/>
      <c r="F566" s="11"/>
      <c r="G566" s="8"/>
      <c r="H566" s="11"/>
      <c r="I566" s="12"/>
      <c r="J566" s="13" t="str">
        <f aca="false">IF(OR($A566="",$D566=""),"",IF($C566="",1,$C566)*$D566+N($E566)-N($F566))</f>
        <v/>
      </c>
      <c r="K566" s="13" t="str">
        <f aca="false">IF($J566="","",IF($R566&lt;&gt;"",$R566,IF($G566="",0,MAX(IFERROR(INDEX(Settings!$D$6:$D$15,MATCH($G566,Settings!$A$6:$A$15,0)),0),$J566*IFERROR(INDEX(Settings!$B$6:$B$15,MATCH($G566,Settings!$A$6:$A$15,0)),0)+IFERROR(INDEX(Settings!$C$6:$C$15,MATCH($G566,Settings!$A$6:$A$15,0)),0)))))</f>
        <v/>
      </c>
      <c r="L566" s="13" t="str">
        <f aca="false">IF($J566="","",IF($C566="",1,$C566)*IF($Q566&lt;&gt;"",$Q566,IFERROR(INDEX(Products!$D$5:$D$54,MATCH($B566,Products!$A$5:$A$54,0)),0)))</f>
        <v/>
      </c>
      <c r="M566" s="14" t="str">
        <f aca="false">IF($J566="","",$J566-$K566-N($H566)-$L566)</f>
        <v/>
      </c>
      <c r="N566" s="15" t="str">
        <f aca="false">IF($J566="","",IF($J566&gt;0,$M566/$J566,""))</f>
        <v/>
      </c>
      <c r="O566" s="12"/>
      <c r="P566" s="12"/>
      <c r="Q566" s="11"/>
      <c r="R566" s="11"/>
      <c r="S566" s="12"/>
      <c r="T566" s="16" t="str">
        <f aca="false">IF($J566="","",IF($C566="",1,$C566))</f>
        <v/>
      </c>
    </row>
    <row r="567" customFormat="false" ht="15" hidden="false" customHeight="false" outlineLevel="0" collapsed="false">
      <c r="A567" s="7"/>
      <c r="B567" s="8"/>
      <c r="C567" s="9"/>
      <c r="D567" s="10"/>
      <c r="E567" s="11"/>
      <c r="F567" s="11"/>
      <c r="G567" s="8"/>
      <c r="H567" s="11"/>
      <c r="I567" s="12"/>
      <c r="J567" s="13" t="str">
        <f aca="false">IF(OR($A567="",$D567=""),"",IF($C567="",1,$C567)*$D567+N($E567)-N($F567))</f>
        <v/>
      </c>
      <c r="K567" s="13" t="str">
        <f aca="false">IF($J567="","",IF($R567&lt;&gt;"",$R567,IF($G567="",0,MAX(IFERROR(INDEX(Settings!$D$6:$D$15,MATCH($G567,Settings!$A$6:$A$15,0)),0),$J567*IFERROR(INDEX(Settings!$B$6:$B$15,MATCH($G567,Settings!$A$6:$A$15,0)),0)+IFERROR(INDEX(Settings!$C$6:$C$15,MATCH($G567,Settings!$A$6:$A$15,0)),0)))))</f>
        <v/>
      </c>
      <c r="L567" s="13" t="str">
        <f aca="false">IF($J567="","",IF($C567="",1,$C567)*IF($Q567&lt;&gt;"",$Q567,IFERROR(INDEX(Products!$D$5:$D$54,MATCH($B567,Products!$A$5:$A$54,0)),0)))</f>
        <v/>
      </c>
      <c r="M567" s="14" t="str">
        <f aca="false">IF($J567="","",$J567-$K567-N($H567)-$L567)</f>
        <v/>
      </c>
      <c r="N567" s="15" t="str">
        <f aca="false">IF($J567="","",IF($J567&gt;0,$M567/$J567,""))</f>
        <v/>
      </c>
      <c r="O567" s="12"/>
      <c r="P567" s="12"/>
      <c r="Q567" s="11"/>
      <c r="R567" s="11"/>
      <c r="S567" s="12"/>
      <c r="T567" s="16" t="str">
        <f aca="false">IF($J567="","",IF($C567="",1,$C567))</f>
        <v/>
      </c>
    </row>
    <row r="568" customFormat="false" ht="15" hidden="false" customHeight="false" outlineLevel="0" collapsed="false">
      <c r="A568" s="7"/>
      <c r="B568" s="8"/>
      <c r="C568" s="9"/>
      <c r="D568" s="10"/>
      <c r="E568" s="11"/>
      <c r="F568" s="11"/>
      <c r="G568" s="8"/>
      <c r="H568" s="11"/>
      <c r="I568" s="12"/>
      <c r="J568" s="13" t="str">
        <f aca="false">IF(OR($A568="",$D568=""),"",IF($C568="",1,$C568)*$D568+N($E568)-N($F568))</f>
        <v/>
      </c>
      <c r="K568" s="13" t="str">
        <f aca="false">IF($J568="","",IF($R568&lt;&gt;"",$R568,IF($G568="",0,MAX(IFERROR(INDEX(Settings!$D$6:$D$15,MATCH($G568,Settings!$A$6:$A$15,0)),0),$J568*IFERROR(INDEX(Settings!$B$6:$B$15,MATCH($G568,Settings!$A$6:$A$15,0)),0)+IFERROR(INDEX(Settings!$C$6:$C$15,MATCH($G568,Settings!$A$6:$A$15,0)),0)))))</f>
        <v/>
      </c>
      <c r="L568" s="13" t="str">
        <f aca="false">IF($J568="","",IF($C568="",1,$C568)*IF($Q568&lt;&gt;"",$Q568,IFERROR(INDEX(Products!$D$5:$D$54,MATCH($B568,Products!$A$5:$A$54,0)),0)))</f>
        <v/>
      </c>
      <c r="M568" s="14" t="str">
        <f aca="false">IF($J568="","",$J568-$K568-N($H568)-$L568)</f>
        <v/>
      </c>
      <c r="N568" s="15" t="str">
        <f aca="false">IF($J568="","",IF($J568&gt;0,$M568/$J568,""))</f>
        <v/>
      </c>
      <c r="O568" s="12"/>
      <c r="P568" s="12"/>
      <c r="Q568" s="11"/>
      <c r="R568" s="11"/>
      <c r="S568" s="12"/>
      <c r="T568" s="16" t="str">
        <f aca="false">IF($J568="","",IF($C568="",1,$C568))</f>
        <v/>
      </c>
    </row>
    <row r="569" customFormat="false" ht="15" hidden="false" customHeight="false" outlineLevel="0" collapsed="false">
      <c r="A569" s="7"/>
      <c r="B569" s="8"/>
      <c r="C569" s="9"/>
      <c r="D569" s="10"/>
      <c r="E569" s="11"/>
      <c r="F569" s="11"/>
      <c r="G569" s="8"/>
      <c r="H569" s="11"/>
      <c r="I569" s="12"/>
      <c r="J569" s="13" t="str">
        <f aca="false">IF(OR($A569="",$D569=""),"",IF($C569="",1,$C569)*$D569+N($E569)-N($F569))</f>
        <v/>
      </c>
      <c r="K569" s="13" t="str">
        <f aca="false">IF($J569="","",IF($R569&lt;&gt;"",$R569,IF($G569="",0,MAX(IFERROR(INDEX(Settings!$D$6:$D$15,MATCH($G569,Settings!$A$6:$A$15,0)),0),$J569*IFERROR(INDEX(Settings!$B$6:$B$15,MATCH($G569,Settings!$A$6:$A$15,0)),0)+IFERROR(INDEX(Settings!$C$6:$C$15,MATCH($G569,Settings!$A$6:$A$15,0)),0)))))</f>
        <v/>
      </c>
      <c r="L569" s="13" t="str">
        <f aca="false">IF($J569="","",IF($C569="",1,$C569)*IF($Q569&lt;&gt;"",$Q569,IFERROR(INDEX(Products!$D$5:$D$54,MATCH($B569,Products!$A$5:$A$54,0)),0)))</f>
        <v/>
      </c>
      <c r="M569" s="14" t="str">
        <f aca="false">IF($J569="","",$J569-$K569-N($H569)-$L569)</f>
        <v/>
      </c>
      <c r="N569" s="15" t="str">
        <f aca="false">IF($J569="","",IF($J569&gt;0,$M569/$J569,""))</f>
        <v/>
      </c>
      <c r="O569" s="12"/>
      <c r="P569" s="12"/>
      <c r="Q569" s="11"/>
      <c r="R569" s="11"/>
      <c r="S569" s="12"/>
      <c r="T569" s="16" t="str">
        <f aca="false">IF($J569="","",IF($C569="",1,$C569))</f>
        <v/>
      </c>
    </row>
    <row r="570" customFormat="false" ht="15" hidden="false" customHeight="false" outlineLevel="0" collapsed="false">
      <c r="A570" s="7"/>
      <c r="B570" s="8"/>
      <c r="C570" s="9"/>
      <c r="D570" s="10"/>
      <c r="E570" s="11"/>
      <c r="F570" s="11"/>
      <c r="G570" s="8"/>
      <c r="H570" s="11"/>
      <c r="I570" s="12"/>
      <c r="J570" s="13" t="str">
        <f aca="false">IF(OR($A570="",$D570=""),"",IF($C570="",1,$C570)*$D570+N($E570)-N($F570))</f>
        <v/>
      </c>
      <c r="K570" s="13" t="str">
        <f aca="false">IF($J570="","",IF($R570&lt;&gt;"",$R570,IF($G570="",0,MAX(IFERROR(INDEX(Settings!$D$6:$D$15,MATCH($G570,Settings!$A$6:$A$15,0)),0),$J570*IFERROR(INDEX(Settings!$B$6:$B$15,MATCH($G570,Settings!$A$6:$A$15,0)),0)+IFERROR(INDEX(Settings!$C$6:$C$15,MATCH($G570,Settings!$A$6:$A$15,0)),0)))))</f>
        <v/>
      </c>
      <c r="L570" s="13" t="str">
        <f aca="false">IF($J570="","",IF($C570="",1,$C570)*IF($Q570&lt;&gt;"",$Q570,IFERROR(INDEX(Products!$D$5:$D$54,MATCH($B570,Products!$A$5:$A$54,0)),0)))</f>
        <v/>
      </c>
      <c r="M570" s="14" t="str">
        <f aca="false">IF($J570="","",$J570-$K570-N($H570)-$L570)</f>
        <v/>
      </c>
      <c r="N570" s="15" t="str">
        <f aca="false">IF($J570="","",IF($J570&gt;0,$M570/$J570,""))</f>
        <v/>
      </c>
      <c r="O570" s="12"/>
      <c r="P570" s="12"/>
      <c r="Q570" s="11"/>
      <c r="R570" s="11"/>
      <c r="S570" s="12"/>
      <c r="T570" s="16" t="str">
        <f aca="false">IF($J570="","",IF($C570="",1,$C570))</f>
        <v/>
      </c>
    </row>
    <row r="571" customFormat="false" ht="15" hidden="false" customHeight="false" outlineLevel="0" collapsed="false">
      <c r="A571" s="7"/>
      <c r="B571" s="8"/>
      <c r="C571" s="9"/>
      <c r="D571" s="10"/>
      <c r="E571" s="11"/>
      <c r="F571" s="11"/>
      <c r="G571" s="8"/>
      <c r="H571" s="11"/>
      <c r="I571" s="12"/>
      <c r="J571" s="13" t="str">
        <f aca="false">IF(OR($A571="",$D571=""),"",IF($C571="",1,$C571)*$D571+N($E571)-N($F571))</f>
        <v/>
      </c>
      <c r="K571" s="13" t="str">
        <f aca="false">IF($J571="","",IF($R571&lt;&gt;"",$R571,IF($G571="",0,MAX(IFERROR(INDEX(Settings!$D$6:$D$15,MATCH($G571,Settings!$A$6:$A$15,0)),0),$J571*IFERROR(INDEX(Settings!$B$6:$B$15,MATCH($G571,Settings!$A$6:$A$15,0)),0)+IFERROR(INDEX(Settings!$C$6:$C$15,MATCH($G571,Settings!$A$6:$A$15,0)),0)))))</f>
        <v/>
      </c>
      <c r="L571" s="13" t="str">
        <f aca="false">IF($J571="","",IF($C571="",1,$C571)*IF($Q571&lt;&gt;"",$Q571,IFERROR(INDEX(Products!$D$5:$D$54,MATCH($B571,Products!$A$5:$A$54,0)),0)))</f>
        <v/>
      </c>
      <c r="M571" s="14" t="str">
        <f aca="false">IF($J571="","",$J571-$K571-N($H571)-$L571)</f>
        <v/>
      </c>
      <c r="N571" s="15" t="str">
        <f aca="false">IF($J571="","",IF($J571&gt;0,$M571/$J571,""))</f>
        <v/>
      </c>
      <c r="O571" s="12"/>
      <c r="P571" s="12"/>
      <c r="Q571" s="11"/>
      <c r="R571" s="11"/>
      <c r="S571" s="12"/>
      <c r="T571" s="16" t="str">
        <f aca="false">IF($J571="","",IF($C571="",1,$C571))</f>
        <v/>
      </c>
    </row>
    <row r="572" customFormat="false" ht="15" hidden="false" customHeight="false" outlineLevel="0" collapsed="false">
      <c r="A572" s="7"/>
      <c r="B572" s="8"/>
      <c r="C572" s="9"/>
      <c r="D572" s="10"/>
      <c r="E572" s="11"/>
      <c r="F572" s="11"/>
      <c r="G572" s="8"/>
      <c r="H572" s="11"/>
      <c r="I572" s="12"/>
      <c r="J572" s="13" t="str">
        <f aca="false">IF(OR($A572="",$D572=""),"",IF($C572="",1,$C572)*$D572+N($E572)-N($F572))</f>
        <v/>
      </c>
      <c r="K572" s="13" t="str">
        <f aca="false">IF($J572="","",IF($R572&lt;&gt;"",$R572,IF($G572="",0,MAX(IFERROR(INDEX(Settings!$D$6:$D$15,MATCH($G572,Settings!$A$6:$A$15,0)),0),$J572*IFERROR(INDEX(Settings!$B$6:$B$15,MATCH($G572,Settings!$A$6:$A$15,0)),0)+IFERROR(INDEX(Settings!$C$6:$C$15,MATCH($G572,Settings!$A$6:$A$15,0)),0)))))</f>
        <v/>
      </c>
      <c r="L572" s="13" t="str">
        <f aca="false">IF($J572="","",IF($C572="",1,$C572)*IF($Q572&lt;&gt;"",$Q572,IFERROR(INDEX(Products!$D$5:$D$54,MATCH($B572,Products!$A$5:$A$54,0)),0)))</f>
        <v/>
      </c>
      <c r="M572" s="14" t="str">
        <f aca="false">IF($J572="","",$J572-$K572-N($H572)-$L572)</f>
        <v/>
      </c>
      <c r="N572" s="15" t="str">
        <f aca="false">IF($J572="","",IF($J572&gt;0,$M572/$J572,""))</f>
        <v/>
      </c>
      <c r="O572" s="12"/>
      <c r="P572" s="12"/>
      <c r="Q572" s="11"/>
      <c r="R572" s="11"/>
      <c r="S572" s="12"/>
      <c r="T572" s="16" t="str">
        <f aca="false">IF($J572="","",IF($C572="",1,$C572))</f>
        <v/>
      </c>
    </row>
    <row r="573" customFormat="false" ht="15" hidden="false" customHeight="false" outlineLevel="0" collapsed="false">
      <c r="A573" s="7"/>
      <c r="B573" s="8"/>
      <c r="C573" s="9"/>
      <c r="D573" s="10"/>
      <c r="E573" s="11"/>
      <c r="F573" s="11"/>
      <c r="G573" s="8"/>
      <c r="H573" s="11"/>
      <c r="I573" s="12"/>
      <c r="J573" s="13" t="str">
        <f aca="false">IF(OR($A573="",$D573=""),"",IF($C573="",1,$C573)*$D573+N($E573)-N($F573))</f>
        <v/>
      </c>
      <c r="K573" s="13" t="str">
        <f aca="false">IF($J573="","",IF($R573&lt;&gt;"",$R573,IF($G573="",0,MAX(IFERROR(INDEX(Settings!$D$6:$D$15,MATCH($G573,Settings!$A$6:$A$15,0)),0),$J573*IFERROR(INDEX(Settings!$B$6:$B$15,MATCH($G573,Settings!$A$6:$A$15,0)),0)+IFERROR(INDEX(Settings!$C$6:$C$15,MATCH($G573,Settings!$A$6:$A$15,0)),0)))))</f>
        <v/>
      </c>
      <c r="L573" s="13" t="str">
        <f aca="false">IF($J573="","",IF($C573="",1,$C573)*IF($Q573&lt;&gt;"",$Q573,IFERROR(INDEX(Products!$D$5:$D$54,MATCH($B573,Products!$A$5:$A$54,0)),0)))</f>
        <v/>
      </c>
      <c r="M573" s="14" t="str">
        <f aca="false">IF($J573="","",$J573-$K573-N($H573)-$L573)</f>
        <v/>
      </c>
      <c r="N573" s="15" t="str">
        <f aca="false">IF($J573="","",IF($J573&gt;0,$M573/$J573,""))</f>
        <v/>
      </c>
      <c r="O573" s="12"/>
      <c r="P573" s="12"/>
      <c r="Q573" s="11"/>
      <c r="R573" s="11"/>
      <c r="S573" s="12"/>
      <c r="T573" s="16" t="str">
        <f aca="false">IF($J573="","",IF($C573="",1,$C573))</f>
        <v/>
      </c>
    </row>
    <row r="574" customFormat="false" ht="15" hidden="false" customHeight="false" outlineLevel="0" collapsed="false">
      <c r="A574" s="7"/>
      <c r="B574" s="8"/>
      <c r="C574" s="9"/>
      <c r="D574" s="10"/>
      <c r="E574" s="11"/>
      <c r="F574" s="11"/>
      <c r="G574" s="8"/>
      <c r="H574" s="11"/>
      <c r="I574" s="12"/>
      <c r="J574" s="13" t="str">
        <f aca="false">IF(OR($A574="",$D574=""),"",IF($C574="",1,$C574)*$D574+N($E574)-N($F574))</f>
        <v/>
      </c>
      <c r="K574" s="13" t="str">
        <f aca="false">IF($J574="","",IF($R574&lt;&gt;"",$R574,IF($G574="",0,MAX(IFERROR(INDEX(Settings!$D$6:$D$15,MATCH($G574,Settings!$A$6:$A$15,0)),0),$J574*IFERROR(INDEX(Settings!$B$6:$B$15,MATCH($G574,Settings!$A$6:$A$15,0)),0)+IFERROR(INDEX(Settings!$C$6:$C$15,MATCH($G574,Settings!$A$6:$A$15,0)),0)))))</f>
        <v/>
      </c>
      <c r="L574" s="13" t="str">
        <f aca="false">IF($J574="","",IF($C574="",1,$C574)*IF($Q574&lt;&gt;"",$Q574,IFERROR(INDEX(Products!$D$5:$D$54,MATCH($B574,Products!$A$5:$A$54,0)),0)))</f>
        <v/>
      </c>
      <c r="M574" s="14" t="str">
        <f aca="false">IF($J574="","",$J574-$K574-N($H574)-$L574)</f>
        <v/>
      </c>
      <c r="N574" s="15" t="str">
        <f aca="false">IF($J574="","",IF($J574&gt;0,$M574/$J574,""))</f>
        <v/>
      </c>
      <c r="O574" s="12"/>
      <c r="P574" s="12"/>
      <c r="Q574" s="11"/>
      <c r="R574" s="11"/>
      <c r="S574" s="12"/>
      <c r="T574" s="16" t="str">
        <f aca="false">IF($J574="","",IF($C574="",1,$C574))</f>
        <v/>
      </c>
    </row>
    <row r="575" customFormat="false" ht="15" hidden="false" customHeight="false" outlineLevel="0" collapsed="false">
      <c r="A575" s="7"/>
      <c r="B575" s="8"/>
      <c r="C575" s="9"/>
      <c r="D575" s="10"/>
      <c r="E575" s="11"/>
      <c r="F575" s="11"/>
      <c r="G575" s="8"/>
      <c r="H575" s="11"/>
      <c r="I575" s="12"/>
      <c r="J575" s="13" t="str">
        <f aca="false">IF(OR($A575="",$D575=""),"",IF($C575="",1,$C575)*$D575+N($E575)-N($F575))</f>
        <v/>
      </c>
      <c r="K575" s="13" t="str">
        <f aca="false">IF($J575="","",IF($R575&lt;&gt;"",$R575,IF($G575="",0,MAX(IFERROR(INDEX(Settings!$D$6:$D$15,MATCH($G575,Settings!$A$6:$A$15,0)),0),$J575*IFERROR(INDEX(Settings!$B$6:$B$15,MATCH($G575,Settings!$A$6:$A$15,0)),0)+IFERROR(INDEX(Settings!$C$6:$C$15,MATCH($G575,Settings!$A$6:$A$15,0)),0)))))</f>
        <v/>
      </c>
      <c r="L575" s="13" t="str">
        <f aca="false">IF($J575="","",IF($C575="",1,$C575)*IF($Q575&lt;&gt;"",$Q575,IFERROR(INDEX(Products!$D$5:$D$54,MATCH($B575,Products!$A$5:$A$54,0)),0)))</f>
        <v/>
      </c>
      <c r="M575" s="14" t="str">
        <f aca="false">IF($J575="","",$J575-$K575-N($H575)-$L575)</f>
        <v/>
      </c>
      <c r="N575" s="15" t="str">
        <f aca="false">IF($J575="","",IF($J575&gt;0,$M575/$J575,""))</f>
        <v/>
      </c>
      <c r="O575" s="12"/>
      <c r="P575" s="12"/>
      <c r="Q575" s="11"/>
      <c r="R575" s="11"/>
      <c r="S575" s="12"/>
      <c r="T575" s="16" t="str">
        <f aca="false">IF($J575="","",IF($C575="",1,$C575))</f>
        <v/>
      </c>
    </row>
    <row r="576" customFormat="false" ht="15" hidden="false" customHeight="false" outlineLevel="0" collapsed="false">
      <c r="A576" s="7"/>
      <c r="B576" s="8"/>
      <c r="C576" s="9"/>
      <c r="D576" s="10"/>
      <c r="E576" s="11"/>
      <c r="F576" s="11"/>
      <c r="G576" s="8"/>
      <c r="H576" s="11"/>
      <c r="I576" s="12"/>
      <c r="J576" s="13" t="str">
        <f aca="false">IF(OR($A576="",$D576=""),"",IF($C576="",1,$C576)*$D576+N($E576)-N($F576))</f>
        <v/>
      </c>
      <c r="K576" s="13" t="str">
        <f aca="false">IF($J576="","",IF($R576&lt;&gt;"",$R576,IF($G576="",0,MAX(IFERROR(INDEX(Settings!$D$6:$D$15,MATCH($G576,Settings!$A$6:$A$15,0)),0),$J576*IFERROR(INDEX(Settings!$B$6:$B$15,MATCH($G576,Settings!$A$6:$A$15,0)),0)+IFERROR(INDEX(Settings!$C$6:$C$15,MATCH($G576,Settings!$A$6:$A$15,0)),0)))))</f>
        <v/>
      </c>
      <c r="L576" s="13" t="str">
        <f aca="false">IF($J576="","",IF($C576="",1,$C576)*IF($Q576&lt;&gt;"",$Q576,IFERROR(INDEX(Products!$D$5:$D$54,MATCH($B576,Products!$A$5:$A$54,0)),0)))</f>
        <v/>
      </c>
      <c r="M576" s="14" t="str">
        <f aca="false">IF($J576="","",$J576-$K576-N($H576)-$L576)</f>
        <v/>
      </c>
      <c r="N576" s="15" t="str">
        <f aca="false">IF($J576="","",IF($J576&gt;0,$M576/$J576,""))</f>
        <v/>
      </c>
      <c r="O576" s="12"/>
      <c r="P576" s="12"/>
      <c r="Q576" s="11"/>
      <c r="R576" s="11"/>
      <c r="S576" s="12"/>
      <c r="T576" s="16" t="str">
        <f aca="false">IF($J576="","",IF($C576="",1,$C576))</f>
        <v/>
      </c>
    </row>
    <row r="577" customFormat="false" ht="15" hidden="false" customHeight="false" outlineLevel="0" collapsed="false">
      <c r="A577" s="7"/>
      <c r="B577" s="8"/>
      <c r="C577" s="9"/>
      <c r="D577" s="10"/>
      <c r="E577" s="11"/>
      <c r="F577" s="11"/>
      <c r="G577" s="8"/>
      <c r="H577" s="11"/>
      <c r="I577" s="12"/>
      <c r="J577" s="13" t="str">
        <f aca="false">IF(OR($A577="",$D577=""),"",IF($C577="",1,$C577)*$D577+N($E577)-N($F577))</f>
        <v/>
      </c>
      <c r="K577" s="13" t="str">
        <f aca="false">IF($J577="","",IF($R577&lt;&gt;"",$R577,IF($G577="",0,MAX(IFERROR(INDEX(Settings!$D$6:$D$15,MATCH($G577,Settings!$A$6:$A$15,0)),0),$J577*IFERROR(INDEX(Settings!$B$6:$B$15,MATCH($G577,Settings!$A$6:$A$15,0)),0)+IFERROR(INDEX(Settings!$C$6:$C$15,MATCH($G577,Settings!$A$6:$A$15,0)),0)))))</f>
        <v/>
      </c>
      <c r="L577" s="13" t="str">
        <f aca="false">IF($J577="","",IF($C577="",1,$C577)*IF($Q577&lt;&gt;"",$Q577,IFERROR(INDEX(Products!$D$5:$D$54,MATCH($B577,Products!$A$5:$A$54,0)),0)))</f>
        <v/>
      </c>
      <c r="M577" s="14" t="str">
        <f aca="false">IF($J577="","",$J577-$K577-N($H577)-$L577)</f>
        <v/>
      </c>
      <c r="N577" s="15" t="str">
        <f aca="false">IF($J577="","",IF($J577&gt;0,$M577/$J577,""))</f>
        <v/>
      </c>
      <c r="O577" s="12"/>
      <c r="P577" s="12"/>
      <c r="Q577" s="11"/>
      <c r="R577" s="11"/>
      <c r="S577" s="12"/>
      <c r="T577" s="16" t="str">
        <f aca="false">IF($J577="","",IF($C577="",1,$C577))</f>
        <v/>
      </c>
    </row>
    <row r="578" customFormat="false" ht="15" hidden="false" customHeight="false" outlineLevel="0" collapsed="false">
      <c r="A578" s="7"/>
      <c r="B578" s="8"/>
      <c r="C578" s="9"/>
      <c r="D578" s="10"/>
      <c r="E578" s="11"/>
      <c r="F578" s="11"/>
      <c r="G578" s="8"/>
      <c r="H578" s="11"/>
      <c r="I578" s="12"/>
      <c r="J578" s="13" t="str">
        <f aca="false">IF(OR($A578="",$D578=""),"",IF($C578="",1,$C578)*$D578+N($E578)-N($F578))</f>
        <v/>
      </c>
      <c r="K578" s="13" t="str">
        <f aca="false">IF($J578="","",IF($R578&lt;&gt;"",$R578,IF($G578="",0,MAX(IFERROR(INDEX(Settings!$D$6:$D$15,MATCH($G578,Settings!$A$6:$A$15,0)),0),$J578*IFERROR(INDEX(Settings!$B$6:$B$15,MATCH($G578,Settings!$A$6:$A$15,0)),0)+IFERROR(INDEX(Settings!$C$6:$C$15,MATCH($G578,Settings!$A$6:$A$15,0)),0)))))</f>
        <v/>
      </c>
      <c r="L578" s="13" t="str">
        <f aca="false">IF($J578="","",IF($C578="",1,$C578)*IF($Q578&lt;&gt;"",$Q578,IFERROR(INDEX(Products!$D$5:$D$54,MATCH($B578,Products!$A$5:$A$54,0)),0)))</f>
        <v/>
      </c>
      <c r="M578" s="14" t="str">
        <f aca="false">IF($J578="","",$J578-$K578-N($H578)-$L578)</f>
        <v/>
      </c>
      <c r="N578" s="15" t="str">
        <f aca="false">IF($J578="","",IF($J578&gt;0,$M578/$J578,""))</f>
        <v/>
      </c>
      <c r="O578" s="12"/>
      <c r="P578" s="12"/>
      <c r="Q578" s="11"/>
      <c r="R578" s="11"/>
      <c r="S578" s="12"/>
      <c r="T578" s="16" t="str">
        <f aca="false">IF($J578="","",IF($C578="",1,$C578))</f>
        <v/>
      </c>
    </row>
    <row r="579" customFormat="false" ht="15" hidden="false" customHeight="false" outlineLevel="0" collapsed="false">
      <c r="A579" s="7"/>
      <c r="B579" s="8"/>
      <c r="C579" s="9"/>
      <c r="D579" s="10"/>
      <c r="E579" s="11"/>
      <c r="F579" s="11"/>
      <c r="G579" s="8"/>
      <c r="H579" s="11"/>
      <c r="I579" s="12"/>
      <c r="J579" s="13" t="str">
        <f aca="false">IF(OR($A579="",$D579=""),"",IF($C579="",1,$C579)*$D579+N($E579)-N($F579))</f>
        <v/>
      </c>
      <c r="K579" s="13" t="str">
        <f aca="false">IF($J579="","",IF($R579&lt;&gt;"",$R579,IF($G579="",0,MAX(IFERROR(INDEX(Settings!$D$6:$D$15,MATCH($G579,Settings!$A$6:$A$15,0)),0),$J579*IFERROR(INDEX(Settings!$B$6:$B$15,MATCH($G579,Settings!$A$6:$A$15,0)),0)+IFERROR(INDEX(Settings!$C$6:$C$15,MATCH($G579,Settings!$A$6:$A$15,0)),0)))))</f>
        <v/>
      </c>
      <c r="L579" s="13" t="str">
        <f aca="false">IF($J579="","",IF($C579="",1,$C579)*IF($Q579&lt;&gt;"",$Q579,IFERROR(INDEX(Products!$D$5:$D$54,MATCH($B579,Products!$A$5:$A$54,0)),0)))</f>
        <v/>
      </c>
      <c r="M579" s="14" t="str">
        <f aca="false">IF($J579="","",$J579-$K579-N($H579)-$L579)</f>
        <v/>
      </c>
      <c r="N579" s="15" t="str">
        <f aca="false">IF($J579="","",IF($J579&gt;0,$M579/$J579,""))</f>
        <v/>
      </c>
      <c r="O579" s="12"/>
      <c r="P579" s="12"/>
      <c r="Q579" s="11"/>
      <c r="R579" s="11"/>
      <c r="S579" s="12"/>
      <c r="T579" s="16" t="str">
        <f aca="false">IF($J579="","",IF($C579="",1,$C579))</f>
        <v/>
      </c>
    </row>
    <row r="580" customFormat="false" ht="15" hidden="false" customHeight="false" outlineLevel="0" collapsed="false">
      <c r="A580" s="7"/>
      <c r="B580" s="8"/>
      <c r="C580" s="9"/>
      <c r="D580" s="10"/>
      <c r="E580" s="11"/>
      <c r="F580" s="11"/>
      <c r="G580" s="8"/>
      <c r="H580" s="11"/>
      <c r="I580" s="12"/>
      <c r="J580" s="13" t="str">
        <f aca="false">IF(OR($A580="",$D580=""),"",IF($C580="",1,$C580)*$D580+N($E580)-N($F580))</f>
        <v/>
      </c>
      <c r="K580" s="13" t="str">
        <f aca="false">IF($J580="","",IF($R580&lt;&gt;"",$R580,IF($G580="",0,MAX(IFERROR(INDEX(Settings!$D$6:$D$15,MATCH($G580,Settings!$A$6:$A$15,0)),0),$J580*IFERROR(INDEX(Settings!$B$6:$B$15,MATCH($G580,Settings!$A$6:$A$15,0)),0)+IFERROR(INDEX(Settings!$C$6:$C$15,MATCH($G580,Settings!$A$6:$A$15,0)),0)))))</f>
        <v/>
      </c>
      <c r="L580" s="13" t="str">
        <f aca="false">IF($J580="","",IF($C580="",1,$C580)*IF($Q580&lt;&gt;"",$Q580,IFERROR(INDEX(Products!$D$5:$D$54,MATCH($B580,Products!$A$5:$A$54,0)),0)))</f>
        <v/>
      </c>
      <c r="M580" s="14" t="str">
        <f aca="false">IF($J580="","",$J580-$K580-N($H580)-$L580)</f>
        <v/>
      </c>
      <c r="N580" s="15" t="str">
        <f aca="false">IF($J580="","",IF($J580&gt;0,$M580/$J580,""))</f>
        <v/>
      </c>
      <c r="O580" s="12"/>
      <c r="P580" s="12"/>
      <c r="Q580" s="11"/>
      <c r="R580" s="11"/>
      <c r="S580" s="12"/>
      <c r="T580" s="16" t="str">
        <f aca="false">IF($J580="","",IF($C580="",1,$C580))</f>
        <v/>
      </c>
    </row>
    <row r="581" customFormat="false" ht="15" hidden="false" customHeight="false" outlineLevel="0" collapsed="false">
      <c r="A581" s="7"/>
      <c r="B581" s="8"/>
      <c r="C581" s="9"/>
      <c r="D581" s="10"/>
      <c r="E581" s="11"/>
      <c r="F581" s="11"/>
      <c r="G581" s="8"/>
      <c r="H581" s="11"/>
      <c r="I581" s="12"/>
      <c r="J581" s="13" t="str">
        <f aca="false">IF(OR($A581="",$D581=""),"",IF($C581="",1,$C581)*$D581+N($E581)-N($F581))</f>
        <v/>
      </c>
      <c r="K581" s="13" t="str">
        <f aca="false">IF($J581="","",IF($R581&lt;&gt;"",$R581,IF($G581="",0,MAX(IFERROR(INDEX(Settings!$D$6:$D$15,MATCH($G581,Settings!$A$6:$A$15,0)),0),$J581*IFERROR(INDEX(Settings!$B$6:$B$15,MATCH($G581,Settings!$A$6:$A$15,0)),0)+IFERROR(INDEX(Settings!$C$6:$C$15,MATCH($G581,Settings!$A$6:$A$15,0)),0)))))</f>
        <v/>
      </c>
      <c r="L581" s="13" t="str">
        <f aca="false">IF($J581="","",IF($C581="",1,$C581)*IF($Q581&lt;&gt;"",$Q581,IFERROR(INDEX(Products!$D$5:$D$54,MATCH($B581,Products!$A$5:$A$54,0)),0)))</f>
        <v/>
      </c>
      <c r="M581" s="14" t="str">
        <f aca="false">IF($J581="","",$J581-$K581-N($H581)-$L581)</f>
        <v/>
      </c>
      <c r="N581" s="15" t="str">
        <f aca="false">IF($J581="","",IF($J581&gt;0,$M581/$J581,""))</f>
        <v/>
      </c>
      <c r="O581" s="12"/>
      <c r="P581" s="12"/>
      <c r="Q581" s="11"/>
      <c r="R581" s="11"/>
      <c r="S581" s="12"/>
      <c r="T581" s="16" t="str">
        <f aca="false">IF($J581="","",IF($C581="",1,$C581))</f>
        <v/>
      </c>
    </row>
    <row r="582" customFormat="false" ht="15" hidden="false" customHeight="false" outlineLevel="0" collapsed="false">
      <c r="A582" s="7"/>
      <c r="B582" s="8"/>
      <c r="C582" s="9"/>
      <c r="D582" s="10"/>
      <c r="E582" s="11"/>
      <c r="F582" s="11"/>
      <c r="G582" s="8"/>
      <c r="H582" s="11"/>
      <c r="I582" s="12"/>
      <c r="J582" s="13" t="str">
        <f aca="false">IF(OR($A582="",$D582=""),"",IF($C582="",1,$C582)*$D582+N($E582)-N($F582))</f>
        <v/>
      </c>
      <c r="K582" s="13" t="str">
        <f aca="false">IF($J582="","",IF($R582&lt;&gt;"",$R582,IF($G582="",0,MAX(IFERROR(INDEX(Settings!$D$6:$D$15,MATCH($G582,Settings!$A$6:$A$15,0)),0),$J582*IFERROR(INDEX(Settings!$B$6:$B$15,MATCH($G582,Settings!$A$6:$A$15,0)),0)+IFERROR(INDEX(Settings!$C$6:$C$15,MATCH($G582,Settings!$A$6:$A$15,0)),0)))))</f>
        <v/>
      </c>
      <c r="L582" s="13" t="str">
        <f aca="false">IF($J582="","",IF($C582="",1,$C582)*IF($Q582&lt;&gt;"",$Q582,IFERROR(INDEX(Products!$D$5:$D$54,MATCH($B582,Products!$A$5:$A$54,0)),0)))</f>
        <v/>
      </c>
      <c r="M582" s="14" t="str">
        <f aca="false">IF($J582="","",$J582-$K582-N($H582)-$L582)</f>
        <v/>
      </c>
      <c r="N582" s="15" t="str">
        <f aca="false">IF($J582="","",IF($J582&gt;0,$M582/$J582,""))</f>
        <v/>
      </c>
      <c r="O582" s="12"/>
      <c r="P582" s="12"/>
      <c r="Q582" s="11"/>
      <c r="R582" s="11"/>
      <c r="S582" s="12"/>
      <c r="T582" s="16" t="str">
        <f aca="false">IF($J582="","",IF($C582="",1,$C582))</f>
        <v/>
      </c>
    </row>
    <row r="583" customFormat="false" ht="15" hidden="false" customHeight="false" outlineLevel="0" collapsed="false">
      <c r="A583" s="7"/>
      <c r="B583" s="8"/>
      <c r="C583" s="9"/>
      <c r="D583" s="10"/>
      <c r="E583" s="11"/>
      <c r="F583" s="11"/>
      <c r="G583" s="8"/>
      <c r="H583" s="11"/>
      <c r="I583" s="12"/>
      <c r="J583" s="13" t="str">
        <f aca="false">IF(OR($A583="",$D583=""),"",IF($C583="",1,$C583)*$D583+N($E583)-N($F583))</f>
        <v/>
      </c>
      <c r="K583" s="13" t="str">
        <f aca="false">IF($J583="","",IF($R583&lt;&gt;"",$R583,IF($G583="",0,MAX(IFERROR(INDEX(Settings!$D$6:$D$15,MATCH($G583,Settings!$A$6:$A$15,0)),0),$J583*IFERROR(INDEX(Settings!$B$6:$B$15,MATCH($G583,Settings!$A$6:$A$15,0)),0)+IFERROR(INDEX(Settings!$C$6:$C$15,MATCH($G583,Settings!$A$6:$A$15,0)),0)))))</f>
        <v/>
      </c>
      <c r="L583" s="13" t="str">
        <f aca="false">IF($J583="","",IF($C583="",1,$C583)*IF($Q583&lt;&gt;"",$Q583,IFERROR(INDEX(Products!$D$5:$D$54,MATCH($B583,Products!$A$5:$A$54,0)),0)))</f>
        <v/>
      </c>
      <c r="M583" s="14" t="str">
        <f aca="false">IF($J583="","",$J583-$K583-N($H583)-$L583)</f>
        <v/>
      </c>
      <c r="N583" s="15" t="str">
        <f aca="false">IF($J583="","",IF($J583&gt;0,$M583/$J583,""))</f>
        <v/>
      </c>
      <c r="O583" s="12"/>
      <c r="P583" s="12"/>
      <c r="Q583" s="11"/>
      <c r="R583" s="11"/>
      <c r="S583" s="12"/>
      <c r="T583" s="16" t="str">
        <f aca="false">IF($J583="","",IF($C583="",1,$C583))</f>
        <v/>
      </c>
    </row>
    <row r="584" customFormat="false" ht="15" hidden="false" customHeight="false" outlineLevel="0" collapsed="false">
      <c r="A584" s="7"/>
      <c r="B584" s="8"/>
      <c r="C584" s="9"/>
      <c r="D584" s="10"/>
      <c r="E584" s="11"/>
      <c r="F584" s="11"/>
      <c r="G584" s="8"/>
      <c r="H584" s="11"/>
      <c r="I584" s="12"/>
      <c r="J584" s="13" t="str">
        <f aca="false">IF(OR($A584="",$D584=""),"",IF($C584="",1,$C584)*$D584+N($E584)-N($F584))</f>
        <v/>
      </c>
      <c r="K584" s="13" t="str">
        <f aca="false">IF($J584="","",IF($R584&lt;&gt;"",$R584,IF($G584="",0,MAX(IFERROR(INDEX(Settings!$D$6:$D$15,MATCH($G584,Settings!$A$6:$A$15,0)),0),$J584*IFERROR(INDEX(Settings!$B$6:$B$15,MATCH($G584,Settings!$A$6:$A$15,0)),0)+IFERROR(INDEX(Settings!$C$6:$C$15,MATCH($G584,Settings!$A$6:$A$15,0)),0)))))</f>
        <v/>
      </c>
      <c r="L584" s="13" t="str">
        <f aca="false">IF($J584="","",IF($C584="",1,$C584)*IF($Q584&lt;&gt;"",$Q584,IFERROR(INDEX(Products!$D$5:$D$54,MATCH($B584,Products!$A$5:$A$54,0)),0)))</f>
        <v/>
      </c>
      <c r="M584" s="14" t="str">
        <f aca="false">IF($J584="","",$J584-$K584-N($H584)-$L584)</f>
        <v/>
      </c>
      <c r="N584" s="15" t="str">
        <f aca="false">IF($J584="","",IF($J584&gt;0,$M584/$J584,""))</f>
        <v/>
      </c>
      <c r="O584" s="12"/>
      <c r="P584" s="12"/>
      <c r="Q584" s="11"/>
      <c r="R584" s="11"/>
      <c r="S584" s="12"/>
      <c r="T584" s="16" t="str">
        <f aca="false">IF($J584="","",IF($C584="",1,$C584))</f>
        <v/>
      </c>
    </row>
    <row r="585" customFormat="false" ht="15" hidden="false" customHeight="false" outlineLevel="0" collapsed="false">
      <c r="A585" s="7"/>
      <c r="B585" s="8"/>
      <c r="C585" s="9"/>
      <c r="D585" s="10"/>
      <c r="E585" s="11"/>
      <c r="F585" s="11"/>
      <c r="G585" s="8"/>
      <c r="H585" s="11"/>
      <c r="I585" s="12"/>
      <c r="J585" s="13" t="str">
        <f aca="false">IF(OR($A585="",$D585=""),"",IF($C585="",1,$C585)*$D585+N($E585)-N($F585))</f>
        <v/>
      </c>
      <c r="K585" s="13" t="str">
        <f aca="false">IF($J585="","",IF($R585&lt;&gt;"",$R585,IF($G585="",0,MAX(IFERROR(INDEX(Settings!$D$6:$D$15,MATCH($G585,Settings!$A$6:$A$15,0)),0),$J585*IFERROR(INDEX(Settings!$B$6:$B$15,MATCH($G585,Settings!$A$6:$A$15,0)),0)+IFERROR(INDEX(Settings!$C$6:$C$15,MATCH($G585,Settings!$A$6:$A$15,0)),0)))))</f>
        <v/>
      </c>
      <c r="L585" s="13" t="str">
        <f aca="false">IF($J585="","",IF($C585="",1,$C585)*IF($Q585&lt;&gt;"",$Q585,IFERROR(INDEX(Products!$D$5:$D$54,MATCH($B585,Products!$A$5:$A$54,0)),0)))</f>
        <v/>
      </c>
      <c r="M585" s="14" t="str">
        <f aca="false">IF($J585="","",$J585-$K585-N($H585)-$L585)</f>
        <v/>
      </c>
      <c r="N585" s="15" t="str">
        <f aca="false">IF($J585="","",IF($J585&gt;0,$M585/$J585,""))</f>
        <v/>
      </c>
      <c r="O585" s="12"/>
      <c r="P585" s="12"/>
      <c r="Q585" s="11"/>
      <c r="R585" s="11"/>
      <c r="S585" s="12"/>
      <c r="T585" s="16" t="str">
        <f aca="false">IF($J585="","",IF($C585="",1,$C585))</f>
        <v/>
      </c>
    </row>
    <row r="586" customFormat="false" ht="15" hidden="false" customHeight="false" outlineLevel="0" collapsed="false">
      <c r="A586" s="7"/>
      <c r="B586" s="8"/>
      <c r="C586" s="9"/>
      <c r="D586" s="10"/>
      <c r="E586" s="11"/>
      <c r="F586" s="11"/>
      <c r="G586" s="8"/>
      <c r="H586" s="11"/>
      <c r="I586" s="12"/>
      <c r="J586" s="13" t="str">
        <f aca="false">IF(OR($A586="",$D586=""),"",IF($C586="",1,$C586)*$D586+N($E586)-N($F586))</f>
        <v/>
      </c>
      <c r="K586" s="13" t="str">
        <f aca="false">IF($J586="","",IF($R586&lt;&gt;"",$R586,IF($G586="",0,MAX(IFERROR(INDEX(Settings!$D$6:$D$15,MATCH($G586,Settings!$A$6:$A$15,0)),0),$J586*IFERROR(INDEX(Settings!$B$6:$B$15,MATCH($G586,Settings!$A$6:$A$15,0)),0)+IFERROR(INDEX(Settings!$C$6:$C$15,MATCH($G586,Settings!$A$6:$A$15,0)),0)))))</f>
        <v/>
      </c>
      <c r="L586" s="13" t="str">
        <f aca="false">IF($J586="","",IF($C586="",1,$C586)*IF($Q586&lt;&gt;"",$Q586,IFERROR(INDEX(Products!$D$5:$D$54,MATCH($B586,Products!$A$5:$A$54,0)),0)))</f>
        <v/>
      </c>
      <c r="M586" s="14" t="str">
        <f aca="false">IF($J586="","",$J586-$K586-N($H586)-$L586)</f>
        <v/>
      </c>
      <c r="N586" s="15" t="str">
        <f aca="false">IF($J586="","",IF($J586&gt;0,$M586/$J586,""))</f>
        <v/>
      </c>
      <c r="O586" s="12"/>
      <c r="P586" s="12"/>
      <c r="Q586" s="11"/>
      <c r="R586" s="11"/>
      <c r="S586" s="12"/>
      <c r="T586" s="16" t="str">
        <f aca="false">IF($J586="","",IF($C586="",1,$C586))</f>
        <v/>
      </c>
    </row>
    <row r="587" customFormat="false" ht="15" hidden="false" customHeight="false" outlineLevel="0" collapsed="false">
      <c r="A587" s="7"/>
      <c r="B587" s="8"/>
      <c r="C587" s="9"/>
      <c r="D587" s="10"/>
      <c r="E587" s="11"/>
      <c r="F587" s="11"/>
      <c r="G587" s="8"/>
      <c r="H587" s="11"/>
      <c r="I587" s="12"/>
      <c r="J587" s="13" t="str">
        <f aca="false">IF(OR($A587="",$D587=""),"",IF($C587="",1,$C587)*$D587+N($E587)-N($F587))</f>
        <v/>
      </c>
      <c r="K587" s="13" t="str">
        <f aca="false">IF($J587="","",IF($R587&lt;&gt;"",$R587,IF($G587="",0,MAX(IFERROR(INDEX(Settings!$D$6:$D$15,MATCH($G587,Settings!$A$6:$A$15,0)),0),$J587*IFERROR(INDEX(Settings!$B$6:$B$15,MATCH($G587,Settings!$A$6:$A$15,0)),0)+IFERROR(INDEX(Settings!$C$6:$C$15,MATCH($G587,Settings!$A$6:$A$15,0)),0)))))</f>
        <v/>
      </c>
      <c r="L587" s="13" t="str">
        <f aca="false">IF($J587="","",IF($C587="",1,$C587)*IF($Q587&lt;&gt;"",$Q587,IFERROR(INDEX(Products!$D$5:$D$54,MATCH($B587,Products!$A$5:$A$54,0)),0)))</f>
        <v/>
      </c>
      <c r="M587" s="14" t="str">
        <f aca="false">IF($J587="","",$J587-$K587-N($H587)-$L587)</f>
        <v/>
      </c>
      <c r="N587" s="15" t="str">
        <f aca="false">IF($J587="","",IF($J587&gt;0,$M587/$J587,""))</f>
        <v/>
      </c>
      <c r="O587" s="12"/>
      <c r="P587" s="12"/>
      <c r="Q587" s="11"/>
      <c r="R587" s="11"/>
      <c r="S587" s="12"/>
      <c r="T587" s="16" t="str">
        <f aca="false">IF($J587="","",IF($C587="",1,$C587))</f>
        <v/>
      </c>
    </row>
    <row r="588" customFormat="false" ht="15" hidden="false" customHeight="false" outlineLevel="0" collapsed="false">
      <c r="A588" s="7"/>
      <c r="B588" s="8"/>
      <c r="C588" s="9"/>
      <c r="D588" s="10"/>
      <c r="E588" s="11"/>
      <c r="F588" s="11"/>
      <c r="G588" s="8"/>
      <c r="H588" s="11"/>
      <c r="I588" s="12"/>
      <c r="J588" s="13" t="str">
        <f aca="false">IF(OR($A588="",$D588=""),"",IF($C588="",1,$C588)*$D588+N($E588)-N($F588))</f>
        <v/>
      </c>
      <c r="K588" s="13" t="str">
        <f aca="false">IF($J588="","",IF($R588&lt;&gt;"",$R588,IF($G588="",0,MAX(IFERROR(INDEX(Settings!$D$6:$D$15,MATCH($G588,Settings!$A$6:$A$15,0)),0),$J588*IFERROR(INDEX(Settings!$B$6:$B$15,MATCH($G588,Settings!$A$6:$A$15,0)),0)+IFERROR(INDEX(Settings!$C$6:$C$15,MATCH($G588,Settings!$A$6:$A$15,0)),0)))))</f>
        <v/>
      </c>
      <c r="L588" s="13" t="str">
        <f aca="false">IF($J588="","",IF($C588="",1,$C588)*IF($Q588&lt;&gt;"",$Q588,IFERROR(INDEX(Products!$D$5:$D$54,MATCH($B588,Products!$A$5:$A$54,0)),0)))</f>
        <v/>
      </c>
      <c r="M588" s="14" t="str">
        <f aca="false">IF($J588="","",$J588-$K588-N($H588)-$L588)</f>
        <v/>
      </c>
      <c r="N588" s="15" t="str">
        <f aca="false">IF($J588="","",IF($J588&gt;0,$M588/$J588,""))</f>
        <v/>
      </c>
      <c r="O588" s="12"/>
      <c r="P588" s="12"/>
      <c r="Q588" s="11"/>
      <c r="R588" s="11"/>
      <c r="S588" s="12"/>
      <c r="T588" s="16" t="str">
        <f aca="false">IF($J588="","",IF($C588="",1,$C588))</f>
        <v/>
      </c>
    </row>
    <row r="589" customFormat="false" ht="15" hidden="false" customHeight="false" outlineLevel="0" collapsed="false">
      <c r="A589" s="7"/>
      <c r="B589" s="8"/>
      <c r="C589" s="9"/>
      <c r="D589" s="10"/>
      <c r="E589" s="11"/>
      <c r="F589" s="11"/>
      <c r="G589" s="8"/>
      <c r="H589" s="11"/>
      <c r="I589" s="12"/>
      <c r="J589" s="13" t="str">
        <f aca="false">IF(OR($A589="",$D589=""),"",IF($C589="",1,$C589)*$D589+N($E589)-N($F589))</f>
        <v/>
      </c>
      <c r="K589" s="13" t="str">
        <f aca="false">IF($J589="","",IF($R589&lt;&gt;"",$R589,IF($G589="",0,MAX(IFERROR(INDEX(Settings!$D$6:$D$15,MATCH($G589,Settings!$A$6:$A$15,0)),0),$J589*IFERROR(INDEX(Settings!$B$6:$B$15,MATCH($G589,Settings!$A$6:$A$15,0)),0)+IFERROR(INDEX(Settings!$C$6:$C$15,MATCH($G589,Settings!$A$6:$A$15,0)),0)))))</f>
        <v/>
      </c>
      <c r="L589" s="13" t="str">
        <f aca="false">IF($J589="","",IF($C589="",1,$C589)*IF($Q589&lt;&gt;"",$Q589,IFERROR(INDEX(Products!$D$5:$D$54,MATCH($B589,Products!$A$5:$A$54,0)),0)))</f>
        <v/>
      </c>
      <c r="M589" s="14" t="str">
        <f aca="false">IF($J589="","",$J589-$K589-N($H589)-$L589)</f>
        <v/>
      </c>
      <c r="N589" s="15" t="str">
        <f aca="false">IF($J589="","",IF($J589&gt;0,$M589/$J589,""))</f>
        <v/>
      </c>
      <c r="O589" s="12"/>
      <c r="P589" s="12"/>
      <c r="Q589" s="11"/>
      <c r="R589" s="11"/>
      <c r="S589" s="12"/>
      <c r="T589" s="16" t="str">
        <f aca="false">IF($J589="","",IF($C589="",1,$C589))</f>
        <v/>
      </c>
    </row>
    <row r="590" customFormat="false" ht="15" hidden="false" customHeight="false" outlineLevel="0" collapsed="false">
      <c r="A590" s="7"/>
      <c r="B590" s="8"/>
      <c r="C590" s="9"/>
      <c r="D590" s="10"/>
      <c r="E590" s="11"/>
      <c r="F590" s="11"/>
      <c r="G590" s="8"/>
      <c r="H590" s="11"/>
      <c r="I590" s="12"/>
      <c r="J590" s="13" t="str">
        <f aca="false">IF(OR($A590="",$D590=""),"",IF($C590="",1,$C590)*$D590+N($E590)-N($F590))</f>
        <v/>
      </c>
      <c r="K590" s="13" t="str">
        <f aca="false">IF($J590="","",IF($R590&lt;&gt;"",$R590,IF($G590="",0,MAX(IFERROR(INDEX(Settings!$D$6:$D$15,MATCH($G590,Settings!$A$6:$A$15,0)),0),$J590*IFERROR(INDEX(Settings!$B$6:$B$15,MATCH($G590,Settings!$A$6:$A$15,0)),0)+IFERROR(INDEX(Settings!$C$6:$C$15,MATCH($G590,Settings!$A$6:$A$15,0)),0)))))</f>
        <v/>
      </c>
      <c r="L590" s="13" t="str">
        <f aca="false">IF($J590="","",IF($C590="",1,$C590)*IF($Q590&lt;&gt;"",$Q590,IFERROR(INDEX(Products!$D$5:$D$54,MATCH($B590,Products!$A$5:$A$54,0)),0)))</f>
        <v/>
      </c>
      <c r="M590" s="14" t="str">
        <f aca="false">IF($J590="","",$J590-$K590-N($H590)-$L590)</f>
        <v/>
      </c>
      <c r="N590" s="15" t="str">
        <f aca="false">IF($J590="","",IF($J590&gt;0,$M590/$J590,""))</f>
        <v/>
      </c>
      <c r="O590" s="12"/>
      <c r="P590" s="12"/>
      <c r="Q590" s="11"/>
      <c r="R590" s="11"/>
      <c r="S590" s="12"/>
      <c r="T590" s="16" t="str">
        <f aca="false">IF($J590="","",IF($C590="",1,$C590))</f>
        <v/>
      </c>
    </row>
    <row r="591" customFormat="false" ht="15" hidden="false" customHeight="false" outlineLevel="0" collapsed="false">
      <c r="A591" s="7"/>
      <c r="B591" s="8"/>
      <c r="C591" s="9"/>
      <c r="D591" s="10"/>
      <c r="E591" s="11"/>
      <c r="F591" s="11"/>
      <c r="G591" s="8"/>
      <c r="H591" s="11"/>
      <c r="I591" s="12"/>
      <c r="J591" s="13" t="str">
        <f aca="false">IF(OR($A591="",$D591=""),"",IF($C591="",1,$C591)*$D591+N($E591)-N($F591))</f>
        <v/>
      </c>
      <c r="K591" s="13" t="str">
        <f aca="false">IF($J591="","",IF($R591&lt;&gt;"",$R591,IF($G591="",0,MAX(IFERROR(INDEX(Settings!$D$6:$D$15,MATCH($G591,Settings!$A$6:$A$15,0)),0),$J591*IFERROR(INDEX(Settings!$B$6:$B$15,MATCH($G591,Settings!$A$6:$A$15,0)),0)+IFERROR(INDEX(Settings!$C$6:$C$15,MATCH($G591,Settings!$A$6:$A$15,0)),0)))))</f>
        <v/>
      </c>
      <c r="L591" s="13" t="str">
        <f aca="false">IF($J591="","",IF($C591="",1,$C591)*IF($Q591&lt;&gt;"",$Q591,IFERROR(INDEX(Products!$D$5:$D$54,MATCH($B591,Products!$A$5:$A$54,0)),0)))</f>
        <v/>
      </c>
      <c r="M591" s="14" t="str">
        <f aca="false">IF($J591="","",$J591-$K591-N($H591)-$L591)</f>
        <v/>
      </c>
      <c r="N591" s="15" t="str">
        <f aca="false">IF($J591="","",IF($J591&gt;0,$M591/$J591,""))</f>
        <v/>
      </c>
      <c r="O591" s="12"/>
      <c r="P591" s="12"/>
      <c r="Q591" s="11"/>
      <c r="R591" s="11"/>
      <c r="S591" s="12"/>
      <c r="T591" s="16" t="str">
        <f aca="false">IF($J591="","",IF($C591="",1,$C591))</f>
        <v/>
      </c>
    </row>
    <row r="592" customFormat="false" ht="15" hidden="false" customHeight="false" outlineLevel="0" collapsed="false">
      <c r="A592" s="7"/>
      <c r="B592" s="8"/>
      <c r="C592" s="9"/>
      <c r="D592" s="10"/>
      <c r="E592" s="11"/>
      <c r="F592" s="11"/>
      <c r="G592" s="8"/>
      <c r="H592" s="11"/>
      <c r="I592" s="12"/>
      <c r="J592" s="13" t="str">
        <f aca="false">IF(OR($A592="",$D592=""),"",IF($C592="",1,$C592)*$D592+N($E592)-N($F592))</f>
        <v/>
      </c>
      <c r="K592" s="13" t="str">
        <f aca="false">IF($J592="","",IF($R592&lt;&gt;"",$R592,IF($G592="",0,MAX(IFERROR(INDEX(Settings!$D$6:$D$15,MATCH($G592,Settings!$A$6:$A$15,0)),0),$J592*IFERROR(INDEX(Settings!$B$6:$B$15,MATCH($G592,Settings!$A$6:$A$15,0)),0)+IFERROR(INDEX(Settings!$C$6:$C$15,MATCH($G592,Settings!$A$6:$A$15,0)),0)))))</f>
        <v/>
      </c>
      <c r="L592" s="13" t="str">
        <f aca="false">IF($J592="","",IF($C592="",1,$C592)*IF($Q592&lt;&gt;"",$Q592,IFERROR(INDEX(Products!$D$5:$D$54,MATCH($B592,Products!$A$5:$A$54,0)),0)))</f>
        <v/>
      </c>
      <c r="M592" s="14" t="str">
        <f aca="false">IF($J592="","",$J592-$K592-N($H592)-$L592)</f>
        <v/>
      </c>
      <c r="N592" s="15" t="str">
        <f aca="false">IF($J592="","",IF($J592&gt;0,$M592/$J592,""))</f>
        <v/>
      </c>
      <c r="O592" s="12"/>
      <c r="P592" s="12"/>
      <c r="Q592" s="11"/>
      <c r="R592" s="11"/>
      <c r="S592" s="12"/>
      <c r="T592" s="16" t="str">
        <f aca="false">IF($J592="","",IF($C592="",1,$C592))</f>
        <v/>
      </c>
    </row>
    <row r="593" customFormat="false" ht="15" hidden="false" customHeight="false" outlineLevel="0" collapsed="false">
      <c r="A593" s="7"/>
      <c r="B593" s="8"/>
      <c r="C593" s="9"/>
      <c r="D593" s="10"/>
      <c r="E593" s="11"/>
      <c r="F593" s="11"/>
      <c r="G593" s="8"/>
      <c r="H593" s="11"/>
      <c r="I593" s="12"/>
      <c r="J593" s="13" t="str">
        <f aca="false">IF(OR($A593="",$D593=""),"",IF($C593="",1,$C593)*$D593+N($E593)-N($F593))</f>
        <v/>
      </c>
      <c r="K593" s="13" t="str">
        <f aca="false">IF($J593="","",IF($R593&lt;&gt;"",$R593,IF($G593="",0,MAX(IFERROR(INDEX(Settings!$D$6:$D$15,MATCH($G593,Settings!$A$6:$A$15,0)),0),$J593*IFERROR(INDEX(Settings!$B$6:$B$15,MATCH($G593,Settings!$A$6:$A$15,0)),0)+IFERROR(INDEX(Settings!$C$6:$C$15,MATCH($G593,Settings!$A$6:$A$15,0)),0)))))</f>
        <v/>
      </c>
      <c r="L593" s="13" t="str">
        <f aca="false">IF($J593="","",IF($C593="",1,$C593)*IF($Q593&lt;&gt;"",$Q593,IFERROR(INDEX(Products!$D$5:$D$54,MATCH($B593,Products!$A$5:$A$54,0)),0)))</f>
        <v/>
      </c>
      <c r="M593" s="14" t="str">
        <f aca="false">IF($J593="","",$J593-$K593-N($H593)-$L593)</f>
        <v/>
      </c>
      <c r="N593" s="15" t="str">
        <f aca="false">IF($J593="","",IF($J593&gt;0,$M593/$J593,""))</f>
        <v/>
      </c>
      <c r="O593" s="12"/>
      <c r="P593" s="12"/>
      <c r="Q593" s="11"/>
      <c r="R593" s="11"/>
      <c r="S593" s="12"/>
      <c r="T593" s="16" t="str">
        <f aca="false">IF($J593="","",IF($C593="",1,$C593))</f>
        <v/>
      </c>
    </row>
    <row r="594" customFormat="false" ht="15" hidden="false" customHeight="false" outlineLevel="0" collapsed="false">
      <c r="A594" s="7"/>
      <c r="B594" s="8"/>
      <c r="C594" s="9"/>
      <c r="D594" s="10"/>
      <c r="E594" s="11"/>
      <c r="F594" s="11"/>
      <c r="G594" s="8"/>
      <c r="H594" s="11"/>
      <c r="I594" s="12"/>
      <c r="J594" s="13" t="str">
        <f aca="false">IF(OR($A594="",$D594=""),"",IF($C594="",1,$C594)*$D594+N($E594)-N($F594))</f>
        <v/>
      </c>
      <c r="K594" s="13" t="str">
        <f aca="false">IF($J594="","",IF($R594&lt;&gt;"",$R594,IF($G594="",0,MAX(IFERROR(INDEX(Settings!$D$6:$D$15,MATCH($G594,Settings!$A$6:$A$15,0)),0),$J594*IFERROR(INDEX(Settings!$B$6:$B$15,MATCH($G594,Settings!$A$6:$A$15,0)),0)+IFERROR(INDEX(Settings!$C$6:$C$15,MATCH($G594,Settings!$A$6:$A$15,0)),0)))))</f>
        <v/>
      </c>
      <c r="L594" s="13" t="str">
        <f aca="false">IF($J594="","",IF($C594="",1,$C594)*IF($Q594&lt;&gt;"",$Q594,IFERROR(INDEX(Products!$D$5:$D$54,MATCH($B594,Products!$A$5:$A$54,0)),0)))</f>
        <v/>
      </c>
      <c r="M594" s="14" t="str">
        <f aca="false">IF($J594="","",$J594-$K594-N($H594)-$L594)</f>
        <v/>
      </c>
      <c r="N594" s="15" t="str">
        <f aca="false">IF($J594="","",IF($J594&gt;0,$M594/$J594,""))</f>
        <v/>
      </c>
      <c r="O594" s="12"/>
      <c r="P594" s="12"/>
      <c r="Q594" s="11"/>
      <c r="R594" s="11"/>
      <c r="S594" s="12"/>
      <c r="T594" s="16" t="str">
        <f aca="false">IF($J594="","",IF($C594="",1,$C594))</f>
        <v/>
      </c>
    </row>
    <row r="595" customFormat="false" ht="15" hidden="false" customHeight="false" outlineLevel="0" collapsed="false">
      <c r="A595" s="7"/>
      <c r="B595" s="8"/>
      <c r="C595" s="9"/>
      <c r="D595" s="10"/>
      <c r="E595" s="11"/>
      <c r="F595" s="11"/>
      <c r="G595" s="8"/>
      <c r="H595" s="11"/>
      <c r="I595" s="12"/>
      <c r="J595" s="13" t="str">
        <f aca="false">IF(OR($A595="",$D595=""),"",IF($C595="",1,$C595)*$D595+N($E595)-N($F595))</f>
        <v/>
      </c>
      <c r="K595" s="13" t="str">
        <f aca="false">IF($J595="","",IF($R595&lt;&gt;"",$R595,IF($G595="",0,MAX(IFERROR(INDEX(Settings!$D$6:$D$15,MATCH($G595,Settings!$A$6:$A$15,0)),0),$J595*IFERROR(INDEX(Settings!$B$6:$B$15,MATCH($G595,Settings!$A$6:$A$15,0)),0)+IFERROR(INDEX(Settings!$C$6:$C$15,MATCH($G595,Settings!$A$6:$A$15,0)),0)))))</f>
        <v/>
      </c>
      <c r="L595" s="13" t="str">
        <f aca="false">IF($J595="","",IF($C595="",1,$C595)*IF($Q595&lt;&gt;"",$Q595,IFERROR(INDEX(Products!$D$5:$D$54,MATCH($B595,Products!$A$5:$A$54,0)),0)))</f>
        <v/>
      </c>
      <c r="M595" s="14" t="str">
        <f aca="false">IF($J595="","",$J595-$K595-N($H595)-$L595)</f>
        <v/>
      </c>
      <c r="N595" s="15" t="str">
        <f aca="false">IF($J595="","",IF($J595&gt;0,$M595/$J595,""))</f>
        <v/>
      </c>
      <c r="O595" s="12"/>
      <c r="P595" s="12"/>
      <c r="Q595" s="11"/>
      <c r="R595" s="11"/>
      <c r="S595" s="12"/>
      <c r="T595" s="16" t="str">
        <f aca="false">IF($J595="","",IF($C595="",1,$C595))</f>
        <v/>
      </c>
    </row>
    <row r="596" customFormat="false" ht="15" hidden="false" customHeight="false" outlineLevel="0" collapsed="false">
      <c r="A596" s="7"/>
      <c r="B596" s="8"/>
      <c r="C596" s="9"/>
      <c r="D596" s="10"/>
      <c r="E596" s="11"/>
      <c r="F596" s="11"/>
      <c r="G596" s="8"/>
      <c r="H596" s="11"/>
      <c r="I596" s="12"/>
      <c r="J596" s="13" t="str">
        <f aca="false">IF(OR($A596="",$D596=""),"",IF($C596="",1,$C596)*$D596+N($E596)-N($F596))</f>
        <v/>
      </c>
      <c r="K596" s="13" t="str">
        <f aca="false">IF($J596="","",IF($R596&lt;&gt;"",$R596,IF($G596="",0,MAX(IFERROR(INDEX(Settings!$D$6:$D$15,MATCH($G596,Settings!$A$6:$A$15,0)),0),$J596*IFERROR(INDEX(Settings!$B$6:$B$15,MATCH($G596,Settings!$A$6:$A$15,0)),0)+IFERROR(INDEX(Settings!$C$6:$C$15,MATCH($G596,Settings!$A$6:$A$15,0)),0)))))</f>
        <v/>
      </c>
      <c r="L596" s="13" t="str">
        <f aca="false">IF($J596="","",IF($C596="",1,$C596)*IF($Q596&lt;&gt;"",$Q596,IFERROR(INDEX(Products!$D$5:$D$54,MATCH($B596,Products!$A$5:$A$54,0)),0)))</f>
        <v/>
      </c>
      <c r="M596" s="14" t="str">
        <f aca="false">IF($J596="","",$J596-$K596-N($H596)-$L596)</f>
        <v/>
      </c>
      <c r="N596" s="15" t="str">
        <f aca="false">IF($J596="","",IF($J596&gt;0,$M596/$J596,""))</f>
        <v/>
      </c>
      <c r="O596" s="12"/>
      <c r="P596" s="12"/>
      <c r="Q596" s="11"/>
      <c r="R596" s="11"/>
      <c r="S596" s="12"/>
      <c r="T596" s="16" t="str">
        <f aca="false">IF($J596="","",IF($C596="",1,$C596))</f>
        <v/>
      </c>
    </row>
    <row r="597" customFormat="false" ht="15" hidden="false" customHeight="false" outlineLevel="0" collapsed="false">
      <c r="A597" s="7"/>
      <c r="B597" s="8"/>
      <c r="C597" s="9"/>
      <c r="D597" s="10"/>
      <c r="E597" s="11"/>
      <c r="F597" s="11"/>
      <c r="G597" s="8"/>
      <c r="H597" s="11"/>
      <c r="I597" s="12"/>
      <c r="J597" s="13" t="str">
        <f aca="false">IF(OR($A597="",$D597=""),"",IF($C597="",1,$C597)*$D597+N($E597)-N($F597))</f>
        <v/>
      </c>
      <c r="K597" s="13" t="str">
        <f aca="false">IF($J597="","",IF($R597&lt;&gt;"",$R597,IF($G597="",0,MAX(IFERROR(INDEX(Settings!$D$6:$D$15,MATCH($G597,Settings!$A$6:$A$15,0)),0),$J597*IFERROR(INDEX(Settings!$B$6:$B$15,MATCH($G597,Settings!$A$6:$A$15,0)),0)+IFERROR(INDEX(Settings!$C$6:$C$15,MATCH($G597,Settings!$A$6:$A$15,0)),0)))))</f>
        <v/>
      </c>
      <c r="L597" s="13" t="str">
        <f aca="false">IF($J597="","",IF($C597="",1,$C597)*IF($Q597&lt;&gt;"",$Q597,IFERROR(INDEX(Products!$D$5:$D$54,MATCH($B597,Products!$A$5:$A$54,0)),0)))</f>
        <v/>
      </c>
      <c r="M597" s="14" t="str">
        <f aca="false">IF($J597="","",$J597-$K597-N($H597)-$L597)</f>
        <v/>
      </c>
      <c r="N597" s="15" t="str">
        <f aca="false">IF($J597="","",IF($J597&gt;0,$M597/$J597,""))</f>
        <v/>
      </c>
      <c r="O597" s="12"/>
      <c r="P597" s="12"/>
      <c r="Q597" s="11"/>
      <c r="R597" s="11"/>
      <c r="S597" s="12"/>
      <c r="T597" s="16" t="str">
        <f aca="false">IF($J597="","",IF($C597="",1,$C597))</f>
        <v/>
      </c>
    </row>
    <row r="598" customFormat="false" ht="15" hidden="false" customHeight="false" outlineLevel="0" collapsed="false">
      <c r="A598" s="7"/>
      <c r="B598" s="8"/>
      <c r="C598" s="9"/>
      <c r="D598" s="10"/>
      <c r="E598" s="11"/>
      <c r="F598" s="11"/>
      <c r="G598" s="8"/>
      <c r="H598" s="11"/>
      <c r="I598" s="12"/>
      <c r="J598" s="13" t="str">
        <f aca="false">IF(OR($A598="",$D598=""),"",IF($C598="",1,$C598)*$D598+N($E598)-N($F598))</f>
        <v/>
      </c>
      <c r="K598" s="13" t="str">
        <f aca="false">IF($J598="","",IF($R598&lt;&gt;"",$R598,IF($G598="",0,MAX(IFERROR(INDEX(Settings!$D$6:$D$15,MATCH($G598,Settings!$A$6:$A$15,0)),0),$J598*IFERROR(INDEX(Settings!$B$6:$B$15,MATCH($G598,Settings!$A$6:$A$15,0)),0)+IFERROR(INDEX(Settings!$C$6:$C$15,MATCH($G598,Settings!$A$6:$A$15,0)),0)))))</f>
        <v/>
      </c>
      <c r="L598" s="13" t="str">
        <f aca="false">IF($J598="","",IF($C598="",1,$C598)*IF($Q598&lt;&gt;"",$Q598,IFERROR(INDEX(Products!$D$5:$D$54,MATCH($B598,Products!$A$5:$A$54,0)),0)))</f>
        <v/>
      </c>
      <c r="M598" s="14" t="str">
        <f aca="false">IF($J598="","",$J598-$K598-N($H598)-$L598)</f>
        <v/>
      </c>
      <c r="N598" s="15" t="str">
        <f aca="false">IF($J598="","",IF($J598&gt;0,$M598/$J598,""))</f>
        <v/>
      </c>
      <c r="O598" s="12"/>
      <c r="P598" s="12"/>
      <c r="Q598" s="11"/>
      <c r="R598" s="11"/>
      <c r="S598" s="12"/>
      <c r="T598" s="16" t="str">
        <f aca="false">IF($J598="","",IF($C598="",1,$C598))</f>
        <v/>
      </c>
    </row>
    <row r="599" customFormat="false" ht="15" hidden="false" customHeight="false" outlineLevel="0" collapsed="false">
      <c r="A599" s="7"/>
      <c r="B599" s="8"/>
      <c r="C599" s="9"/>
      <c r="D599" s="10"/>
      <c r="E599" s="11"/>
      <c r="F599" s="11"/>
      <c r="G599" s="8"/>
      <c r="H599" s="11"/>
      <c r="I599" s="12"/>
      <c r="J599" s="13" t="str">
        <f aca="false">IF(OR($A599="",$D599=""),"",IF($C599="",1,$C599)*$D599+N($E599)-N($F599))</f>
        <v/>
      </c>
      <c r="K599" s="13" t="str">
        <f aca="false">IF($J599="","",IF($R599&lt;&gt;"",$R599,IF($G599="",0,MAX(IFERROR(INDEX(Settings!$D$6:$D$15,MATCH($G599,Settings!$A$6:$A$15,0)),0),$J599*IFERROR(INDEX(Settings!$B$6:$B$15,MATCH($G599,Settings!$A$6:$A$15,0)),0)+IFERROR(INDEX(Settings!$C$6:$C$15,MATCH($G599,Settings!$A$6:$A$15,0)),0)))))</f>
        <v/>
      </c>
      <c r="L599" s="13" t="str">
        <f aca="false">IF($J599="","",IF($C599="",1,$C599)*IF($Q599&lt;&gt;"",$Q599,IFERROR(INDEX(Products!$D$5:$D$54,MATCH($B599,Products!$A$5:$A$54,0)),0)))</f>
        <v/>
      </c>
      <c r="M599" s="14" t="str">
        <f aca="false">IF($J599="","",$J599-$K599-N($H599)-$L599)</f>
        <v/>
      </c>
      <c r="N599" s="15" t="str">
        <f aca="false">IF($J599="","",IF($J599&gt;0,$M599/$J599,""))</f>
        <v/>
      </c>
      <c r="O599" s="12"/>
      <c r="P599" s="12"/>
      <c r="Q599" s="11"/>
      <c r="R599" s="11"/>
      <c r="S599" s="12"/>
      <c r="T599" s="16" t="str">
        <f aca="false">IF($J599="","",IF($C599="",1,$C599))</f>
        <v/>
      </c>
    </row>
    <row r="600" customFormat="false" ht="15" hidden="false" customHeight="false" outlineLevel="0" collapsed="false">
      <c r="A600" s="7"/>
      <c r="B600" s="8"/>
      <c r="C600" s="9"/>
      <c r="D600" s="10"/>
      <c r="E600" s="11"/>
      <c r="F600" s="11"/>
      <c r="G600" s="8"/>
      <c r="H600" s="11"/>
      <c r="I600" s="12"/>
      <c r="J600" s="13" t="str">
        <f aca="false">IF(OR($A600="",$D600=""),"",IF($C600="",1,$C600)*$D600+N($E600)-N($F600))</f>
        <v/>
      </c>
      <c r="K600" s="13" t="str">
        <f aca="false">IF($J600="","",IF($R600&lt;&gt;"",$R600,IF($G600="",0,MAX(IFERROR(INDEX(Settings!$D$6:$D$15,MATCH($G600,Settings!$A$6:$A$15,0)),0),$J600*IFERROR(INDEX(Settings!$B$6:$B$15,MATCH($G600,Settings!$A$6:$A$15,0)),0)+IFERROR(INDEX(Settings!$C$6:$C$15,MATCH($G600,Settings!$A$6:$A$15,0)),0)))))</f>
        <v/>
      </c>
      <c r="L600" s="13" t="str">
        <f aca="false">IF($J600="","",IF($C600="",1,$C600)*IF($Q600&lt;&gt;"",$Q600,IFERROR(INDEX(Products!$D$5:$D$54,MATCH($B600,Products!$A$5:$A$54,0)),0)))</f>
        <v/>
      </c>
      <c r="M600" s="14" t="str">
        <f aca="false">IF($J600="","",$J600-$K600-N($H600)-$L600)</f>
        <v/>
      </c>
      <c r="N600" s="15" t="str">
        <f aca="false">IF($J600="","",IF($J600&gt;0,$M600/$J600,""))</f>
        <v/>
      </c>
      <c r="O600" s="12"/>
      <c r="P600" s="12"/>
      <c r="Q600" s="11"/>
      <c r="R600" s="11"/>
      <c r="S600" s="12"/>
      <c r="T600" s="16" t="str">
        <f aca="false">IF($J600="","",IF($C600="",1,$C600))</f>
        <v/>
      </c>
    </row>
    <row r="601" customFormat="false" ht="15" hidden="false" customHeight="false" outlineLevel="0" collapsed="false">
      <c r="A601" s="7"/>
      <c r="B601" s="8"/>
      <c r="C601" s="9"/>
      <c r="D601" s="10"/>
      <c r="E601" s="11"/>
      <c r="F601" s="11"/>
      <c r="G601" s="8"/>
      <c r="H601" s="11"/>
      <c r="I601" s="12"/>
      <c r="J601" s="13" t="str">
        <f aca="false">IF(OR($A601="",$D601=""),"",IF($C601="",1,$C601)*$D601+N($E601)-N($F601))</f>
        <v/>
      </c>
      <c r="K601" s="13" t="str">
        <f aca="false">IF($J601="","",IF($R601&lt;&gt;"",$R601,IF($G601="",0,MAX(IFERROR(INDEX(Settings!$D$6:$D$15,MATCH($G601,Settings!$A$6:$A$15,0)),0),$J601*IFERROR(INDEX(Settings!$B$6:$B$15,MATCH($G601,Settings!$A$6:$A$15,0)),0)+IFERROR(INDEX(Settings!$C$6:$C$15,MATCH($G601,Settings!$A$6:$A$15,0)),0)))))</f>
        <v/>
      </c>
      <c r="L601" s="13" t="str">
        <f aca="false">IF($J601="","",IF($C601="",1,$C601)*IF($Q601&lt;&gt;"",$Q601,IFERROR(INDEX(Products!$D$5:$D$54,MATCH($B601,Products!$A$5:$A$54,0)),0)))</f>
        <v/>
      </c>
      <c r="M601" s="14" t="str">
        <f aca="false">IF($J601="","",$J601-$K601-N($H601)-$L601)</f>
        <v/>
      </c>
      <c r="N601" s="15" t="str">
        <f aca="false">IF($J601="","",IF($J601&gt;0,$M601/$J601,""))</f>
        <v/>
      </c>
      <c r="O601" s="12"/>
      <c r="P601" s="12"/>
      <c r="Q601" s="11"/>
      <c r="R601" s="11"/>
      <c r="S601" s="12"/>
      <c r="T601" s="16" t="str">
        <f aca="false">IF($J601="","",IF($C601="",1,$C601))</f>
        <v/>
      </c>
    </row>
    <row r="602" customFormat="false" ht="15" hidden="false" customHeight="false" outlineLevel="0" collapsed="false">
      <c r="A602" s="7"/>
      <c r="B602" s="8"/>
      <c r="C602" s="9"/>
      <c r="D602" s="10"/>
      <c r="E602" s="11"/>
      <c r="F602" s="11"/>
      <c r="G602" s="8"/>
      <c r="H602" s="11"/>
      <c r="I602" s="12"/>
      <c r="J602" s="13" t="str">
        <f aca="false">IF(OR($A602="",$D602=""),"",IF($C602="",1,$C602)*$D602+N($E602)-N($F602))</f>
        <v/>
      </c>
      <c r="K602" s="13" t="str">
        <f aca="false">IF($J602="","",IF($R602&lt;&gt;"",$R602,IF($G602="",0,MAX(IFERROR(INDEX(Settings!$D$6:$D$15,MATCH($G602,Settings!$A$6:$A$15,0)),0),$J602*IFERROR(INDEX(Settings!$B$6:$B$15,MATCH($G602,Settings!$A$6:$A$15,0)),0)+IFERROR(INDEX(Settings!$C$6:$C$15,MATCH($G602,Settings!$A$6:$A$15,0)),0)))))</f>
        <v/>
      </c>
      <c r="L602" s="13" t="str">
        <f aca="false">IF($J602="","",IF($C602="",1,$C602)*IF($Q602&lt;&gt;"",$Q602,IFERROR(INDEX(Products!$D$5:$D$54,MATCH($B602,Products!$A$5:$A$54,0)),0)))</f>
        <v/>
      </c>
      <c r="M602" s="14" t="str">
        <f aca="false">IF($J602="","",$J602-$K602-N($H602)-$L602)</f>
        <v/>
      </c>
      <c r="N602" s="15" t="str">
        <f aca="false">IF($J602="","",IF($J602&gt;0,$M602/$J602,""))</f>
        <v/>
      </c>
      <c r="O602" s="12"/>
      <c r="P602" s="12"/>
      <c r="Q602" s="11"/>
      <c r="R602" s="11"/>
      <c r="S602" s="12"/>
      <c r="T602" s="16" t="str">
        <f aca="false">IF($J602="","",IF($C602="",1,$C602))</f>
        <v/>
      </c>
    </row>
    <row r="603" customFormat="false" ht="15" hidden="false" customHeight="false" outlineLevel="0" collapsed="false">
      <c r="A603" s="7"/>
      <c r="B603" s="8"/>
      <c r="C603" s="9"/>
      <c r="D603" s="10"/>
      <c r="E603" s="11"/>
      <c r="F603" s="11"/>
      <c r="G603" s="8"/>
      <c r="H603" s="11"/>
      <c r="I603" s="12"/>
      <c r="J603" s="13" t="str">
        <f aca="false">IF(OR($A603="",$D603=""),"",IF($C603="",1,$C603)*$D603+N($E603)-N($F603))</f>
        <v/>
      </c>
      <c r="K603" s="13" t="str">
        <f aca="false">IF($J603="","",IF($R603&lt;&gt;"",$R603,IF($G603="",0,MAX(IFERROR(INDEX(Settings!$D$6:$D$15,MATCH($G603,Settings!$A$6:$A$15,0)),0),$J603*IFERROR(INDEX(Settings!$B$6:$B$15,MATCH($G603,Settings!$A$6:$A$15,0)),0)+IFERROR(INDEX(Settings!$C$6:$C$15,MATCH($G603,Settings!$A$6:$A$15,0)),0)))))</f>
        <v/>
      </c>
      <c r="L603" s="13" t="str">
        <f aca="false">IF($J603="","",IF($C603="",1,$C603)*IF($Q603&lt;&gt;"",$Q603,IFERROR(INDEX(Products!$D$5:$D$54,MATCH($B603,Products!$A$5:$A$54,0)),0)))</f>
        <v/>
      </c>
      <c r="M603" s="14" t="str">
        <f aca="false">IF($J603="","",$J603-$K603-N($H603)-$L603)</f>
        <v/>
      </c>
      <c r="N603" s="15" t="str">
        <f aca="false">IF($J603="","",IF($J603&gt;0,$M603/$J603,""))</f>
        <v/>
      </c>
      <c r="O603" s="12"/>
      <c r="P603" s="12"/>
      <c r="Q603" s="11"/>
      <c r="R603" s="11"/>
      <c r="S603" s="12"/>
      <c r="T603" s="16" t="str">
        <f aca="false">IF($J603="","",IF($C603="",1,$C603))</f>
        <v/>
      </c>
    </row>
    <row r="604" customFormat="false" ht="15" hidden="false" customHeight="false" outlineLevel="0" collapsed="false">
      <c r="A604" s="7"/>
      <c r="B604" s="8"/>
      <c r="C604" s="9"/>
      <c r="D604" s="10"/>
      <c r="E604" s="11"/>
      <c r="F604" s="11"/>
      <c r="G604" s="8"/>
      <c r="H604" s="11"/>
      <c r="I604" s="12"/>
      <c r="J604" s="13" t="str">
        <f aca="false">IF(OR($A604="",$D604=""),"",IF($C604="",1,$C604)*$D604+N($E604)-N($F604))</f>
        <v/>
      </c>
      <c r="K604" s="13" t="str">
        <f aca="false">IF($J604="","",IF($R604&lt;&gt;"",$R604,IF($G604="",0,MAX(IFERROR(INDEX(Settings!$D$6:$D$15,MATCH($G604,Settings!$A$6:$A$15,0)),0),$J604*IFERROR(INDEX(Settings!$B$6:$B$15,MATCH($G604,Settings!$A$6:$A$15,0)),0)+IFERROR(INDEX(Settings!$C$6:$C$15,MATCH($G604,Settings!$A$6:$A$15,0)),0)))))</f>
        <v/>
      </c>
      <c r="L604" s="13" t="str">
        <f aca="false">IF($J604="","",IF($C604="",1,$C604)*IF($Q604&lt;&gt;"",$Q604,IFERROR(INDEX(Products!$D$5:$D$54,MATCH($B604,Products!$A$5:$A$54,0)),0)))</f>
        <v/>
      </c>
      <c r="M604" s="14" t="str">
        <f aca="false">IF($J604="","",$J604-$K604-N($H604)-$L604)</f>
        <v/>
      </c>
      <c r="N604" s="15" t="str">
        <f aca="false">IF($J604="","",IF($J604&gt;0,$M604/$J604,""))</f>
        <v/>
      </c>
      <c r="O604" s="12"/>
      <c r="P604" s="12"/>
      <c r="Q604" s="11"/>
      <c r="R604" s="11"/>
      <c r="S604" s="12"/>
      <c r="T604" s="16" t="str">
        <f aca="false">IF($J604="","",IF($C604="",1,$C604))</f>
        <v/>
      </c>
    </row>
    <row r="605" customFormat="false" ht="15" hidden="false" customHeight="false" outlineLevel="0" collapsed="false">
      <c r="A605" s="7"/>
      <c r="B605" s="8"/>
      <c r="C605" s="9"/>
      <c r="D605" s="10"/>
      <c r="E605" s="11"/>
      <c r="F605" s="11"/>
      <c r="G605" s="8"/>
      <c r="H605" s="11"/>
      <c r="I605" s="12"/>
      <c r="J605" s="13" t="str">
        <f aca="false">IF(OR($A605="",$D605=""),"",IF($C605="",1,$C605)*$D605+N($E605)-N($F605))</f>
        <v/>
      </c>
      <c r="K605" s="13" t="str">
        <f aca="false">IF($J605="","",IF($R605&lt;&gt;"",$R605,IF($G605="",0,MAX(IFERROR(INDEX(Settings!$D$6:$D$15,MATCH($G605,Settings!$A$6:$A$15,0)),0),$J605*IFERROR(INDEX(Settings!$B$6:$B$15,MATCH($G605,Settings!$A$6:$A$15,0)),0)+IFERROR(INDEX(Settings!$C$6:$C$15,MATCH($G605,Settings!$A$6:$A$15,0)),0)))))</f>
        <v/>
      </c>
      <c r="L605" s="13" t="str">
        <f aca="false">IF($J605="","",IF($C605="",1,$C605)*IF($Q605&lt;&gt;"",$Q605,IFERROR(INDEX(Products!$D$5:$D$54,MATCH($B605,Products!$A$5:$A$54,0)),0)))</f>
        <v/>
      </c>
      <c r="M605" s="14" t="str">
        <f aca="false">IF($J605="","",$J605-$K605-N($H605)-$L605)</f>
        <v/>
      </c>
      <c r="N605" s="15" t="str">
        <f aca="false">IF($J605="","",IF($J605&gt;0,$M605/$J605,""))</f>
        <v/>
      </c>
      <c r="O605" s="12"/>
      <c r="P605" s="12"/>
      <c r="Q605" s="11"/>
      <c r="R605" s="11"/>
      <c r="S605" s="12"/>
      <c r="T605" s="16" t="str">
        <f aca="false">IF($J605="","",IF($C605="",1,$C605))</f>
        <v/>
      </c>
    </row>
    <row r="606" customFormat="false" ht="15" hidden="false" customHeight="false" outlineLevel="0" collapsed="false">
      <c r="A606" s="7"/>
      <c r="B606" s="8"/>
      <c r="C606" s="9"/>
      <c r="D606" s="10"/>
      <c r="E606" s="11"/>
      <c r="F606" s="11"/>
      <c r="G606" s="8"/>
      <c r="H606" s="11"/>
      <c r="I606" s="12"/>
      <c r="J606" s="13" t="str">
        <f aca="false">IF(OR($A606="",$D606=""),"",IF($C606="",1,$C606)*$D606+N($E606)-N($F606))</f>
        <v/>
      </c>
      <c r="K606" s="13" t="str">
        <f aca="false">IF($J606="","",IF($R606&lt;&gt;"",$R606,IF($G606="",0,MAX(IFERROR(INDEX(Settings!$D$6:$D$15,MATCH($G606,Settings!$A$6:$A$15,0)),0),$J606*IFERROR(INDEX(Settings!$B$6:$B$15,MATCH($G606,Settings!$A$6:$A$15,0)),0)+IFERROR(INDEX(Settings!$C$6:$C$15,MATCH($G606,Settings!$A$6:$A$15,0)),0)))))</f>
        <v/>
      </c>
      <c r="L606" s="13" t="str">
        <f aca="false">IF($J606="","",IF($C606="",1,$C606)*IF($Q606&lt;&gt;"",$Q606,IFERROR(INDEX(Products!$D$5:$D$54,MATCH($B606,Products!$A$5:$A$54,0)),0)))</f>
        <v/>
      </c>
      <c r="M606" s="14" t="str">
        <f aca="false">IF($J606="","",$J606-$K606-N($H606)-$L606)</f>
        <v/>
      </c>
      <c r="N606" s="15" t="str">
        <f aca="false">IF($J606="","",IF($J606&gt;0,$M606/$J606,""))</f>
        <v/>
      </c>
      <c r="O606" s="12"/>
      <c r="P606" s="12"/>
      <c r="Q606" s="11"/>
      <c r="R606" s="11"/>
      <c r="S606" s="12"/>
      <c r="T606" s="16" t="str">
        <f aca="false">IF($J606="","",IF($C606="",1,$C606))</f>
        <v/>
      </c>
    </row>
    <row r="607" customFormat="false" ht="15" hidden="false" customHeight="false" outlineLevel="0" collapsed="false">
      <c r="A607" s="7"/>
      <c r="B607" s="8"/>
      <c r="C607" s="9"/>
      <c r="D607" s="10"/>
      <c r="E607" s="11"/>
      <c r="F607" s="11"/>
      <c r="G607" s="8"/>
      <c r="H607" s="11"/>
      <c r="I607" s="12"/>
      <c r="J607" s="13" t="str">
        <f aca="false">IF(OR($A607="",$D607=""),"",IF($C607="",1,$C607)*$D607+N($E607)-N($F607))</f>
        <v/>
      </c>
      <c r="K607" s="13" t="str">
        <f aca="false">IF($J607="","",IF($R607&lt;&gt;"",$R607,IF($G607="",0,MAX(IFERROR(INDEX(Settings!$D$6:$D$15,MATCH($G607,Settings!$A$6:$A$15,0)),0),$J607*IFERROR(INDEX(Settings!$B$6:$B$15,MATCH($G607,Settings!$A$6:$A$15,0)),0)+IFERROR(INDEX(Settings!$C$6:$C$15,MATCH($G607,Settings!$A$6:$A$15,0)),0)))))</f>
        <v/>
      </c>
      <c r="L607" s="13" t="str">
        <f aca="false">IF($J607="","",IF($C607="",1,$C607)*IF($Q607&lt;&gt;"",$Q607,IFERROR(INDEX(Products!$D$5:$D$54,MATCH($B607,Products!$A$5:$A$54,0)),0)))</f>
        <v/>
      </c>
      <c r="M607" s="14" t="str">
        <f aca="false">IF($J607="","",$J607-$K607-N($H607)-$L607)</f>
        <v/>
      </c>
      <c r="N607" s="15" t="str">
        <f aca="false">IF($J607="","",IF($J607&gt;0,$M607/$J607,""))</f>
        <v/>
      </c>
      <c r="O607" s="12"/>
      <c r="P607" s="12"/>
      <c r="Q607" s="11"/>
      <c r="R607" s="11"/>
      <c r="S607" s="12"/>
      <c r="T607" s="16" t="str">
        <f aca="false">IF($J607="","",IF($C607="",1,$C607))</f>
        <v/>
      </c>
    </row>
    <row r="608" customFormat="false" ht="15" hidden="false" customHeight="false" outlineLevel="0" collapsed="false">
      <c r="A608" s="7"/>
      <c r="B608" s="8"/>
      <c r="C608" s="9"/>
      <c r="D608" s="10"/>
      <c r="E608" s="11"/>
      <c r="F608" s="11"/>
      <c r="G608" s="8"/>
      <c r="H608" s="11"/>
      <c r="I608" s="12"/>
      <c r="J608" s="13" t="str">
        <f aca="false">IF(OR($A608="",$D608=""),"",IF($C608="",1,$C608)*$D608+N($E608)-N($F608))</f>
        <v/>
      </c>
      <c r="K608" s="13" t="str">
        <f aca="false">IF($J608="","",IF($R608&lt;&gt;"",$R608,IF($G608="",0,MAX(IFERROR(INDEX(Settings!$D$6:$D$15,MATCH($G608,Settings!$A$6:$A$15,0)),0),$J608*IFERROR(INDEX(Settings!$B$6:$B$15,MATCH($G608,Settings!$A$6:$A$15,0)),0)+IFERROR(INDEX(Settings!$C$6:$C$15,MATCH($G608,Settings!$A$6:$A$15,0)),0)))))</f>
        <v/>
      </c>
      <c r="L608" s="13" t="str">
        <f aca="false">IF($J608="","",IF($C608="",1,$C608)*IF($Q608&lt;&gt;"",$Q608,IFERROR(INDEX(Products!$D$5:$D$54,MATCH($B608,Products!$A$5:$A$54,0)),0)))</f>
        <v/>
      </c>
      <c r="M608" s="14" t="str">
        <f aca="false">IF($J608="","",$J608-$K608-N($H608)-$L608)</f>
        <v/>
      </c>
      <c r="N608" s="15" t="str">
        <f aca="false">IF($J608="","",IF($J608&gt;0,$M608/$J608,""))</f>
        <v/>
      </c>
      <c r="O608" s="12"/>
      <c r="P608" s="12"/>
      <c r="Q608" s="11"/>
      <c r="R608" s="11"/>
      <c r="S608" s="12"/>
      <c r="T608" s="16" t="str">
        <f aca="false">IF($J608="","",IF($C608="",1,$C608))</f>
        <v/>
      </c>
    </row>
    <row r="609" customFormat="false" ht="15" hidden="false" customHeight="false" outlineLevel="0" collapsed="false">
      <c r="A609" s="7"/>
      <c r="B609" s="8"/>
      <c r="C609" s="9"/>
      <c r="D609" s="10"/>
      <c r="E609" s="11"/>
      <c r="F609" s="11"/>
      <c r="G609" s="8"/>
      <c r="H609" s="11"/>
      <c r="I609" s="12"/>
      <c r="J609" s="13" t="str">
        <f aca="false">IF(OR($A609="",$D609=""),"",IF($C609="",1,$C609)*$D609+N($E609)-N($F609))</f>
        <v/>
      </c>
      <c r="K609" s="13" t="str">
        <f aca="false">IF($J609="","",IF($R609&lt;&gt;"",$R609,IF($G609="",0,MAX(IFERROR(INDEX(Settings!$D$6:$D$15,MATCH($G609,Settings!$A$6:$A$15,0)),0),$J609*IFERROR(INDEX(Settings!$B$6:$B$15,MATCH($G609,Settings!$A$6:$A$15,0)),0)+IFERROR(INDEX(Settings!$C$6:$C$15,MATCH($G609,Settings!$A$6:$A$15,0)),0)))))</f>
        <v/>
      </c>
      <c r="L609" s="13" t="str">
        <f aca="false">IF($J609="","",IF($C609="",1,$C609)*IF($Q609&lt;&gt;"",$Q609,IFERROR(INDEX(Products!$D$5:$D$54,MATCH($B609,Products!$A$5:$A$54,0)),0)))</f>
        <v/>
      </c>
      <c r="M609" s="14" t="str">
        <f aca="false">IF($J609="","",$J609-$K609-N($H609)-$L609)</f>
        <v/>
      </c>
      <c r="N609" s="15" t="str">
        <f aca="false">IF($J609="","",IF($J609&gt;0,$M609/$J609,""))</f>
        <v/>
      </c>
      <c r="O609" s="12"/>
      <c r="P609" s="12"/>
      <c r="Q609" s="11"/>
      <c r="R609" s="11"/>
      <c r="S609" s="12"/>
      <c r="T609" s="16" t="str">
        <f aca="false">IF($J609="","",IF($C609="",1,$C609))</f>
        <v/>
      </c>
    </row>
    <row r="610" customFormat="false" ht="15" hidden="false" customHeight="false" outlineLevel="0" collapsed="false">
      <c r="A610" s="7"/>
      <c r="B610" s="8"/>
      <c r="C610" s="9"/>
      <c r="D610" s="10"/>
      <c r="E610" s="11"/>
      <c r="F610" s="11"/>
      <c r="G610" s="8"/>
      <c r="H610" s="11"/>
      <c r="I610" s="12"/>
      <c r="J610" s="13" t="str">
        <f aca="false">IF(OR($A610="",$D610=""),"",IF($C610="",1,$C610)*$D610+N($E610)-N($F610))</f>
        <v/>
      </c>
      <c r="K610" s="13" t="str">
        <f aca="false">IF($J610="","",IF($R610&lt;&gt;"",$R610,IF($G610="",0,MAX(IFERROR(INDEX(Settings!$D$6:$D$15,MATCH($G610,Settings!$A$6:$A$15,0)),0),$J610*IFERROR(INDEX(Settings!$B$6:$B$15,MATCH($G610,Settings!$A$6:$A$15,0)),0)+IFERROR(INDEX(Settings!$C$6:$C$15,MATCH($G610,Settings!$A$6:$A$15,0)),0)))))</f>
        <v/>
      </c>
      <c r="L610" s="13" t="str">
        <f aca="false">IF($J610="","",IF($C610="",1,$C610)*IF($Q610&lt;&gt;"",$Q610,IFERROR(INDEX(Products!$D$5:$D$54,MATCH($B610,Products!$A$5:$A$54,0)),0)))</f>
        <v/>
      </c>
      <c r="M610" s="14" t="str">
        <f aca="false">IF($J610="","",$J610-$K610-N($H610)-$L610)</f>
        <v/>
      </c>
      <c r="N610" s="15" t="str">
        <f aca="false">IF($J610="","",IF($J610&gt;0,$M610/$J610,""))</f>
        <v/>
      </c>
      <c r="O610" s="12"/>
      <c r="P610" s="12"/>
      <c r="Q610" s="11"/>
      <c r="R610" s="11"/>
      <c r="S610" s="12"/>
      <c r="T610" s="16" t="str">
        <f aca="false">IF($J610="","",IF($C610="",1,$C610))</f>
        <v/>
      </c>
    </row>
    <row r="611" customFormat="false" ht="15" hidden="false" customHeight="false" outlineLevel="0" collapsed="false">
      <c r="A611" s="7"/>
      <c r="B611" s="8"/>
      <c r="C611" s="9"/>
      <c r="D611" s="10"/>
      <c r="E611" s="11"/>
      <c r="F611" s="11"/>
      <c r="G611" s="8"/>
      <c r="H611" s="11"/>
      <c r="I611" s="12"/>
      <c r="J611" s="13" t="str">
        <f aca="false">IF(OR($A611="",$D611=""),"",IF($C611="",1,$C611)*$D611+N($E611)-N($F611))</f>
        <v/>
      </c>
      <c r="K611" s="13" t="str">
        <f aca="false">IF($J611="","",IF($R611&lt;&gt;"",$R611,IF($G611="",0,MAX(IFERROR(INDEX(Settings!$D$6:$D$15,MATCH($G611,Settings!$A$6:$A$15,0)),0),$J611*IFERROR(INDEX(Settings!$B$6:$B$15,MATCH($G611,Settings!$A$6:$A$15,0)),0)+IFERROR(INDEX(Settings!$C$6:$C$15,MATCH($G611,Settings!$A$6:$A$15,0)),0)))))</f>
        <v/>
      </c>
      <c r="L611" s="13" t="str">
        <f aca="false">IF($J611="","",IF($C611="",1,$C611)*IF($Q611&lt;&gt;"",$Q611,IFERROR(INDEX(Products!$D$5:$D$54,MATCH($B611,Products!$A$5:$A$54,0)),0)))</f>
        <v/>
      </c>
      <c r="M611" s="14" t="str">
        <f aca="false">IF($J611="","",$J611-$K611-N($H611)-$L611)</f>
        <v/>
      </c>
      <c r="N611" s="15" t="str">
        <f aca="false">IF($J611="","",IF($J611&gt;0,$M611/$J611,""))</f>
        <v/>
      </c>
      <c r="O611" s="12"/>
      <c r="P611" s="12"/>
      <c r="Q611" s="11"/>
      <c r="R611" s="11"/>
      <c r="S611" s="12"/>
      <c r="T611" s="16" t="str">
        <f aca="false">IF($J611="","",IF($C611="",1,$C611))</f>
        <v/>
      </c>
    </row>
    <row r="612" customFormat="false" ht="15" hidden="false" customHeight="false" outlineLevel="0" collapsed="false">
      <c r="A612" s="7"/>
      <c r="B612" s="8"/>
      <c r="C612" s="9"/>
      <c r="D612" s="10"/>
      <c r="E612" s="11"/>
      <c r="F612" s="11"/>
      <c r="G612" s="8"/>
      <c r="H612" s="11"/>
      <c r="I612" s="12"/>
      <c r="J612" s="13" t="str">
        <f aca="false">IF(OR($A612="",$D612=""),"",IF($C612="",1,$C612)*$D612+N($E612)-N($F612))</f>
        <v/>
      </c>
      <c r="K612" s="13" t="str">
        <f aca="false">IF($J612="","",IF($R612&lt;&gt;"",$R612,IF($G612="",0,MAX(IFERROR(INDEX(Settings!$D$6:$D$15,MATCH($G612,Settings!$A$6:$A$15,0)),0),$J612*IFERROR(INDEX(Settings!$B$6:$B$15,MATCH($G612,Settings!$A$6:$A$15,0)),0)+IFERROR(INDEX(Settings!$C$6:$C$15,MATCH($G612,Settings!$A$6:$A$15,0)),0)))))</f>
        <v/>
      </c>
      <c r="L612" s="13" t="str">
        <f aca="false">IF($J612="","",IF($C612="",1,$C612)*IF($Q612&lt;&gt;"",$Q612,IFERROR(INDEX(Products!$D$5:$D$54,MATCH($B612,Products!$A$5:$A$54,0)),0)))</f>
        <v/>
      </c>
      <c r="M612" s="14" t="str">
        <f aca="false">IF($J612="","",$J612-$K612-N($H612)-$L612)</f>
        <v/>
      </c>
      <c r="N612" s="15" t="str">
        <f aca="false">IF($J612="","",IF($J612&gt;0,$M612/$J612,""))</f>
        <v/>
      </c>
      <c r="O612" s="12"/>
      <c r="P612" s="12"/>
      <c r="Q612" s="11"/>
      <c r="R612" s="11"/>
      <c r="S612" s="12"/>
      <c r="T612" s="16" t="str">
        <f aca="false">IF($J612="","",IF($C612="",1,$C612))</f>
        <v/>
      </c>
    </row>
    <row r="613" customFormat="false" ht="15" hidden="false" customHeight="false" outlineLevel="0" collapsed="false">
      <c r="A613" s="7"/>
      <c r="B613" s="8"/>
      <c r="C613" s="9"/>
      <c r="D613" s="10"/>
      <c r="E613" s="11"/>
      <c r="F613" s="11"/>
      <c r="G613" s="8"/>
      <c r="H613" s="11"/>
      <c r="I613" s="12"/>
      <c r="J613" s="13" t="str">
        <f aca="false">IF(OR($A613="",$D613=""),"",IF($C613="",1,$C613)*$D613+N($E613)-N($F613))</f>
        <v/>
      </c>
      <c r="K613" s="13" t="str">
        <f aca="false">IF($J613="","",IF($R613&lt;&gt;"",$R613,IF($G613="",0,MAX(IFERROR(INDEX(Settings!$D$6:$D$15,MATCH($G613,Settings!$A$6:$A$15,0)),0),$J613*IFERROR(INDEX(Settings!$B$6:$B$15,MATCH($G613,Settings!$A$6:$A$15,0)),0)+IFERROR(INDEX(Settings!$C$6:$C$15,MATCH($G613,Settings!$A$6:$A$15,0)),0)))))</f>
        <v/>
      </c>
      <c r="L613" s="13" t="str">
        <f aca="false">IF($J613="","",IF($C613="",1,$C613)*IF($Q613&lt;&gt;"",$Q613,IFERROR(INDEX(Products!$D$5:$D$54,MATCH($B613,Products!$A$5:$A$54,0)),0)))</f>
        <v/>
      </c>
      <c r="M613" s="14" t="str">
        <f aca="false">IF($J613="","",$J613-$K613-N($H613)-$L613)</f>
        <v/>
      </c>
      <c r="N613" s="15" t="str">
        <f aca="false">IF($J613="","",IF($J613&gt;0,$M613/$J613,""))</f>
        <v/>
      </c>
      <c r="O613" s="12"/>
      <c r="P613" s="12"/>
      <c r="Q613" s="11"/>
      <c r="R613" s="11"/>
      <c r="S613" s="12"/>
      <c r="T613" s="16" t="str">
        <f aca="false">IF($J613="","",IF($C613="",1,$C613))</f>
        <v/>
      </c>
    </row>
    <row r="614" customFormat="false" ht="15" hidden="false" customHeight="false" outlineLevel="0" collapsed="false">
      <c r="A614" s="7"/>
      <c r="B614" s="8"/>
      <c r="C614" s="9"/>
      <c r="D614" s="10"/>
      <c r="E614" s="11"/>
      <c r="F614" s="11"/>
      <c r="G614" s="8"/>
      <c r="H614" s="11"/>
      <c r="I614" s="12"/>
      <c r="J614" s="13" t="str">
        <f aca="false">IF(OR($A614="",$D614=""),"",IF($C614="",1,$C614)*$D614+N($E614)-N($F614))</f>
        <v/>
      </c>
      <c r="K614" s="13" t="str">
        <f aca="false">IF($J614="","",IF($R614&lt;&gt;"",$R614,IF($G614="",0,MAX(IFERROR(INDEX(Settings!$D$6:$D$15,MATCH($G614,Settings!$A$6:$A$15,0)),0),$J614*IFERROR(INDEX(Settings!$B$6:$B$15,MATCH($G614,Settings!$A$6:$A$15,0)),0)+IFERROR(INDEX(Settings!$C$6:$C$15,MATCH($G614,Settings!$A$6:$A$15,0)),0)))))</f>
        <v/>
      </c>
      <c r="L614" s="13" t="str">
        <f aca="false">IF($J614="","",IF($C614="",1,$C614)*IF($Q614&lt;&gt;"",$Q614,IFERROR(INDEX(Products!$D$5:$D$54,MATCH($B614,Products!$A$5:$A$54,0)),0)))</f>
        <v/>
      </c>
      <c r="M614" s="14" t="str">
        <f aca="false">IF($J614="","",$J614-$K614-N($H614)-$L614)</f>
        <v/>
      </c>
      <c r="N614" s="15" t="str">
        <f aca="false">IF($J614="","",IF($J614&gt;0,$M614/$J614,""))</f>
        <v/>
      </c>
      <c r="O614" s="12"/>
      <c r="P614" s="12"/>
      <c r="Q614" s="11"/>
      <c r="R614" s="11"/>
      <c r="S614" s="12"/>
      <c r="T614" s="16" t="str">
        <f aca="false">IF($J614="","",IF($C614="",1,$C614))</f>
        <v/>
      </c>
    </row>
    <row r="615" customFormat="false" ht="15" hidden="false" customHeight="false" outlineLevel="0" collapsed="false">
      <c r="A615" s="7"/>
      <c r="B615" s="8"/>
      <c r="C615" s="9"/>
      <c r="D615" s="10"/>
      <c r="E615" s="11"/>
      <c r="F615" s="11"/>
      <c r="G615" s="8"/>
      <c r="H615" s="11"/>
      <c r="I615" s="12"/>
      <c r="J615" s="13" t="str">
        <f aca="false">IF(OR($A615="",$D615=""),"",IF($C615="",1,$C615)*$D615+N($E615)-N($F615))</f>
        <v/>
      </c>
      <c r="K615" s="13" t="str">
        <f aca="false">IF($J615="","",IF($R615&lt;&gt;"",$R615,IF($G615="",0,MAX(IFERROR(INDEX(Settings!$D$6:$D$15,MATCH($G615,Settings!$A$6:$A$15,0)),0),$J615*IFERROR(INDEX(Settings!$B$6:$B$15,MATCH($G615,Settings!$A$6:$A$15,0)),0)+IFERROR(INDEX(Settings!$C$6:$C$15,MATCH($G615,Settings!$A$6:$A$15,0)),0)))))</f>
        <v/>
      </c>
      <c r="L615" s="13" t="str">
        <f aca="false">IF($J615="","",IF($C615="",1,$C615)*IF($Q615&lt;&gt;"",$Q615,IFERROR(INDEX(Products!$D$5:$D$54,MATCH($B615,Products!$A$5:$A$54,0)),0)))</f>
        <v/>
      </c>
      <c r="M615" s="14" t="str">
        <f aca="false">IF($J615="","",$J615-$K615-N($H615)-$L615)</f>
        <v/>
      </c>
      <c r="N615" s="15" t="str">
        <f aca="false">IF($J615="","",IF($J615&gt;0,$M615/$J615,""))</f>
        <v/>
      </c>
      <c r="O615" s="12"/>
      <c r="P615" s="12"/>
      <c r="Q615" s="11"/>
      <c r="R615" s="11"/>
      <c r="S615" s="12"/>
      <c r="T615" s="16" t="str">
        <f aca="false">IF($J615="","",IF($C615="",1,$C615))</f>
        <v/>
      </c>
    </row>
    <row r="616" customFormat="false" ht="15" hidden="false" customHeight="false" outlineLevel="0" collapsed="false">
      <c r="A616" s="7"/>
      <c r="B616" s="8"/>
      <c r="C616" s="9"/>
      <c r="D616" s="10"/>
      <c r="E616" s="11"/>
      <c r="F616" s="11"/>
      <c r="G616" s="8"/>
      <c r="H616" s="11"/>
      <c r="I616" s="12"/>
      <c r="J616" s="13" t="str">
        <f aca="false">IF(OR($A616="",$D616=""),"",IF($C616="",1,$C616)*$D616+N($E616)-N($F616))</f>
        <v/>
      </c>
      <c r="K616" s="13" t="str">
        <f aca="false">IF($J616="","",IF($R616&lt;&gt;"",$R616,IF($G616="",0,MAX(IFERROR(INDEX(Settings!$D$6:$D$15,MATCH($G616,Settings!$A$6:$A$15,0)),0),$J616*IFERROR(INDEX(Settings!$B$6:$B$15,MATCH($G616,Settings!$A$6:$A$15,0)),0)+IFERROR(INDEX(Settings!$C$6:$C$15,MATCH($G616,Settings!$A$6:$A$15,0)),0)))))</f>
        <v/>
      </c>
      <c r="L616" s="13" t="str">
        <f aca="false">IF($J616="","",IF($C616="",1,$C616)*IF($Q616&lt;&gt;"",$Q616,IFERROR(INDEX(Products!$D$5:$D$54,MATCH($B616,Products!$A$5:$A$54,0)),0)))</f>
        <v/>
      </c>
      <c r="M616" s="14" t="str">
        <f aca="false">IF($J616="","",$J616-$K616-N($H616)-$L616)</f>
        <v/>
      </c>
      <c r="N616" s="15" t="str">
        <f aca="false">IF($J616="","",IF($J616&gt;0,$M616/$J616,""))</f>
        <v/>
      </c>
      <c r="O616" s="12"/>
      <c r="P616" s="12"/>
      <c r="Q616" s="11"/>
      <c r="R616" s="11"/>
      <c r="S616" s="12"/>
      <c r="T616" s="16" t="str">
        <f aca="false">IF($J616="","",IF($C616="",1,$C616))</f>
        <v/>
      </c>
    </row>
    <row r="617" customFormat="false" ht="15" hidden="false" customHeight="false" outlineLevel="0" collapsed="false">
      <c r="A617" s="7"/>
      <c r="B617" s="8"/>
      <c r="C617" s="9"/>
      <c r="D617" s="10"/>
      <c r="E617" s="11"/>
      <c r="F617" s="11"/>
      <c r="G617" s="8"/>
      <c r="H617" s="11"/>
      <c r="I617" s="12"/>
      <c r="J617" s="13" t="str">
        <f aca="false">IF(OR($A617="",$D617=""),"",IF($C617="",1,$C617)*$D617+N($E617)-N($F617))</f>
        <v/>
      </c>
      <c r="K617" s="13" t="str">
        <f aca="false">IF($J617="","",IF($R617&lt;&gt;"",$R617,IF($G617="",0,MAX(IFERROR(INDEX(Settings!$D$6:$D$15,MATCH($G617,Settings!$A$6:$A$15,0)),0),$J617*IFERROR(INDEX(Settings!$B$6:$B$15,MATCH($G617,Settings!$A$6:$A$15,0)),0)+IFERROR(INDEX(Settings!$C$6:$C$15,MATCH($G617,Settings!$A$6:$A$15,0)),0)))))</f>
        <v/>
      </c>
      <c r="L617" s="13" t="str">
        <f aca="false">IF($J617="","",IF($C617="",1,$C617)*IF($Q617&lt;&gt;"",$Q617,IFERROR(INDEX(Products!$D$5:$D$54,MATCH($B617,Products!$A$5:$A$54,0)),0)))</f>
        <v/>
      </c>
      <c r="M617" s="14" t="str">
        <f aca="false">IF($J617="","",$J617-$K617-N($H617)-$L617)</f>
        <v/>
      </c>
      <c r="N617" s="15" t="str">
        <f aca="false">IF($J617="","",IF($J617&gt;0,$M617/$J617,""))</f>
        <v/>
      </c>
      <c r="O617" s="12"/>
      <c r="P617" s="12"/>
      <c r="Q617" s="11"/>
      <c r="R617" s="11"/>
      <c r="S617" s="12"/>
      <c r="T617" s="16" t="str">
        <f aca="false">IF($J617="","",IF($C617="",1,$C617))</f>
        <v/>
      </c>
    </row>
    <row r="618" customFormat="false" ht="15" hidden="false" customHeight="false" outlineLevel="0" collapsed="false">
      <c r="A618" s="7"/>
      <c r="B618" s="8"/>
      <c r="C618" s="9"/>
      <c r="D618" s="10"/>
      <c r="E618" s="11"/>
      <c r="F618" s="11"/>
      <c r="G618" s="8"/>
      <c r="H618" s="11"/>
      <c r="I618" s="12"/>
      <c r="J618" s="13" t="str">
        <f aca="false">IF(OR($A618="",$D618=""),"",IF($C618="",1,$C618)*$D618+N($E618)-N($F618))</f>
        <v/>
      </c>
      <c r="K618" s="13" t="str">
        <f aca="false">IF($J618="","",IF($R618&lt;&gt;"",$R618,IF($G618="",0,MAX(IFERROR(INDEX(Settings!$D$6:$D$15,MATCH($G618,Settings!$A$6:$A$15,0)),0),$J618*IFERROR(INDEX(Settings!$B$6:$B$15,MATCH($G618,Settings!$A$6:$A$15,0)),0)+IFERROR(INDEX(Settings!$C$6:$C$15,MATCH($G618,Settings!$A$6:$A$15,0)),0)))))</f>
        <v/>
      </c>
      <c r="L618" s="13" t="str">
        <f aca="false">IF($J618="","",IF($C618="",1,$C618)*IF($Q618&lt;&gt;"",$Q618,IFERROR(INDEX(Products!$D$5:$D$54,MATCH($B618,Products!$A$5:$A$54,0)),0)))</f>
        <v/>
      </c>
      <c r="M618" s="14" t="str">
        <f aca="false">IF($J618="","",$J618-$K618-N($H618)-$L618)</f>
        <v/>
      </c>
      <c r="N618" s="15" t="str">
        <f aca="false">IF($J618="","",IF($J618&gt;0,$M618/$J618,""))</f>
        <v/>
      </c>
      <c r="O618" s="12"/>
      <c r="P618" s="12"/>
      <c r="Q618" s="11"/>
      <c r="R618" s="11"/>
      <c r="S618" s="12"/>
      <c r="T618" s="16" t="str">
        <f aca="false">IF($J618="","",IF($C618="",1,$C618))</f>
        <v/>
      </c>
    </row>
    <row r="619" customFormat="false" ht="15" hidden="false" customHeight="false" outlineLevel="0" collapsed="false">
      <c r="A619" s="7"/>
      <c r="B619" s="8"/>
      <c r="C619" s="9"/>
      <c r="D619" s="10"/>
      <c r="E619" s="11"/>
      <c r="F619" s="11"/>
      <c r="G619" s="8"/>
      <c r="H619" s="11"/>
      <c r="I619" s="12"/>
      <c r="J619" s="13" t="str">
        <f aca="false">IF(OR($A619="",$D619=""),"",IF($C619="",1,$C619)*$D619+N($E619)-N($F619))</f>
        <v/>
      </c>
      <c r="K619" s="13" t="str">
        <f aca="false">IF($J619="","",IF($R619&lt;&gt;"",$R619,IF($G619="",0,MAX(IFERROR(INDEX(Settings!$D$6:$D$15,MATCH($G619,Settings!$A$6:$A$15,0)),0),$J619*IFERROR(INDEX(Settings!$B$6:$B$15,MATCH($G619,Settings!$A$6:$A$15,0)),0)+IFERROR(INDEX(Settings!$C$6:$C$15,MATCH($G619,Settings!$A$6:$A$15,0)),0)))))</f>
        <v/>
      </c>
      <c r="L619" s="13" t="str">
        <f aca="false">IF($J619="","",IF($C619="",1,$C619)*IF($Q619&lt;&gt;"",$Q619,IFERROR(INDEX(Products!$D$5:$D$54,MATCH($B619,Products!$A$5:$A$54,0)),0)))</f>
        <v/>
      </c>
      <c r="M619" s="14" t="str">
        <f aca="false">IF($J619="","",$J619-$K619-N($H619)-$L619)</f>
        <v/>
      </c>
      <c r="N619" s="15" t="str">
        <f aca="false">IF($J619="","",IF($J619&gt;0,$M619/$J619,""))</f>
        <v/>
      </c>
      <c r="O619" s="12"/>
      <c r="P619" s="12"/>
      <c r="Q619" s="11"/>
      <c r="R619" s="11"/>
      <c r="S619" s="12"/>
      <c r="T619" s="16" t="str">
        <f aca="false">IF($J619="","",IF($C619="",1,$C619))</f>
        <v/>
      </c>
    </row>
    <row r="620" customFormat="false" ht="15" hidden="false" customHeight="false" outlineLevel="0" collapsed="false">
      <c r="A620" s="7"/>
      <c r="B620" s="8"/>
      <c r="C620" s="9"/>
      <c r="D620" s="10"/>
      <c r="E620" s="11"/>
      <c r="F620" s="11"/>
      <c r="G620" s="8"/>
      <c r="H620" s="11"/>
      <c r="I620" s="12"/>
      <c r="J620" s="13" t="str">
        <f aca="false">IF(OR($A620="",$D620=""),"",IF($C620="",1,$C620)*$D620+N($E620)-N($F620))</f>
        <v/>
      </c>
      <c r="K620" s="13" t="str">
        <f aca="false">IF($J620="","",IF($R620&lt;&gt;"",$R620,IF($G620="",0,MAX(IFERROR(INDEX(Settings!$D$6:$D$15,MATCH($G620,Settings!$A$6:$A$15,0)),0),$J620*IFERROR(INDEX(Settings!$B$6:$B$15,MATCH($G620,Settings!$A$6:$A$15,0)),0)+IFERROR(INDEX(Settings!$C$6:$C$15,MATCH($G620,Settings!$A$6:$A$15,0)),0)))))</f>
        <v/>
      </c>
      <c r="L620" s="13" t="str">
        <f aca="false">IF($J620="","",IF($C620="",1,$C620)*IF($Q620&lt;&gt;"",$Q620,IFERROR(INDEX(Products!$D$5:$D$54,MATCH($B620,Products!$A$5:$A$54,0)),0)))</f>
        <v/>
      </c>
      <c r="M620" s="14" t="str">
        <f aca="false">IF($J620="","",$J620-$K620-N($H620)-$L620)</f>
        <v/>
      </c>
      <c r="N620" s="15" t="str">
        <f aca="false">IF($J620="","",IF($J620&gt;0,$M620/$J620,""))</f>
        <v/>
      </c>
      <c r="O620" s="12"/>
      <c r="P620" s="12"/>
      <c r="Q620" s="11"/>
      <c r="R620" s="11"/>
      <c r="S620" s="12"/>
      <c r="T620" s="16" t="str">
        <f aca="false">IF($J620="","",IF($C620="",1,$C620))</f>
        <v/>
      </c>
    </row>
    <row r="621" customFormat="false" ht="15" hidden="false" customHeight="false" outlineLevel="0" collapsed="false">
      <c r="A621" s="7"/>
      <c r="B621" s="8"/>
      <c r="C621" s="9"/>
      <c r="D621" s="10"/>
      <c r="E621" s="11"/>
      <c r="F621" s="11"/>
      <c r="G621" s="8"/>
      <c r="H621" s="11"/>
      <c r="I621" s="12"/>
      <c r="J621" s="13" t="str">
        <f aca="false">IF(OR($A621="",$D621=""),"",IF($C621="",1,$C621)*$D621+N($E621)-N($F621))</f>
        <v/>
      </c>
      <c r="K621" s="13" t="str">
        <f aca="false">IF($J621="","",IF($R621&lt;&gt;"",$R621,IF($G621="",0,MAX(IFERROR(INDEX(Settings!$D$6:$D$15,MATCH($G621,Settings!$A$6:$A$15,0)),0),$J621*IFERROR(INDEX(Settings!$B$6:$B$15,MATCH($G621,Settings!$A$6:$A$15,0)),0)+IFERROR(INDEX(Settings!$C$6:$C$15,MATCH($G621,Settings!$A$6:$A$15,0)),0)))))</f>
        <v/>
      </c>
      <c r="L621" s="13" t="str">
        <f aca="false">IF($J621="","",IF($C621="",1,$C621)*IF($Q621&lt;&gt;"",$Q621,IFERROR(INDEX(Products!$D$5:$D$54,MATCH($B621,Products!$A$5:$A$54,0)),0)))</f>
        <v/>
      </c>
      <c r="M621" s="14" t="str">
        <f aca="false">IF($J621="","",$J621-$K621-N($H621)-$L621)</f>
        <v/>
      </c>
      <c r="N621" s="15" t="str">
        <f aca="false">IF($J621="","",IF($J621&gt;0,$M621/$J621,""))</f>
        <v/>
      </c>
      <c r="O621" s="12"/>
      <c r="P621" s="12"/>
      <c r="Q621" s="11"/>
      <c r="R621" s="11"/>
      <c r="S621" s="12"/>
      <c r="T621" s="16" t="str">
        <f aca="false">IF($J621="","",IF($C621="",1,$C621))</f>
        <v/>
      </c>
    </row>
    <row r="622" customFormat="false" ht="15" hidden="false" customHeight="false" outlineLevel="0" collapsed="false">
      <c r="A622" s="7"/>
      <c r="B622" s="8"/>
      <c r="C622" s="9"/>
      <c r="D622" s="10"/>
      <c r="E622" s="11"/>
      <c r="F622" s="11"/>
      <c r="G622" s="8"/>
      <c r="H622" s="11"/>
      <c r="I622" s="12"/>
      <c r="J622" s="13" t="str">
        <f aca="false">IF(OR($A622="",$D622=""),"",IF($C622="",1,$C622)*$D622+N($E622)-N($F622))</f>
        <v/>
      </c>
      <c r="K622" s="13" t="str">
        <f aca="false">IF($J622="","",IF($R622&lt;&gt;"",$R622,IF($G622="",0,MAX(IFERROR(INDEX(Settings!$D$6:$D$15,MATCH($G622,Settings!$A$6:$A$15,0)),0),$J622*IFERROR(INDEX(Settings!$B$6:$B$15,MATCH($G622,Settings!$A$6:$A$15,0)),0)+IFERROR(INDEX(Settings!$C$6:$C$15,MATCH($G622,Settings!$A$6:$A$15,0)),0)))))</f>
        <v/>
      </c>
      <c r="L622" s="13" t="str">
        <f aca="false">IF($J622="","",IF($C622="",1,$C622)*IF($Q622&lt;&gt;"",$Q622,IFERROR(INDEX(Products!$D$5:$D$54,MATCH($B622,Products!$A$5:$A$54,0)),0)))</f>
        <v/>
      </c>
      <c r="M622" s="14" t="str">
        <f aca="false">IF($J622="","",$J622-$K622-N($H622)-$L622)</f>
        <v/>
      </c>
      <c r="N622" s="15" t="str">
        <f aca="false">IF($J622="","",IF($J622&gt;0,$M622/$J622,""))</f>
        <v/>
      </c>
      <c r="O622" s="12"/>
      <c r="P622" s="12"/>
      <c r="Q622" s="11"/>
      <c r="R622" s="11"/>
      <c r="S622" s="12"/>
      <c r="T622" s="16" t="str">
        <f aca="false">IF($J622="","",IF($C622="",1,$C622))</f>
        <v/>
      </c>
    </row>
    <row r="623" customFormat="false" ht="15" hidden="false" customHeight="false" outlineLevel="0" collapsed="false">
      <c r="A623" s="7"/>
      <c r="B623" s="8"/>
      <c r="C623" s="9"/>
      <c r="D623" s="10"/>
      <c r="E623" s="11"/>
      <c r="F623" s="11"/>
      <c r="G623" s="8"/>
      <c r="H623" s="11"/>
      <c r="I623" s="12"/>
      <c r="J623" s="13" t="str">
        <f aca="false">IF(OR($A623="",$D623=""),"",IF($C623="",1,$C623)*$D623+N($E623)-N($F623))</f>
        <v/>
      </c>
      <c r="K623" s="13" t="str">
        <f aca="false">IF($J623="","",IF($R623&lt;&gt;"",$R623,IF($G623="",0,MAX(IFERROR(INDEX(Settings!$D$6:$D$15,MATCH($G623,Settings!$A$6:$A$15,0)),0),$J623*IFERROR(INDEX(Settings!$B$6:$B$15,MATCH($G623,Settings!$A$6:$A$15,0)),0)+IFERROR(INDEX(Settings!$C$6:$C$15,MATCH($G623,Settings!$A$6:$A$15,0)),0)))))</f>
        <v/>
      </c>
      <c r="L623" s="13" t="str">
        <f aca="false">IF($J623="","",IF($C623="",1,$C623)*IF($Q623&lt;&gt;"",$Q623,IFERROR(INDEX(Products!$D$5:$D$54,MATCH($B623,Products!$A$5:$A$54,0)),0)))</f>
        <v/>
      </c>
      <c r="M623" s="14" t="str">
        <f aca="false">IF($J623="","",$J623-$K623-N($H623)-$L623)</f>
        <v/>
      </c>
      <c r="N623" s="15" t="str">
        <f aca="false">IF($J623="","",IF($J623&gt;0,$M623/$J623,""))</f>
        <v/>
      </c>
      <c r="O623" s="12"/>
      <c r="P623" s="12"/>
      <c r="Q623" s="11"/>
      <c r="R623" s="11"/>
      <c r="S623" s="12"/>
      <c r="T623" s="16" t="str">
        <f aca="false">IF($J623="","",IF($C623="",1,$C623))</f>
        <v/>
      </c>
    </row>
    <row r="624" customFormat="false" ht="15" hidden="false" customHeight="false" outlineLevel="0" collapsed="false">
      <c r="A624" s="7"/>
      <c r="B624" s="8"/>
      <c r="C624" s="9"/>
      <c r="D624" s="10"/>
      <c r="E624" s="11"/>
      <c r="F624" s="11"/>
      <c r="G624" s="8"/>
      <c r="H624" s="11"/>
      <c r="I624" s="12"/>
      <c r="J624" s="13" t="str">
        <f aca="false">IF(OR($A624="",$D624=""),"",IF($C624="",1,$C624)*$D624+N($E624)-N($F624))</f>
        <v/>
      </c>
      <c r="K624" s="13" t="str">
        <f aca="false">IF($J624="","",IF($R624&lt;&gt;"",$R624,IF($G624="",0,MAX(IFERROR(INDEX(Settings!$D$6:$D$15,MATCH($G624,Settings!$A$6:$A$15,0)),0),$J624*IFERROR(INDEX(Settings!$B$6:$B$15,MATCH($G624,Settings!$A$6:$A$15,0)),0)+IFERROR(INDEX(Settings!$C$6:$C$15,MATCH($G624,Settings!$A$6:$A$15,0)),0)))))</f>
        <v/>
      </c>
      <c r="L624" s="13" t="str">
        <f aca="false">IF($J624="","",IF($C624="",1,$C624)*IF($Q624&lt;&gt;"",$Q624,IFERROR(INDEX(Products!$D$5:$D$54,MATCH($B624,Products!$A$5:$A$54,0)),0)))</f>
        <v/>
      </c>
      <c r="M624" s="14" t="str">
        <f aca="false">IF($J624="","",$J624-$K624-N($H624)-$L624)</f>
        <v/>
      </c>
      <c r="N624" s="15" t="str">
        <f aca="false">IF($J624="","",IF($J624&gt;0,$M624/$J624,""))</f>
        <v/>
      </c>
      <c r="O624" s="12"/>
      <c r="P624" s="12"/>
      <c r="Q624" s="11"/>
      <c r="R624" s="11"/>
      <c r="S624" s="12"/>
      <c r="T624" s="16" t="str">
        <f aca="false">IF($J624="","",IF($C624="",1,$C624))</f>
        <v/>
      </c>
    </row>
    <row r="625" customFormat="false" ht="15" hidden="false" customHeight="false" outlineLevel="0" collapsed="false">
      <c r="A625" s="7"/>
      <c r="B625" s="8"/>
      <c r="C625" s="9"/>
      <c r="D625" s="10"/>
      <c r="E625" s="11"/>
      <c r="F625" s="11"/>
      <c r="G625" s="8"/>
      <c r="H625" s="11"/>
      <c r="I625" s="12"/>
      <c r="J625" s="13" t="str">
        <f aca="false">IF(OR($A625="",$D625=""),"",IF($C625="",1,$C625)*$D625+N($E625)-N($F625))</f>
        <v/>
      </c>
      <c r="K625" s="13" t="str">
        <f aca="false">IF($J625="","",IF($R625&lt;&gt;"",$R625,IF($G625="",0,MAX(IFERROR(INDEX(Settings!$D$6:$D$15,MATCH($G625,Settings!$A$6:$A$15,0)),0),$J625*IFERROR(INDEX(Settings!$B$6:$B$15,MATCH($G625,Settings!$A$6:$A$15,0)),0)+IFERROR(INDEX(Settings!$C$6:$C$15,MATCH($G625,Settings!$A$6:$A$15,0)),0)))))</f>
        <v/>
      </c>
      <c r="L625" s="13" t="str">
        <f aca="false">IF($J625="","",IF($C625="",1,$C625)*IF($Q625&lt;&gt;"",$Q625,IFERROR(INDEX(Products!$D$5:$D$54,MATCH($B625,Products!$A$5:$A$54,0)),0)))</f>
        <v/>
      </c>
      <c r="M625" s="14" t="str">
        <f aca="false">IF($J625="","",$J625-$K625-N($H625)-$L625)</f>
        <v/>
      </c>
      <c r="N625" s="15" t="str">
        <f aca="false">IF($J625="","",IF($J625&gt;0,$M625/$J625,""))</f>
        <v/>
      </c>
      <c r="O625" s="12"/>
      <c r="P625" s="12"/>
      <c r="Q625" s="11"/>
      <c r="R625" s="11"/>
      <c r="S625" s="12"/>
      <c r="T625" s="16" t="str">
        <f aca="false">IF($J625="","",IF($C625="",1,$C625))</f>
        <v/>
      </c>
    </row>
    <row r="626" customFormat="false" ht="15" hidden="false" customHeight="false" outlineLevel="0" collapsed="false">
      <c r="A626" s="7"/>
      <c r="B626" s="8"/>
      <c r="C626" s="9"/>
      <c r="D626" s="10"/>
      <c r="E626" s="11"/>
      <c r="F626" s="11"/>
      <c r="G626" s="8"/>
      <c r="H626" s="11"/>
      <c r="I626" s="12"/>
      <c r="J626" s="13" t="str">
        <f aca="false">IF(OR($A626="",$D626=""),"",IF($C626="",1,$C626)*$D626+N($E626)-N($F626))</f>
        <v/>
      </c>
      <c r="K626" s="13" t="str">
        <f aca="false">IF($J626="","",IF($R626&lt;&gt;"",$R626,IF($G626="",0,MAX(IFERROR(INDEX(Settings!$D$6:$D$15,MATCH($G626,Settings!$A$6:$A$15,0)),0),$J626*IFERROR(INDEX(Settings!$B$6:$B$15,MATCH($G626,Settings!$A$6:$A$15,0)),0)+IFERROR(INDEX(Settings!$C$6:$C$15,MATCH($G626,Settings!$A$6:$A$15,0)),0)))))</f>
        <v/>
      </c>
      <c r="L626" s="13" t="str">
        <f aca="false">IF($J626="","",IF($C626="",1,$C626)*IF($Q626&lt;&gt;"",$Q626,IFERROR(INDEX(Products!$D$5:$D$54,MATCH($B626,Products!$A$5:$A$54,0)),0)))</f>
        <v/>
      </c>
      <c r="M626" s="14" t="str">
        <f aca="false">IF($J626="","",$J626-$K626-N($H626)-$L626)</f>
        <v/>
      </c>
      <c r="N626" s="15" t="str">
        <f aca="false">IF($J626="","",IF($J626&gt;0,$M626/$J626,""))</f>
        <v/>
      </c>
      <c r="O626" s="12"/>
      <c r="P626" s="12"/>
      <c r="Q626" s="11"/>
      <c r="R626" s="11"/>
      <c r="S626" s="12"/>
      <c r="T626" s="16" t="str">
        <f aca="false">IF($J626="","",IF($C626="",1,$C626))</f>
        <v/>
      </c>
    </row>
    <row r="627" customFormat="false" ht="15" hidden="false" customHeight="false" outlineLevel="0" collapsed="false">
      <c r="A627" s="7"/>
      <c r="B627" s="8"/>
      <c r="C627" s="9"/>
      <c r="D627" s="10"/>
      <c r="E627" s="11"/>
      <c r="F627" s="11"/>
      <c r="G627" s="8"/>
      <c r="H627" s="11"/>
      <c r="I627" s="12"/>
      <c r="J627" s="13" t="str">
        <f aca="false">IF(OR($A627="",$D627=""),"",IF($C627="",1,$C627)*$D627+N($E627)-N($F627))</f>
        <v/>
      </c>
      <c r="K627" s="13" t="str">
        <f aca="false">IF($J627="","",IF($R627&lt;&gt;"",$R627,IF($G627="",0,MAX(IFERROR(INDEX(Settings!$D$6:$D$15,MATCH($G627,Settings!$A$6:$A$15,0)),0),$J627*IFERROR(INDEX(Settings!$B$6:$B$15,MATCH($G627,Settings!$A$6:$A$15,0)),0)+IFERROR(INDEX(Settings!$C$6:$C$15,MATCH($G627,Settings!$A$6:$A$15,0)),0)))))</f>
        <v/>
      </c>
      <c r="L627" s="13" t="str">
        <f aca="false">IF($J627="","",IF($C627="",1,$C627)*IF($Q627&lt;&gt;"",$Q627,IFERROR(INDEX(Products!$D$5:$D$54,MATCH($B627,Products!$A$5:$A$54,0)),0)))</f>
        <v/>
      </c>
      <c r="M627" s="14" t="str">
        <f aca="false">IF($J627="","",$J627-$K627-N($H627)-$L627)</f>
        <v/>
      </c>
      <c r="N627" s="15" t="str">
        <f aca="false">IF($J627="","",IF($J627&gt;0,$M627/$J627,""))</f>
        <v/>
      </c>
      <c r="O627" s="12"/>
      <c r="P627" s="12"/>
      <c r="Q627" s="11"/>
      <c r="R627" s="11"/>
      <c r="S627" s="12"/>
      <c r="T627" s="16" t="str">
        <f aca="false">IF($J627="","",IF($C627="",1,$C627))</f>
        <v/>
      </c>
    </row>
    <row r="628" customFormat="false" ht="15" hidden="false" customHeight="false" outlineLevel="0" collapsed="false">
      <c r="A628" s="7"/>
      <c r="B628" s="8"/>
      <c r="C628" s="9"/>
      <c r="D628" s="10"/>
      <c r="E628" s="11"/>
      <c r="F628" s="11"/>
      <c r="G628" s="8"/>
      <c r="H628" s="11"/>
      <c r="I628" s="12"/>
      <c r="J628" s="13" t="str">
        <f aca="false">IF(OR($A628="",$D628=""),"",IF($C628="",1,$C628)*$D628+N($E628)-N($F628))</f>
        <v/>
      </c>
      <c r="K628" s="13" t="str">
        <f aca="false">IF($J628="","",IF($R628&lt;&gt;"",$R628,IF($G628="",0,MAX(IFERROR(INDEX(Settings!$D$6:$D$15,MATCH($G628,Settings!$A$6:$A$15,0)),0),$J628*IFERROR(INDEX(Settings!$B$6:$B$15,MATCH($G628,Settings!$A$6:$A$15,0)),0)+IFERROR(INDEX(Settings!$C$6:$C$15,MATCH($G628,Settings!$A$6:$A$15,0)),0)))))</f>
        <v/>
      </c>
      <c r="L628" s="13" t="str">
        <f aca="false">IF($J628="","",IF($C628="",1,$C628)*IF($Q628&lt;&gt;"",$Q628,IFERROR(INDEX(Products!$D$5:$D$54,MATCH($B628,Products!$A$5:$A$54,0)),0)))</f>
        <v/>
      </c>
      <c r="M628" s="14" t="str">
        <f aca="false">IF($J628="","",$J628-$K628-N($H628)-$L628)</f>
        <v/>
      </c>
      <c r="N628" s="15" t="str">
        <f aca="false">IF($J628="","",IF($J628&gt;0,$M628/$J628,""))</f>
        <v/>
      </c>
      <c r="O628" s="12"/>
      <c r="P628" s="12"/>
      <c r="Q628" s="11"/>
      <c r="R628" s="11"/>
      <c r="S628" s="12"/>
      <c r="T628" s="16" t="str">
        <f aca="false">IF($J628="","",IF($C628="",1,$C628))</f>
        <v/>
      </c>
    </row>
    <row r="629" customFormat="false" ht="15" hidden="false" customHeight="false" outlineLevel="0" collapsed="false">
      <c r="A629" s="7"/>
      <c r="B629" s="8"/>
      <c r="C629" s="9"/>
      <c r="D629" s="10"/>
      <c r="E629" s="11"/>
      <c r="F629" s="11"/>
      <c r="G629" s="8"/>
      <c r="H629" s="11"/>
      <c r="I629" s="12"/>
      <c r="J629" s="13" t="str">
        <f aca="false">IF(OR($A629="",$D629=""),"",IF($C629="",1,$C629)*$D629+N($E629)-N($F629))</f>
        <v/>
      </c>
      <c r="K629" s="13" t="str">
        <f aca="false">IF($J629="","",IF($R629&lt;&gt;"",$R629,IF($G629="",0,MAX(IFERROR(INDEX(Settings!$D$6:$D$15,MATCH($G629,Settings!$A$6:$A$15,0)),0),$J629*IFERROR(INDEX(Settings!$B$6:$B$15,MATCH($G629,Settings!$A$6:$A$15,0)),0)+IFERROR(INDEX(Settings!$C$6:$C$15,MATCH($G629,Settings!$A$6:$A$15,0)),0)))))</f>
        <v/>
      </c>
      <c r="L629" s="13" t="str">
        <f aca="false">IF($J629="","",IF($C629="",1,$C629)*IF($Q629&lt;&gt;"",$Q629,IFERROR(INDEX(Products!$D$5:$D$54,MATCH($B629,Products!$A$5:$A$54,0)),0)))</f>
        <v/>
      </c>
      <c r="M629" s="14" t="str">
        <f aca="false">IF($J629="","",$J629-$K629-N($H629)-$L629)</f>
        <v/>
      </c>
      <c r="N629" s="15" t="str">
        <f aca="false">IF($J629="","",IF($J629&gt;0,$M629/$J629,""))</f>
        <v/>
      </c>
      <c r="O629" s="12"/>
      <c r="P629" s="12"/>
      <c r="Q629" s="11"/>
      <c r="R629" s="11"/>
      <c r="S629" s="12"/>
      <c r="T629" s="16" t="str">
        <f aca="false">IF($J629="","",IF($C629="",1,$C629))</f>
        <v/>
      </c>
    </row>
    <row r="630" customFormat="false" ht="15" hidden="false" customHeight="false" outlineLevel="0" collapsed="false">
      <c r="A630" s="7"/>
      <c r="B630" s="8"/>
      <c r="C630" s="9"/>
      <c r="D630" s="10"/>
      <c r="E630" s="11"/>
      <c r="F630" s="11"/>
      <c r="G630" s="8"/>
      <c r="H630" s="11"/>
      <c r="I630" s="12"/>
      <c r="J630" s="13" t="str">
        <f aca="false">IF(OR($A630="",$D630=""),"",IF($C630="",1,$C630)*$D630+N($E630)-N($F630))</f>
        <v/>
      </c>
      <c r="K630" s="13" t="str">
        <f aca="false">IF($J630="","",IF($R630&lt;&gt;"",$R630,IF($G630="",0,MAX(IFERROR(INDEX(Settings!$D$6:$D$15,MATCH($G630,Settings!$A$6:$A$15,0)),0),$J630*IFERROR(INDEX(Settings!$B$6:$B$15,MATCH($G630,Settings!$A$6:$A$15,0)),0)+IFERROR(INDEX(Settings!$C$6:$C$15,MATCH($G630,Settings!$A$6:$A$15,0)),0)))))</f>
        <v/>
      </c>
      <c r="L630" s="13" t="str">
        <f aca="false">IF($J630="","",IF($C630="",1,$C630)*IF($Q630&lt;&gt;"",$Q630,IFERROR(INDEX(Products!$D$5:$D$54,MATCH($B630,Products!$A$5:$A$54,0)),0)))</f>
        <v/>
      </c>
      <c r="M630" s="14" t="str">
        <f aca="false">IF($J630="","",$J630-$K630-N($H630)-$L630)</f>
        <v/>
      </c>
      <c r="N630" s="15" t="str">
        <f aca="false">IF($J630="","",IF($J630&gt;0,$M630/$J630,""))</f>
        <v/>
      </c>
      <c r="O630" s="12"/>
      <c r="P630" s="12"/>
      <c r="Q630" s="11"/>
      <c r="R630" s="11"/>
      <c r="S630" s="12"/>
      <c r="T630" s="16" t="str">
        <f aca="false">IF($J630="","",IF($C630="",1,$C630))</f>
        <v/>
      </c>
    </row>
    <row r="631" customFormat="false" ht="15" hidden="false" customHeight="false" outlineLevel="0" collapsed="false">
      <c r="A631" s="7"/>
      <c r="B631" s="8"/>
      <c r="C631" s="9"/>
      <c r="D631" s="10"/>
      <c r="E631" s="11"/>
      <c r="F631" s="11"/>
      <c r="G631" s="8"/>
      <c r="H631" s="11"/>
      <c r="I631" s="12"/>
      <c r="J631" s="13" t="str">
        <f aca="false">IF(OR($A631="",$D631=""),"",IF($C631="",1,$C631)*$D631+N($E631)-N($F631))</f>
        <v/>
      </c>
      <c r="K631" s="13" t="str">
        <f aca="false">IF($J631="","",IF($R631&lt;&gt;"",$R631,IF($G631="",0,MAX(IFERROR(INDEX(Settings!$D$6:$D$15,MATCH($G631,Settings!$A$6:$A$15,0)),0),$J631*IFERROR(INDEX(Settings!$B$6:$B$15,MATCH($G631,Settings!$A$6:$A$15,0)),0)+IFERROR(INDEX(Settings!$C$6:$C$15,MATCH($G631,Settings!$A$6:$A$15,0)),0)))))</f>
        <v/>
      </c>
      <c r="L631" s="13" t="str">
        <f aca="false">IF($J631="","",IF($C631="",1,$C631)*IF($Q631&lt;&gt;"",$Q631,IFERROR(INDEX(Products!$D$5:$D$54,MATCH($B631,Products!$A$5:$A$54,0)),0)))</f>
        <v/>
      </c>
      <c r="M631" s="14" t="str">
        <f aca="false">IF($J631="","",$J631-$K631-N($H631)-$L631)</f>
        <v/>
      </c>
      <c r="N631" s="15" t="str">
        <f aca="false">IF($J631="","",IF($J631&gt;0,$M631/$J631,""))</f>
        <v/>
      </c>
      <c r="O631" s="12"/>
      <c r="P631" s="12"/>
      <c r="Q631" s="11"/>
      <c r="R631" s="11"/>
      <c r="S631" s="12"/>
      <c r="T631" s="16" t="str">
        <f aca="false">IF($J631="","",IF($C631="",1,$C631))</f>
        <v/>
      </c>
    </row>
    <row r="632" customFormat="false" ht="15" hidden="false" customHeight="false" outlineLevel="0" collapsed="false">
      <c r="A632" s="7"/>
      <c r="B632" s="8"/>
      <c r="C632" s="9"/>
      <c r="D632" s="10"/>
      <c r="E632" s="11"/>
      <c r="F632" s="11"/>
      <c r="G632" s="8"/>
      <c r="H632" s="11"/>
      <c r="I632" s="12"/>
      <c r="J632" s="13" t="str">
        <f aca="false">IF(OR($A632="",$D632=""),"",IF($C632="",1,$C632)*$D632+N($E632)-N($F632))</f>
        <v/>
      </c>
      <c r="K632" s="13" t="str">
        <f aca="false">IF($J632="","",IF($R632&lt;&gt;"",$R632,IF($G632="",0,MAX(IFERROR(INDEX(Settings!$D$6:$D$15,MATCH($G632,Settings!$A$6:$A$15,0)),0),$J632*IFERROR(INDEX(Settings!$B$6:$B$15,MATCH($G632,Settings!$A$6:$A$15,0)),0)+IFERROR(INDEX(Settings!$C$6:$C$15,MATCH($G632,Settings!$A$6:$A$15,0)),0)))))</f>
        <v/>
      </c>
      <c r="L632" s="13" t="str">
        <f aca="false">IF($J632="","",IF($C632="",1,$C632)*IF($Q632&lt;&gt;"",$Q632,IFERROR(INDEX(Products!$D$5:$D$54,MATCH($B632,Products!$A$5:$A$54,0)),0)))</f>
        <v/>
      </c>
      <c r="M632" s="14" t="str">
        <f aca="false">IF($J632="","",$J632-$K632-N($H632)-$L632)</f>
        <v/>
      </c>
      <c r="N632" s="15" t="str">
        <f aca="false">IF($J632="","",IF($J632&gt;0,$M632/$J632,""))</f>
        <v/>
      </c>
      <c r="O632" s="12"/>
      <c r="P632" s="12"/>
      <c r="Q632" s="11"/>
      <c r="R632" s="11"/>
      <c r="S632" s="12"/>
      <c r="T632" s="16" t="str">
        <f aca="false">IF($J632="","",IF($C632="",1,$C632))</f>
        <v/>
      </c>
    </row>
    <row r="633" customFormat="false" ht="15" hidden="false" customHeight="false" outlineLevel="0" collapsed="false">
      <c r="A633" s="7"/>
      <c r="B633" s="8"/>
      <c r="C633" s="9"/>
      <c r="D633" s="10"/>
      <c r="E633" s="11"/>
      <c r="F633" s="11"/>
      <c r="G633" s="8"/>
      <c r="H633" s="11"/>
      <c r="I633" s="12"/>
      <c r="J633" s="13" t="str">
        <f aca="false">IF(OR($A633="",$D633=""),"",IF($C633="",1,$C633)*$D633+N($E633)-N($F633))</f>
        <v/>
      </c>
      <c r="K633" s="13" t="str">
        <f aca="false">IF($J633="","",IF($R633&lt;&gt;"",$R633,IF($G633="",0,MAX(IFERROR(INDEX(Settings!$D$6:$D$15,MATCH($G633,Settings!$A$6:$A$15,0)),0),$J633*IFERROR(INDEX(Settings!$B$6:$B$15,MATCH($G633,Settings!$A$6:$A$15,0)),0)+IFERROR(INDEX(Settings!$C$6:$C$15,MATCH($G633,Settings!$A$6:$A$15,0)),0)))))</f>
        <v/>
      </c>
      <c r="L633" s="13" t="str">
        <f aca="false">IF($J633="","",IF($C633="",1,$C633)*IF($Q633&lt;&gt;"",$Q633,IFERROR(INDEX(Products!$D$5:$D$54,MATCH($B633,Products!$A$5:$A$54,0)),0)))</f>
        <v/>
      </c>
      <c r="M633" s="14" t="str">
        <f aca="false">IF($J633="","",$J633-$K633-N($H633)-$L633)</f>
        <v/>
      </c>
      <c r="N633" s="15" t="str">
        <f aca="false">IF($J633="","",IF($J633&gt;0,$M633/$J633,""))</f>
        <v/>
      </c>
      <c r="O633" s="12"/>
      <c r="P633" s="12"/>
      <c r="Q633" s="11"/>
      <c r="R633" s="11"/>
      <c r="S633" s="12"/>
      <c r="T633" s="16" t="str">
        <f aca="false">IF($J633="","",IF($C633="",1,$C633))</f>
        <v/>
      </c>
    </row>
    <row r="634" customFormat="false" ht="15" hidden="false" customHeight="false" outlineLevel="0" collapsed="false">
      <c r="A634" s="7"/>
      <c r="B634" s="8"/>
      <c r="C634" s="9"/>
      <c r="D634" s="10"/>
      <c r="E634" s="11"/>
      <c r="F634" s="11"/>
      <c r="G634" s="8"/>
      <c r="H634" s="11"/>
      <c r="I634" s="12"/>
      <c r="J634" s="13" t="str">
        <f aca="false">IF(OR($A634="",$D634=""),"",IF($C634="",1,$C634)*$D634+N($E634)-N($F634))</f>
        <v/>
      </c>
      <c r="K634" s="13" t="str">
        <f aca="false">IF($J634="","",IF($R634&lt;&gt;"",$R634,IF($G634="",0,MAX(IFERROR(INDEX(Settings!$D$6:$D$15,MATCH($G634,Settings!$A$6:$A$15,0)),0),$J634*IFERROR(INDEX(Settings!$B$6:$B$15,MATCH($G634,Settings!$A$6:$A$15,0)),0)+IFERROR(INDEX(Settings!$C$6:$C$15,MATCH($G634,Settings!$A$6:$A$15,0)),0)))))</f>
        <v/>
      </c>
      <c r="L634" s="13" t="str">
        <f aca="false">IF($J634="","",IF($C634="",1,$C634)*IF($Q634&lt;&gt;"",$Q634,IFERROR(INDEX(Products!$D$5:$D$54,MATCH($B634,Products!$A$5:$A$54,0)),0)))</f>
        <v/>
      </c>
      <c r="M634" s="14" t="str">
        <f aca="false">IF($J634="","",$J634-$K634-N($H634)-$L634)</f>
        <v/>
      </c>
      <c r="N634" s="15" t="str">
        <f aca="false">IF($J634="","",IF($J634&gt;0,$M634/$J634,""))</f>
        <v/>
      </c>
      <c r="O634" s="12"/>
      <c r="P634" s="12"/>
      <c r="Q634" s="11"/>
      <c r="R634" s="11"/>
      <c r="S634" s="12"/>
      <c r="T634" s="16" t="str">
        <f aca="false">IF($J634="","",IF($C634="",1,$C634))</f>
        <v/>
      </c>
    </row>
    <row r="635" customFormat="false" ht="15" hidden="false" customHeight="false" outlineLevel="0" collapsed="false">
      <c r="A635" s="7"/>
      <c r="B635" s="8"/>
      <c r="C635" s="9"/>
      <c r="D635" s="10"/>
      <c r="E635" s="11"/>
      <c r="F635" s="11"/>
      <c r="G635" s="8"/>
      <c r="H635" s="11"/>
      <c r="I635" s="12"/>
      <c r="J635" s="13" t="str">
        <f aca="false">IF(OR($A635="",$D635=""),"",IF($C635="",1,$C635)*$D635+N($E635)-N($F635))</f>
        <v/>
      </c>
      <c r="K635" s="13" t="str">
        <f aca="false">IF($J635="","",IF($R635&lt;&gt;"",$R635,IF($G635="",0,MAX(IFERROR(INDEX(Settings!$D$6:$D$15,MATCH($G635,Settings!$A$6:$A$15,0)),0),$J635*IFERROR(INDEX(Settings!$B$6:$B$15,MATCH($G635,Settings!$A$6:$A$15,0)),0)+IFERROR(INDEX(Settings!$C$6:$C$15,MATCH($G635,Settings!$A$6:$A$15,0)),0)))))</f>
        <v/>
      </c>
      <c r="L635" s="13" t="str">
        <f aca="false">IF($J635="","",IF($C635="",1,$C635)*IF($Q635&lt;&gt;"",$Q635,IFERROR(INDEX(Products!$D$5:$D$54,MATCH($B635,Products!$A$5:$A$54,0)),0)))</f>
        <v/>
      </c>
      <c r="M635" s="14" t="str">
        <f aca="false">IF($J635="","",$J635-$K635-N($H635)-$L635)</f>
        <v/>
      </c>
      <c r="N635" s="15" t="str">
        <f aca="false">IF($J635="","",IF($J635&gt;0,$M635/$J635,""))</f>
        <v/>
      </c>
      <c r="O635" s="12"/>
      <c r="P635" s="12"/>
      <c r="Q635" s="11"/>
      <c r="R635" s="11"/>
      <c r="S635" s="12"/>
      <c r="T635" s="16" t="str">
        <f aca="false">IF($J635="","",IF($C635="",1,$C635))</f>
        <v/>
      </c>
    </row>
    <row r="636" customFormat="false" ht="15" hidden="false" customHeight="false" outlineLevel="0" collapsed="false">
      <c r="A636" s="7"/>
      <c r="B636" s="8"/>
      <c r="C636" s="9"/>
      <c r="D636" s="10"/>
      <c r="E636" s="11"/>
      <c r="F636" s="11"/>
      <c r="G636" s="8"/>
      <c r="H636" s="11"/>
      <c r="I636" s="12"/>
      <c r="J636" s="13" t="str">
        <f aca="false">IF(OR($A636="",$D636=""),"",IF($C636="",1,$C636)*$D636+N($E636)-N($F636))</f>
        <v/>
      </c>
      <c r="K636" s="13" t="str">
        <f aca="false">IF($J636="","",IF($R636&lt;&gt;"",$R636,IF($G636="",0,MAX(IFERROR(INDEX(Settings!$D$6:$D$15,MATCH($G636,Settings!$A$6:$A$15,0)),0),$J636*IFERROR(INDEX(Settings!$B$6:$B$15,MATCH($G636,Settings!$A$6:$A$15,0)),0)+IFERROR(INDEX(Settings!$C$6:$C$15,MATCH($G636,Settings!$A$6:$A$15,0)),0)))))</f>
        <v/>
      </c>
      <c r="L636" s="13" t="str">
        <f aca="false">IF($J636="","",IF($C636="",1,$C636)*IF($Q636&lt;&gt;"",$Q636,IFERROR(INDEX(Products!$D$5:$D$54,MATCH($B636,Products!$A$5:$A$54,0)),0)))</f>
        <v/>
      </c>
      <c r="M636" s="14" t="str">
        <f aca="false">IF($J636="","",$J636-$K636-N($H636)-$L636)</f>
        <v/>
      </c>
      <c r="N636" s="15" t="str">
        <f aca="false">IF($J636="","",IF($J636&gt;0,$M636/$J636,""))</f>
        <v/>
      </c>
      <c r="O636" s="12"/>
      <c r="P636" s="12"/>
      <c r="Q636" s="11"/>
      <c r="R636" s="11"/>
      <c r="S636" s="12"/>
      <c r="T636" s="16" t="str">
        <f aca="false">IF($J636="","",IF($C636="",1,$C636))</f>
        <v/>
      </c>
    </row>
    <row r="637" customFormat="false" ht="15" hidden="false" customHeight="false" outlineLevel="0" collapsed="false">
      <c r="A637" s="7"/>
      <c r="B637" s="8"/>
      <c r="C637" s="9"/>
      <c r="D637" s="10"/>
      <c r="E637" s="11"/>
      <c r="F637" s="11"/>
      <c r="G637" s="8"/>
      <c r="H637" s="11"/>
      <c r="I637" s="12"/>
      <c r="J637" s="13" t="str">
        <f aca="false">IF(OR($A637="",$D637=""),"",IF($C637="",1,$C637)*$D637+N($E637)-N($F637))</f>
        <v/>
      </c>
      <c r="K637" s="13" t="str">
        <f aca="false">IF($J637="","",IF($R637&lt;&gt;"",$R637,IF($G637="",0,MAX(IFERROR(INDEX(Settings!$D$6:$D$15,MATCH($G637,Settings!$A$6:$A$15,0)),0),$J637*IFERROR(INDEX(Settings!$B$6:$B$15,MATCH($G637,Settings!$A$6:$A$15,0)),0)+IFERROR(INDEX(Settings!$C$6:$C$15,MATCH($G637,Settings!$A$6:$A$15,0)),0)))))</f>
        <v/>
      </c>
      <c r="L637" s="13" t="str">
        <f aca="false">IF($J637="","",IF($C637="",1,$C637)*IF($Q637&lt;&gt;"",$Q637,IFERROR(INDEX(Products!$D$5:$D$54,MATCH($B637,Products!$A$5:$A$54,0)),0)))</f>
        <v/>
      </c>
      <c r="M637" s="14" t="str">
        <f aca="false">IF($J637="","",$J637-$K637-N($H637)-$L637)</f>
        <v/>
      </c>
      <c r="N637" s="15" t="str">
        <f aca="false">IF($J637="","",IF($J637&gt;0,$M637/$J637,""))</f>
        <v/>
      </c>
      <c r="O637" s="12"/>
      <c r="P637" s="12"/>
      <c r="Q637" s="11"/>
      <c r="R637" s="11"/>
      <c r="S637" s="12"/>
      <c r="T637" s="16" t="str">
        <f aca="false">IF($J637="","",IF($C637="",1,$C637))</f>
        <v/>
      </c>
    </row>
    <row r="638" customFormat="false" ht="15" hidden="false" customHeight="false" outlineLevel="0" collapsed="false">
      <c r="A638" s="7"/>
      <c r="B638" s="8"/>
      <c r="C638" s="9"/>
      <c r="D638" s="10"/>
      <c r="E638" s="11"/>
      <c r="F638" s="11"/>
      <c r="G638" s="8"/>
      <c r="H638" s="11"/>
      <c r="I638" s="12"/>
      <c r="J638" s="13" t="str">
        <f aca="false">IF(OR($A638="",$D638=""),"",IF($C638="",1,$C638)*$D638+N($E638)-N($F638))</f>
        <v/>
      </c>
      <c r="K638" s="13" t="str">
        <f aca="false">IF($J638="","",IF($R638&lt;&gt;"",$R638,IF($G638="",0,MAX(IFERROR(INDEX(Settings!$D$6:$D$15,MATCH($G638,Settings!$A$6:$A$15,0)),0),$J638*IFERROR(INDEX(Settings!$B$6:$B$15,MATCH($G638,Settings!$A$6:$A$15,0)),0)+IFERROR(INDEX(Settings!$C$6:$C$15,MATCH($G638,Settings!$A$6:$A$15,0)),0)))))</f>
        <v/>
      </c>
      <c r="L638" s="13" t="str">
        <f aca="false">IF($J638="","",IF($C638="",1,$C638)*IF($Q638&lt;&gt;"",$Q638,IFERROR(INDEX(Products!$D$5:$D$54,MATCH($B638,Products!$A$5:$A$54,0)),0)))</f>
        <v/>
      </c>
      <c r="M638" s="14" t="str">
        <f aca="false">IF($J638="","",$J638-$K638-N($H638)-$L638)</f>
        <v/>
      </c>
      <c r="N638" s="15" t="str">
        <f aca="false">IF($J638="","",IF($J638&gt;0,$M638/$J638,""))</f>
        <v/>
      </c>
      <c r="O638" s="12"/>
      <c r="P638" s="12"/>
      <c r="Q638" s="11"/>
      <c r="R638" s="11"/>
      <c r="S638" s="12"/>
      <c r="T638" s="16" t="str">
        <f aca="false">IF($J638="","",IF($C638="",1,$C638))</f>
        <v/>
      </c>
    </row>
    <row r="639" customFormat="false" ht="15" hidden="false" customHeight="false" outlineLevel="0" collapsed="false">
      <c r="A639" s="7"/>
      <c r="B639" s="8"/>
      <c r="C639" s="9"/>
      <c r="D639" s="10"/>
      <c r="E639" s="11"/>
      <c r="F639" s="11"/>
      <c r="G639" s="8"/>
      <c r="H639" s="11"/>
      <c r="I639" s="12"/>
      <c r="J639" s="13" t="str">
        <f aca="false">IF(OR($A639="",$D639=""),"",IF($C639="",1,$C639)*$D639+N($E639)-N($F639))</f>
        <v/>
      </c>
      <c r="K639" s="13" t="str">
        <f aca="false">IF($J639="","",IF($R639&lt;&gt;"",$R639,IF($G639="",0,MAX(IFERROR(INDEX(Settings!$D$6:$D$15,MATCH($G639,Settings!$A$6:$A$15,0)),0),$J639*IFERROR(INDEX(Settings!$B$6:$B$15,MATCH($G639,Settings!$A$6:$A$15,0)),0)+IFERROR(INDEX(Settings!$C$6:$C$15,MATCH($G639,Settings!$A$6:$A$15,0)),0)))))</f>
        <v/>
      </c>
      <c r="L639" s="13" t="str">
        <f aca="false">IF($J639="","",IF($C639="",1,$C639)*IF($Q639&lt;&gt;"",$Q639,IFERROR(INDEX(Products!$D$5:$D$54,MATCH($B639,Products!$A$5:$A$54,0)),0)))</f>
        <v/>
      </c>
      <c r="M639" s="14" t="str">
        <f aca="false">IF($J639="","",$J639-$K639-N($H639)-$L639)</f>
        <v/>
      </c>
      <c r="N639" s="15" t="str">
        <f aca="false">IF($J639="","",IF($J639&gt;0,$M639/$J639,""))</f>
        <v/>
      </c>
      <c r="O639" s="12"/>
      <c r="P639" s="12"/>
      <c r="Q639" s="11"/>
      <c r="R639" s="11"/>
      <c r="S639" s="12"/>
      <c r="T639" s="16" t="str">
        <f aca="false">IF($J639="","",IF($C639="",1,$C639))</f>
        <v/>
      </c>
    </row>
    <row r="640" customFormat="false" ht="15" hidden="false" customHeight="false" outlineLevel="0" collapsed="false">
      <c r="A640" s="7"/>
      <c r="B640" s="8"/>
      <c r="C640" s="9"/>
      <c r="D640" s="10"/>
      <c r="E640" s="11"/>
      <c r="F640" s="11"/>
      <c r="G640" s="8"/>
      <c r="H640" s="11"/>
      <c r="I640" s="12"/>
      <c r="J640" s="13" t="str">
        <f aca="false">IF(OR($A640="",$D640=""),"",IF($C640="",1,$C640)*$D640+N($E640)-N($F640))</f>
        <v/>
      </c>
      <c r="K640" s="13" t="str">
        <f aca="false">IF($J640="","",IF($R640&lt;&gt;"",$R640,IF($G640="",0,MAX(IFERROR(INDEX(Settings!$D$6:$D$15,MATCH($G640,Settings!$A$6:$A$15,0)),0),$J640*IFERROR(INDEX(Settings!$B$6:$B$15,MATCH($G640,Settings!$A$6:$A$15,0)),0)+IFERROR(INDEX(Settings!$C$6:$C$15,MATCH($G640,Settings!$A$6:$A$15,0)),0)))))</f>
        <v/>
      </c>
      <c r="L640" s="13" t="str">
        <f aca="false">IF($J640="","",IF($C640="",1,$C640)*IF($Q640&lt;&gt;"",$Q640,IFERROR(INDEX(Products!$D$5:$D$54,MATCH($B640,Products!$A$5:$A$54,0)),0)))</f>
        <v/>
      </c>
      <c r="M640" s="14" t="str">
        <f aca="false">IF($J640="","",$J640-$K640-N($H640)-$L640)</f>
        <v/>
      </c>
      <c r="N640" s="15" t="str">
        <f aca="false">IF($J640="","",IF($J640&gt;0,$M640/$J640,""))</f>
        <v/>
      </c>
      <c r="O640" s="12"/>
      <c r="P640" s="12"/>
      <c r="Q640" s="11"/>
      <c r="R640" s="11"/>
      <c r="S640" s="12"/>
      <c r="T640" s="16" t="str">
        <f aca="false">IF($J640="","",IF($C640="",1,$C640))</f>
        <v/>
      </c>
    </row>
    <row r="641" customFormat="false" ht="15" hidden="false" customHeight="false" outlineLevel="0" collapsed="false">
      <c r="A641" s="7"/>
      <c r="B641" s="8"/>
      <c r="C641" s="9"/>
      <c r="D641" s="10"/>
      <c r="E641" s="11"/>
      <c r="F641" s="11"/>
      <c r="G641" s="8"/>
      <c r="H641" s="11"/>
      <c r="I641" s="12"/>
      <c r="J641" s="13" t="str">
        <f aca="false">IF(OR($A641="",$D641=""),"",IF($C641="",1,$C641)*$D641+N($E641)-N($F641))</f>
        <v/>
      </c>
      <c r="K641" s="13" t="str">
        <f aca="false">IF($J641="","",IF($R641&lt;&gt;"",$R641,IF($G641="",0,MAX(IFERROR(INDEX(Settings!$D$6:$D$15,MATCH($G641,Settings!$A$6:$A$15,0)),0),$J641*IFERROR(INDEX(Settings!$B$6:$B$15,MATCH($G641,Settings!$A$6:$A$15,0)),0)+IFERROR(INDEX(Settings!$C$6:$C$15,MATCH($G641,Settings!$A$6:$A$15,0)),0)))))</f>
        <v/>
      </c>
      <c r="L641" s="13" t="str">
        <f aca="false">IF($J641="","",IF($C641="",1,$C641)*IF($Q641&lt;&gt;"",$Q641,IFERROR(INDEX(Products!$D$5:$D$54,MATCH($B641,Products!$A$5:$A$54,0)),0)))</f>
        <v/>
      </c>
      <c r="M641" s="14" t="str">
        <f aca="false">IF($J641="","",$J641-$K641-N($H641)-$L641)</f>
        <v/>
      </c>
      <c r="N641" s="15" t="str">
        <f aca="false">IF($J641="","",IF($J641&gt;0,$M641/$J641,""))</f>
        <v/>
      </c>
      <c r="O641" s="12"/>
      <c r="P641" s="12"/>
      <c r="Q641" s="11"/>
      <c r="R641" s="11"/>
      <c r="S641" s="12"/>
      <c r="T641" s="16" t="str">
        <f aca="false">IF($J641="","",IF($C641="",1,$C641))</f>
        <v/>
      </c>
    </row>
    <row r="642" customFormat="false" ht="15" hidden="false" customHeight="false" outlineLevel="0" collapsed="false">
      <c r="A642" s="7"/>
      <c r="B642" s="8"/>
      <c r="C642" s="9"/>
      <c r="D642" s="10"/>
      <c r="E642" s="11"/>
      <c r="F642" s="11"/>
      <c r="G642" s="8"/>
      <c r="H642" s="11"/>
      <c r="I642" s="12"/>
      <c r="J642" s="13" t="str">
        <f aca="false">IF(OR($A642="",$D642=""),"",IF($C642="",1,$C642)*$D642+N($E642)-N($F642))</f>
        <v/>
      </c>
      <c r="K642" s="13" t="str">
        <f aca="false">IF($J642="","",IF($R642&lt;&gt;"",$R642,IF($G642="",0,MAX(IFERROR(INDEX(Settings!$D$6:$D$15,MATCH($G642,Settings!$A$6:$A$15,0)),0),$J642*IFERROR(INDEX(Settings!$B$6:$B$15,MATCH($G642,Settings!$A$6:$A$15,0)),0)+IFERROR(INDEX(Settings!$C$6:$C$15,MATCH($G642,Settings!$A$6:$A$15,0)),0)))))</f>
        <v/>
      </c>
      <c r="L642" s="13" t="str">
        <f aca="false">IF($J642="","",IF($C642="",1,$C642)*IF($Q642&lt;&gt;"",$Q642,IFERROR(INDEX(Products!$D$5:$D$54,MATCH($B642,Products!$A$5:$A$54,0)),0)))</f>
        <v/>
      </c>
      <c r="M642" s="14" t="str">
        <f aca="false">IF($J642="","",$J642-$K642-N($H642)-$L642)</f>
        <v/>
      </c>
      <c r="N642" s="15" t="str">
        <f aca="false">IF($J642="","",IF($J642&gt;0,$M642/$J642,""))</f>
        <v/>
      </c>
      <c r="O642" s="12"/>
      <c r="P642" s="12"/>
      <c r="Q642" s="11"/>
      <c r="R642" s="11"/>
      <c r="S642" s="12"/>
      <c r="T642" s="16" t="str">
        <f aca="false">IF($J642="","",IF($C642="",1,$C642))</f>
        <v/>
      </c>
    </row>
    <row r="643" customFormat="false" ht="15" hidden="false" customHeight="false" outlineLevel="0" collapsed="false">
      <c r="A643" s="7"/>
      <c r="B643" s="8"/>
      <c r="C643" s="9"/>
      <c r="D643" s="10"/>
      <c r="E643" s="11"/>
      <c r="F643" s="11"/>
      <c r="G643" s="8"/>
      <c r="H643" s="11"/>
      <c r="I643" s="12"/>
      <c r="J643" s="13" t="str">
        <f aca="false">IF(OR($A643="",$D643=""),"",IF($C643="",1,$C643)*$D643+N($E643)-N($F643))</f>
        <v/>
      </c>
      <c r="K643" s="13" t="str">
        <f aca="false">IF($J643="","",IF($R643&lt;&gt;"",$R643,IF($G643="",0,MAX(IFERROR(INDEX(Settings!$D$6:$D$15,MATCH($G643,Settings!$A$6:$A$15,0)),0),$J643*IFERROR(INDEX(Settings!$B$6:$B$15,MATCH($G643,Settings!$A$6:$A$15,0)),0)+IFERROR(INDEX(Settings!$C$6:$C$15,MATCH($G643,Settings!$A$6:$A$15,0)),0)))))</f>
        <v/>
      </c>
      <c r="L643" s="13" t="str">
        <f aca="false">IF($J643="","",IF($C643="",1,$C643)*IF($Q643&lt;&gt;"",$Q643,IFERROR(INDEX(Products!$D$5:$D$54,MATCH($B643,Products!$A$5:$A$54,0)),0)))</f>
        <v/>
      </c>
      <c r="M643" s="14" t="str">
        <f aca="false">IF($J643="","",$J643-$K643-N($H643)-$L643)</f>
        <v/>
      </c>
      <c r="N643" s="15" t="str">
        <f aca="false">IF($J643="","",IF($J643&gt;0,$M643/$J643,""))</f>
        <v/>
      </c>
      <c r="O643" s="12"/>
      <c r="P643" s="12"/>
      <c r="Q643" s="11"/>
      <c r="R643" s="11"/>
      <c r="S643" s="12"/>
      <c r="T643" s="16" t="str">
        <f aca="false">IF($J643="","",IF($C643="",1,$C643))</f>
        <v/>
      </c>
    </row>
    <row r="644" customFormat="false" ht="15" hidden="false" customHeight="false" outlineLevel="0" collapsed="false">
      <c r="A644" s="7"/>
      <c r="B644" s="8"/>
      <c r="C644" s="9"/>
      <c r="D644" s="10"/>
      <c r="E644" s="11"/>
      <c r="F644" s="11"/>
      <c r="G644" s="8"/>
      <c r="H644" s="11"/>
      <c r="I644" s="12"/>
      <c r="J644" s="13" t="str">
        <f aca="false">IF(OR($A644="",$D644=""),"",IF($C644="",1,$C644)*$D644+N($E644)-N($F644))</f>
        <v/>
      </c>
      <c r="K644" s="13" t="str">
        <f aca="false">IF($J644="","",IF($R644&lt;&gt;"",$R644,IF($G644="",0,MAX(IFERROR(INDEX(Settings!$D$6:$D$15,MATCH($G644,Settings!$A$6:$A$15,0)),0),$J644*IFERROR(INDEX(Settings!$B$6:$B$15,MATCH($G644,Settings!$A$6:$A$15,0)),0)+IFERROR(INDEX(Settings!$C$6:$C$15,MATCH($G644,Settings!$A$6:$A$15,0)),0)))))</f>
        <v/>
      </c>
      <c r="L644" s="13" t="str">
        <f aca="false">IF($J644="","",IF($C644="",1,$C644)*IF($Q644&lt;&gt;"",$Q644,IFERROR(INDEX(Products!$D$5:$D$54,MATCH($B644,Products!$A$5:$A$54,0)),0)))</f>
        <v/>
      </c>
      <c r="M644" s="14" t="str">
        <f aca="false">IF($J644="","",$J644-$K644-N($H644)-$L644)</f>
        <v/>
      </c>
      <c r="N644" s="15" t="str">
        <f aca="false">IF($J644="","",IF($J644&gt;0,$M644/$J644,""))</f>
        <v/>
      </c>
      <c r="O644" s="12"/>
      <c r="P644" s="12"/>
      <c r="Q644" s="11"/>
      <c r="R644" s="11"/>
      <c r="S644" s="12"/>
      <c r="T644" s="16" t="str">
        <f aca="false">IF($J644="","",IF($C644="",1,$C644))</f>
        <v/>
      </c>
    </row>
    <row r="645" customFormat="false" ht="15" hidden="false" customHeight="false" outlineLevel="0" collapsed="false">
      <c r="A645" s="7"/>
      <c r="B645" s="8"/>
      <c r="C645" s="9"/>
      <c r="D645" s="10"/>
      <c r="E645" s="11"/>
      <c r="F645" s="11"/>
      <c r="G645" s="8"/>
      <c r="H645" s="11"/>
      <c r="I645" s="12"/>
      <c r="J645" s="13" t="str">
        <f aca="false">IF(OR($A645="",$D645=""),"",IF($C645="",1,$C645)*$D645+N($E645)-N($F645))</f>
        <v/>
      </c>
      <c r="K645" s="13" t="str">
        <f aca="false">IF($J645="","",IF($R645&lt;&gt;"",$R645,IF($G645="",0,MAX(IFERROR(INDEX(Settings!$D$6:$D$15,MATCH($G645,Settings!$A$6:$A$15,0)),0),$J645*IFERROR(INDEX(Settings!$B$6:$B$15,MATCH($G645,Settings!$A$6:$A$15,0)),0)+IFERROR(INDEX(Settings!$C$6:$C$15,MATCH($G645,Settings!$A$6:$A$15,0)),0)))))</f>
        <v/>
      </c>
      <c r="L645" s="13" t="str">
        <f aca="false">IF($J645="","",IF($C645="",1,$C645)*IF($Q645&lt;&gt;"",$Q645,IFERROR(INDEX(Products!$D$5:$D$54,MATCH($B645,Products!$A$5:$A$54,0)),0)))</f>
        <v/>
      </c>
      <c r="M645" s="14" t="str">
        <f aca="false">IF($J645="","",$J645-$K645-N($H645)-$L645)</f>
        <v/>
      </c>
      <c r="N645" s="15" t="str">
        <f aca="false">IF($J645="","",IF($J645&gt;0,$M645/$J645,""))</f>
        <v/>
      </c>
      <c r="O645" s="12"/>
      <c r="P645" s="12"/>
      <c r="Q645" s="11"/>
      <c r="R645" s="11"/>
      <c r="S645" s="12"/>
      <c r="T645" s="16" t="str">
        <f aca="false">IF($J645="","",IF($C645="",1,$C645))</f>
        <v/>
      </c>
    </row>
    <row r="646" customFormat="false" ht="15" hidden="false" customHeight="false" outlineLevel="0" collapsed="false">
      <c r="A646" s="7"/>
      <c r="B646" s="8"/>
      <c r="C646" s="9"/>
      <c r="D646" s="10"/>
      <c r="E646" s="11"/>
      <c r="F646" s="11"/>
      <c r="G646" s="8"/>
      <c r="H646" s="11"/>
      <c r="I646" s="12"/>
      <c r="J646" s="13" t="str">
        <f aca="false">IF(OR($A646="",$D646=""),"",IF($C646="",1,$C646)*$D646+N($E646)-N($F646))</f>
        <v/>
      </c>
      <c r="K646" s="13" t="str">
        <f aca="false">IF($J646="","",IF($R646&lt;&gt;"",$R646,IF($G646="",0,MAX(IFERROR(INDEX(Settings!$D$6:$D$15,MATCH($G646,Settings!$A$6:$A$15,0)),0),$J646*IFERROR(INDEX(Settings!$B$6:$B$15,MATCH($G646,Settings!$A$6:$A$15,0)),0)+IFERROR(INDEX(Settings!$C$6:$C$15,MATCH($G646,Settings!$A$6:$A$15,0)),0)))))</f>
        <v/>
      </c>
      <c r="L646" s="13" t="str">
        <f aca="false">IF($J646="","",IF($C646="",1,$C646)*IF($Q646&lt;&gt;"",$Q646,IFERROR(INDEX(Products!$D$5:$D$54,MATCH($B646,Products!$A$5:$A$54,0)),0)))</f>
        <v/>
      </c>
      <c r="M646" s="14" t="str">
        <f aca="false">IF($J646="","",$J646-$K646-N($H646)-$L646)</f>
        <v/>
      </c>
      <c r="N646" s="15" t="str">
        <f aca="false">IF($J646="","",IF($J646&gt;0,$M646/$J646,""))</f>
        <v/>
      </c>
      <c r="O646" s="12"/>
      <c r="P646" s="12"/>
      <c r="Q646" s="11"/>
      <c r="R646" s="11"/>
      <c r="S646" s="12"/>
      <c r="T646" s="16" t="str">
        <f aca="false">IF($J646="","",IF($C646="",1,$C646))</f>
        <v/>
      </c>
    </row>
    <row r="647" customFormat="false" ht="15" hidden="false" customHeight="false" outlineLevel="0" collapsed="false">
      <c r="A647" s="7"/>
      <c r="B647" s="8"/>
      <c r="C647" s="9"/>
      <c r="D647" s="10"/>
      <c r="E647" s="11"/>
      <c r="F647" s="11"/>
      <c r="G647" s="8"/>
      <c r="H647" s="11"/>
      <c r="I647" s="12"/>
      <c r="J647" s="13" t="str">
        <f aca="false">IF(OR($A647="",$D647=""),"",IF($C647="",1,$C647)*$D647+N($E647)-N($F647))</f>
        <v/>
      </c>
      <c r="K647" s="13" t="str">
        <f aca="false">IF($J647="","",IF($R647&lt;&gt;"",$R647,IF($G647="",0,MAX(IFERROR(INDEX(Settings!$D$6:$D$15,MATCH($G647,Settings!$A$6:$A$15,0)),0),$J647*IFERROR(INDEX(Settings!$B$6:$B$15,MATCH($G647,Settings!$A$6:$A$15,0)),0)+IFERROR(INDEX(Settings!$C$6:$C$15,MATCH($G647,Settings!$A$6:$A$15,0)),0)))))</f>
        <v/>
      </c>
      <c r="L647" s="13" t="str">
        <f aca="false">IF($J647="","",IF($C647="",1,$C647)*IF($Q647&lt;&gt;"",$Q647,IFERROR(INDEX(Products!$D$5:$D$54,MATCH($B647,Products!$A$5:$A$54,0)),0)))</f>
        <v/>
      </c>
      <c r="M647" s="14" t="str">
        <f aca="false">IF($J647="","",$J647-$K647-N($H647)-$L647)</f>
        <v/>
      </c>
      <c r="N647" s="15" t="str">
        <f aca="false">IF($J647="","",IF($J647&gt;0,$M647/$J647,""))</f>
        <v/>
      </c>
      <c r="O647" s="12"/>
      <c r="P647" s="12"/>
      <c r="Q647" s="11"/>
      <c r="R647" s="11"/>
      <c r="S647" s="12"/>
      <c r="T647" s="16" t="str">
        <f aca="false">IF($J647="","",IF($C647="",1,$C647))</f>
        <v/>
      </c>
    </row>
    <row r="648" customFormat="false" ht="15" hidden="false" customHeight="false" outlineLevel="0" collapsed="false">
      <c r="A648" s="7"/>
      <c r="B648" s="8"/>
      <c r="C648" s="9"/>
      <c r="D648" s="10"/>
      <c r="E648" s="11"/>
      <c r="F648" s="11"/>
      <c r="G648" s="8"/>
      <c r="H648" s="11"/>
      <c r="I648" s="12"/>
      <c r="J648" s="13" t="str">
        <f aca="false">IF(OR($A648="",$D648=""),"",IF($C648="",1,$C648)*$D648+N($E648)-N($F648))</f>
        <v/>
      </c>
      <c r="K648" s="13" t="str">
        <f aca="false">IF($J648="","",IF($R648&lt;&gt;"",$R648,IF($G648="",0,MAX(IFERROR(INDEX(Settings!$D$6:$D$15,MATCH($G648,Settings!$A$6:$A$15,0)),0),$J648*IFERROR(INDEX(Settings!$B$6:$B$15,MATCH($G648,Settings!$A$6:$A$15,0)),0)+IFERROR(INDEX(Settings!$C$6:$C$15,MATCH($G648,Settings!$A$6:$A$15,0)),0)))))</f>
        <v/>
      </c>
      <c r="L648" s="13" t="str">
        <f aca="false">IF($J648="","",IF($C648="",1,$C648)*IF($Q648&lt;&gt;"",$Q648,IFERROR(INDEX(Products!$D$5:$D$54,MATCH($B648,Products!$A$5:$A$54,0)),0)))</f>
        <v/>
      </c>
      <c r="M648" s="14" t="str">
        <f aca="false">IF($J648="","",$J648-$K648-N($H648)-$L648)</f>
        <v/>
      </c>
      <c r="N648" s="15" t="str">
        <f aca="false">IF($J648="","",IF($J648&gt;0,$M648/$J648,""))</f>
        <v/>
      </c>
      <c r="O648" s="12"/>
      <c r="P648" s="12"/>
      <c r="Q648" s="11"/>
      <c r="R648" s="11"/>
      <c r="S648" s="12"/>
      <c r="T648" s="16" t="str">
        <f aca="false">IF($J648="","",IF($C648="",1,$C648))</f>
        <v/>
      </c>
    </row>
    <row r="649" customFormat="false" ht="15" hidden="false" customHeight="false" outlineLevel="0" collapsed="false">
      <c r="A649" s="7"/>
      <c r="B649" s="8"/>
      <c r="C649" s="9"/>
      <c r="D649" s="10"/>
      <c r="E649" s="11"/>
      <c r="F649" s="11"/>
      <c r="G649" s="8"/>
      <c r="H649" s="11"/>
      <c r="I649" s="12"/>
      <c r="J649" s="13" t="str">
        <f aca="false">IF(OR($A649="",$D649=""),"",IF($C649="",1,$C649)*$D649+N($E649)-N($F649))</f>
        <v/>
      </c>
      <c r="K649" s="13" t="str">
        <f aca="false">IF($J649="","",IF($R649&lt;&gt;"",$R649,IF($G649="",0,MAX(IFERROR(INDEX(Settings!$D$6:$D$15,MATCH($G649,Settings!$A$6:$A$15,0)),0),$J649*IFERROR(INDEX(Settings!$B$6:$B$15,MATCH($G649,Settings!$A$6:$A$15,0)),0)+IFERROR(INDEX(Settings!$C$6:$C$15,MATCH($G649,Settings!$A$6:$A$15,0)),0)))))</f>
        <v/>
      </c>
      <c r="L649" s="13" t="str">
        <f aca="false">IF($J649="","",IF($C649="",1,$C649)*IF($Q649&lt;&gt;"",$Q649,IFERROR(INDEX(Products!$D$5:$D$54,MATCH($B649,Products!$A$5:$A$54,0)),0)))</f>
        <v/>
      </c>
      <c r="M649" s="14" t="str">
        <f aca="false">IF($J649="","",$J649-$K649-N($H649)-$L649)</f>
        <v/>
      </c>
      <c r="N649" s="15" t="str">
        <f aca="false">IF($J649="","",IF($J649&gt;0,$M649/$J649,""))</f>
        <v/>
      </c>
      <c r="O649" s="12"/>
      <c r="P649" s="12"/>
      <c r="Q649" s="11"/>
      <c r="R649" s="11"/>
      <c r="S649" s="12"/>
      <c r="T649" s="16" t="str">
        <f aca="false">IF($J649="","",IF($C649="",1,$C649))</f>
        <v/>
      </c>
    </row>
    <row r="650" customFormat="false" ht="15" hidden="false" customHeight="false" outlineLevel="0" collapsed="false">
      <c r="A650" s="7"/>
      <c r="B650" s="8"/>
      <c r="C650" s="9"/>
      <c r="D650" s="10"/>
      <c r="E650" s="11"/>
      <c r="F650" s="11"/>
      <c r="G650" s="8"/>
      <c r="H650" s="11"/>
      <c r="I650" s="12"/>
      <c r="J650" s="13" t="str">
        <f aca="false">IF(OR($A650="",$D650=""),"",IF($C650="",1,$C650)*$D650+N($E650)-N($F650))</f>
        <v/>
      </c>
      <c r="K650" s="13" t="str">
        <f aca="false">IF($J650="","",IF($R650&lt;&gt;"",$R650,IF($G650="",0,MAX(IFERROR(INDEX(Settings!$D$6:$D$15,MATCH($G650,Settings!$A$6:$A$15,0)),0),$J650*IFERROR(INDEX(Settings!$B$6:$B$15,MATCH($G650,Settings!$A$6:$A$15,0)),0)+IFERROR(INDEX(Settings!$C$6:$C$15,MATCH($G650,Settings!$A$6:$A$15,0)),0)))))</f>
        <v/>
      </c>
      <c r="L650" s="13" t="str">
        <f aca="false">IF($J650="","",IF($C650="",1,$C650)*IF($Q650&lt;&gt;"",$Q650,IFERROR(INDEX(Products!$D$5:$D$54,MATCH($B650,Products!$A$5:$A$54,0)),0)))</f>
        <v/>
      </c>
      <c r="M650" s="14" t="str">
        <f aca="false">IF($J650="","",$J650-$K650-N($H650)-$L650)</f>
        <v/>
      </c>
      <c r="N650" s="15" t="str">
        <f aca="false">IF($J650="","",IF($J650&gt;0,$M650/$J650,""))</f>
        <v/>
      </c>
      <c r="O650" s="12"/>
      <c r="P650" s="12"/>
      <c r="Q650" s="11"/>
      <c r="R650" s="11"/>
      <c r="S650" s="12"/>
      <c r="T650" s="16" t="str">
        <f aca="false">IF($J650="","",IF($C650="",1,$C650))</f>
        <v/>
      </c>
    </row>
    <row r="651" customFormat="false" ht="15" hidden="false" customHeight="false" outlineLevel="0" collapsed="false">
      <c r="A651" s="7"/>
      <c r="B651" s="8"/>
      <c r="C651" s="9"/>
      <c r="D651" s="10"/>
      <c r="E651" s="11"/>
      <c r="F651" s="11"/>
      <c r="G651" s="8"/>
      <c r="H651" s="11"/>
      <c r="I651" s="12"/>
      <c r="J651" s="13" t="str">
        <f aca="false">IF(OR($A651="",$D651=""),"",IF($C651="",1,$C651)*$D651+N($E651)-N($F651))</f>
        <v/>
      </c>
      <c r="K651" s="13" t="str">
        <f aca="false">IF($J651="","",IF($R651&lt;&gt;"",$R651,IF($G651="",0,MAX(IFERROR(INDEX(Settings!$D$6:$D$15,MATCH($G651,Settings!$A$6:$A$15,0)),0),$J651*IFERROR(INDEX(Settings!$B$6:$B$15,MATCH($G651,Settings!$A$6:$A$15,0)),0)+IFERROR(INDEX(Settings!$C$6:$C$15,MATCH($G651,Settings!$A$6:$A$15,0)),0)))))</f>
        <v/>
      </c>
      <c r="L651" s="13" t="str">
        <f aca="false">IF($J651="","",IF($C651="",1,$C651)*IF($Q651&lt;&gt;"",$Q651,IFERROR(INDEX(Products!$D$5:$D$54,MATCH($B651,Products!$A$5:$A$54,0)),0)))</f>
        <v/>
      </c>
      <c r="M651" s="14" t="str">
        <f aca="false">IF($J651="","",$J651-$K651-N($H651)-$L651)</f>
        <v/>
      </c>
      <c r="N651" s="15" t="str">
        <f aca="false">IF($J651="","",IF($J651&gt;0,$M651/$J651,""))</f>
        <v/>
      </c>
      <c r="O651" s="12"/>
      <c r="P651" s="12"/>
      <c r="Q651" s="11"/>
      <c r="R651" s="11"/>
      <c r="S651" s="12"/>
      <c r="T651" s="16" t="str">
        <f aca="false">IF($J651="","",IF($C651="",1,$C651))</f>
        <v/>
      </c>
    </row>
    <row r="652" customFormat="false" ht="15" hidden="false" customHeight="false" outlineLevel="0" collapsed="false">
      <c r="A652" s="7"/>
      <c r="B652" s="8"/>
      <c r="C652" s="9"/>
      <c r="D652" s="10"/>
      <c r="E652" s="11"/>
      <c r="F652" s="11"/>
      <c r="G652" s="8"/>
      <c r="H652" s="11"/>
      <c r="I652" s="12"/>
      <c r="J652" s="13" t="str">
        <f aca="false">IF(OR($A652="",$D652=""),"",IF($C652="",1,$C652)*$D652+N($E652)-N($F652))</f>
        <v/>
      </c>
      <c r="K652" s="13" t="str">
        <f aca="false">IF($J652="","",IF($R652&lt;&gt;"",$R652,IF($G652="",0,MAX(IFERROR(INDEX(Settings!$D$6:$D$15,MATCH($G652,Settings!$A$6:$A$15,0)),0),$J652*IFERROR(INDEX(Settings!$B$6:$B$15,MATCH($G652,Settings!$A$6:$A$15,0)),0)+IFERROR(INDEX(Settings!$C$6:$C$15,MATCH($G652,Settings!$A$6:$A$15,0)),0)))))</f>
        <v/>
      </c>
      <c r="L652" s="13" t="str">
        <f aca="false">IF($J652="","",IF($C652="",1,$C652)*IF($Q652&lt;&gt;"",$Q652,IFERROR(INDEX(Products!$D$5:$D$54,MATCH($B652,Products!$A$5:$A$54,0)),0)))</f>
        <v/>
      </c>
      <c r="M652" s="14" t="str">
        <f aca="false">IF($J652="","",$J652-$K652-N($H652)-$L652)</f>
        <v/>
      </c>
      <c r="N652" s="15" t="str">
        <f aca="false">IF($J652="","",IF($J652&gt;0,$M652/$J652,""))</f>
        <v/>
      </c>
      <c r="O652" s="12"/>
      <c r="P652" s="12"/>
      <c r="Q652" s="11"/>
      <c r="R652" s="11"/>
      <c r="S652" s="12"/>
      <c r="T652" s="16" t="str">
        <f aca="false">IF($J652="","",IF($C652="",1,$C652))</f>
        <v/>
      </c>
    </row>
    <row r="653" customFormat="false" ht="15" hidden="false" customHeight="false" outlineLevel="0" collapsed="false">
      <c r="A653" s="7"/>
      <c r="B653" s="8"/>
      <c r="C653" s="9"/>
      <c r="D653" s="10"/>
      <c r="E653" s="11"/>
      <c r="F653" s="11"/>
      <c r="G653" s="8"/>
      <c r="H653" s="11"/>
      <c r="I653" s="12"/>
      <c r="J653" s="13" t="str">
        <f aca="false">IF(OR($A653="",$D653=""),"",IF($C653="",1,$C653)*$D653+N($E653)-N($F653))</f>
        <v/>
      </c>
      <c r="K653" s="13" t="str">
        <f aca="false">IF($J653="","",IF($R653&lt;&gt;"",$R653,IF($G653="",0,MAX(IFERROR(INDEX(Settings!$D$6:$D$15,MATCH($G653,Settings!$A$6:$A$15,0)),0),$J653*IFERROR(INDEX(Settings!$B$6:$B$15,MATCH($G653,Settings!$A$6:$A$15,0)),0)+IFERROR(INDEX(Settings!$C$6:$C$15,MATCH($G653,Settings!$A$6:$A$15,0)),0)))))</f>
        <v/>
      </c>
      <c r="L653" s="13" t="str">
        <f aca="false">IF($J653="","",IF($C653="",1,$C653)*IF($Q653&lt;&gt;"",$Q653,IFERROR(INDEX(Products!$D$5:$D$54,MATCH($B653,Products!$A$5:$A$54,0)),0)))</f>
        <v/>
      </c>
      <c r="M653" s="14" t="str">
        <f aca="false">IF($J653="","",$J653-$K653-N($H653)-$L653)</f>
        <v/>
      </c>
      <c r="N653" s="15" t="str">
        <f aca="false">IF($J653="","",IF($J653&gt;0,$M653/$J653,""))</f>
        <v/>
      </c>
      <c r="O653" s="12"/>
      <c r="P653" s="12"/>
      <c r="Q653" s="11"/>
      <c r="R653" s="11"/>
      <c r="S653" s="12"/>
      <c r="T653" s="16" t="str">
        <f aca="false">IF($J653="","",IF($C653="",1,$C653))</f>
        <v/>
      </c>
    </row>
    <row r="654" customFormat="false" ht="15" hidden="false" customHeight="false" outlineLevel="0" collapsed="false">
      <c r="A654" s="7"/>
      <c r="B654" s="8"/>
      <c r="C654" s="9"/>
      <c r="D654" s="10"/>
      <c r="E654" s="11"/>
      <c r="F654" s="11"/>
      <c r="G654" s="8"/>
      <c r="H654" s="11"/>
      <c r="I654" s="12"/>
      <c r="J654" s="13" t="str">
        <f aca="false">IF(OR($A654="",$D654=""),"",IF($C654="",1,$C654)*$D654+N($E654)-N($F654))</f>
        <v/>
      </c>
      <c r="K654" s="13" t="str">
        <f aca="false">IF($J654="","",IF($R654&lt;&gt;"",$R654,IF($G654="",0,MAX(IFERROR(INDEX(Settings!$D$6:$D$15,MATCH($G654,Settings!$A$6:$A$15,0)),0),$J654*IFERROR(INDEX(Settings!$B$6:$B$15,MATCH($G654,Settings!$A$6:$A$15,0)),0)+IFERROR(INDEX(Settings!$C$6:$C$15,MATCH($G654,Settings!$A$6:$A$15,0)),0)))))</f>
        <v/>
      </c>
      <c r="L654" s="13" t="str">
        <f aca="false">IF($J654="","",IF($C654="",1,$C654)*IF($Q654&lt;&gt;"",$Q654,IFERROR(INDEX(Products!$D$5:$D$54,MATCH($B654,Products!$A$5:$A$54,0)),0)))</f>
        <v/>
      </c>
      <c r="M654" s="14" t="str">
        <f aca="false">IF($J654="","",$J654-$K654-N($H654)-$L654)</f>
        <v/>
      </c>
      <c r="N654" s="15" t="str">
        <f aca="false">IF($J654="","",IF($J654&gt;0,$M654/$J654,""))</f>
        <v/>
      </c>
      <c r="O654" s="12"/>
      <c r="P654" s="12"/>
      <c r="Q654" s="11"/>
      <c r="R654" s="11"/>
      <c r="S654" s="12"/>
      <c r="T654" s="16" t="str">
        <f aca="false">IF($J654="","",IF($C654="",1,$C654))</f>
        <v/>
      </c>
    </row>
    <row r="655" customFormat="false" ht="15" hidden="false" customHeight="false" outlineLevel="0" collapsed="false">
      <c r="A655" s="7"/>
      <c r="B655" s="8"/>
      <c r="C655" s="9"/>
      <c r="D655" s="10"/>
      <c r="E655" s="11"/>
      <c r="F655" s="11"/>
      <c r="G655" s="8"/>
      <c r="H655" s="11"/>
      <c r="I655" s="12"/>
      <c r="J655" s="13" t="str">
        <f aca="false">IF(OR($A655="",$D655=""),"",IF($C655="",1,$C655)*$D655+N($E655)-N($F655))</f>
        <v/>
      </c>
      <c r="K655" s="13" t="str">
        <f aca="false">IF($J655="","",IF($R655&lt;&gt;"",$R655,IF($G655="",0,MAX(IFERROR(INDEX(Settings!$D$6:$D$15,MATCH($G655,Settings!$A$6:$A$15,0)),0),$J655*IFERROR(INDEX(Settings!$B$6:$B$15,MATCH($G655,Settings!$A$6:$A$15,0)),0)+IFERROR(INDEX(Settings!$C$6:$C$15,MATCH($G655,Settings!$A$6:$A$15,0)),0)))))</f>
        <v/>
      </c>
      <c r="L655" s="13" t="str">
        <f aca="false">IF($J655="","",IF($C655="",1,$C655)*IF($Q655&lt;&gt;"",$Q655,IFERROR(INDEX(Products!$D$5:$D$54,MATCH($B655,Products!$A$5:$A$54,0)),0)))</f>
        <v/>
      </c>
      <c r="M655" s="14" t="str">
        <f aca="false">IF($J655="","",$J655-$K655-N($H655)-$L655)</f>
        <v/>
      </c>
      <c r="N655" s="15" t="str">
        <f aca="false">IF($J655="","",IF($J655&gt;0,$M655/$J655,""))</f>
        <v/>
      </c>
      <c r="O655" s="12"/>
      <c r="P655" s="12"/>
      <c r="Q655" s="11"/>
      <c r="R655" s="11"/>
      <c r="S655" s="12"/>
      <c r="T655" s="16" t="str">
        <f aca="false">IF($J655="","",IF($C655="",1,$C655))</f>
        <v/>
      </c>
    </row>
    <row r="656" customFormat="false" ht="15" hidden="false" customHeight="false" outlineLevel="0" collapsed="false">
      <c r="A656" s="7"/>
      <c r="B656" s="8"/>
      <c r="C656" s="9"/>
      <c r="D656" s="10"/>
      <c r="E656" s="11"/>
      <c r="F656" s="11"/>
      <c r="G656" s="8"/>
      <c r="H656" s="11"/>
      <c r="I656" s="12"/>
      <c r="J656" s="13" t="str">
        <f aca="false">IF(OR($A656="",$D656=""),"",IF($C656="",1,$C656)*$D656+N($E656)-N($F656))</f>
        <v/>
      </c>
      <c r="K656" s="13" t="str">
        <f aca="false">IF($J656="","",IF($R656&lt;&gt;"",$R656,IF($G656="",0,MAX(IFERROR(INDEX(Settings!$D$6:$D$15,MATCH($G656,Settings!$A$6:$A$15,0)),0),$J656*IFERROR(INDEX(Settings!$B$6:$B$15,MATCH($G656,Settings!$A$6:$A$15,0)),0)+IFERROR(INDEX(Settings!$C$6:$C$15,MATCH($G656,Settings!$A$6:$A$15,0)),0)))))</f>
        <v/>
      </c>
      <c r="L656" s="13" t="str">
        <f aca="false">IF($J656="","",IF($C656="",1,$C656)*IF($Q656&lt;&gt;"",$Q656,IFERROR(INDEX(Products!$D$5:$D$54,MATCH($B656,Products!$A$5:$A$54,0)),0)))</f>
        <v/>
      </c>
      <c r="M656" s="14" t="str">
        <f aca="false">IF($J656="","",$J656-$K656-N($H656)-$L656)</f>
        <v/>
      </c>
      <c r="N656" s="15" t="str">
        <f aca="false">IF($J656="","",IF($J656&gt;0,$M656/$J656,""))</f>
        <v/>
      </c>
      <c r="O656" s="12"/>
      <c r="P656" s="12"/>
      <c r="Q656" s="11"/>
      <c r="R656" s="11"/>
      <c r="S656" s="12"/>
      <c r="T656" s="16" t="str">
        <f aca="false">IF($J656="","",IF($C656="",1,$C656))</f>
        <v/>
      </c>
    </row>
    <row r="657" customFormat="false" ht="15" hidden="false" customHeight="false" outlineLevel="0" collapsed="false">
      <c r="A657" s="7"/>
      <c r="B657" s="8"/>
      <c r="C657" s="9"/>
      <c r="D657" s="10"/>
      <c r="E657" s="11"/>
      <c r="F657" s="11"/>
      <c r="G657" s="8"/>
      <c r="H657" s="11"/>
      <c r="I657" s="12"/>
      <c r="J657" s="13" t="str">
        <f aca="false">IF(OR($A657="",$D657=""),"",IF($C657="",1,$C657)*$D657+N($E657)-N($F657))</f>
        <v/>
      </c>
      <c r="K657" s="13" t="str">
        <f aca="false">IF($J657="","",IF($R657&lt;&gt;"",$R657,IF($G657="",0,MAX(IFERROR(INDEX(Settings!$D$6:$D$15,MATCH($G657,Settings!$A$6:$A$15,0)),0),$J657*IFERROR(INDEX(Settings!$B$6:$B$15,MATCH($G657,Settings!$A$6:$A$15,0)),0)+IFERROR(INDEX(Settings!$C$6:$C$15,MATCH($G657,Settings!$A$6:$A$15,0)),0)))))</f>
        <v/>
      </c>
      <c r="L657" s="13" t="str">
        <f aca="false">IF($J657="","",IF($C657="",1,$C657)*IF($Q657&lt;&gt;"",$Q657,IFERROR(INDEX(Products!$D$5:$D$54,MATCH($B657,Products!$A$5:$A$54,0)),0)))</f>
        <v/>
      </c>
      <c r="M657" s="14" t="str">
        <f aca="false">IF($J657="","",$J657-$K657-N($H657)-$L657)</f>
        <v/>
      </c>
      <c r="N657" s="15" t="str">
        <f aca="false">IF($J657="","",IF($J657&gt;0,$M657/$J657,""))</f>
        <v/>
      </c>
      <c r="O657" s="12"/>
      <c r="P657" s="12"/>
      <c r="Q657" s="11"/>
      <c r="R657" s="11"/>
      <c r="S657" s="12"/>
      <c r="T657" s="16" t="str">
        <f aca="false">IF($J657="","",IF($C657="",1,$C657))</f>
        <v/>
      </c>
    </row>
    <row r="658" customFormat="false" ht="15" hidden="false" customHeight="false" outlineLevel="0" collapsed="false">
      <c r="A658" s="7"/>
      <c r="B658" s="8"/>
      <c r="C658" s="9"/>
      <c r="D658" s="10"/>
      <c r="E658" s="11"/>
      <c r="F658" s="11"/>
      <c r="G658" s="8"/>
      <c r="H658" s="11"/>
      <c r="I658" s="12"/>
      <c r="J658" s="13" t="str">
        <f aca="false">IF(OR($A658="",$D658=""),"",IF($C658="",1,$C658)*$D658+N($E658)-N($F658))</f>
        <v/>
      </c>
      <c r="K658" s="13" t="str">
        <f aca="false">IF($J658="","",IF($R658&lt;&gt;"",$R658,IF($G658="",0,MAX(IFERROR(INDEX(Settings!$D$6:$D$15,MATCH($G658,Settings!$A$6:$A$15,0)),0),$J658*IFERROR(INDEX(Settings!$B$6:$B$15,MATCH($G658,Settings!$A$6:$A$15,0)),0)+IFERROR(INDEX(Settings!$C$6:$C$15,MATCH($G658,Settings!$A$6:$A$15,0)),0)))))</f>
        <v/>
      </c>
      <c r="L658" s="13" t="str">
        <f aca="false">IF($J658="","",IF($C658="",1,$C658)*IF($Q658&lt;&gt;"",$Q658,IFERROR(INDEX(Products!$D$5:$D$54,MATCH($B658,Products!$A$5:$A$54,0)),0)))</f>
        <v/>
      </c>
      <c r="M658" s="14" t="str">
        <f aca="false">IF($J658="","",$J658-$K658-N($H658)-$L658)</f>
        <v/>
      </c>
      <c r="N658" s="15" t="str">
        <f aca="false">IF($J658="","",IF($J658&gt;0,$M658/$J658,""))</f>
        <v/>
      </c>
      <c r="O658" s="12"/>
      <c r="P658" s="12"/>
      <c r="Q658" s="11"/>
      <c r="R658" s="11"/>
      <c r="S658" s="12"/>
      <c r="T658" s="16" t="str">
        <f aca="false">IF($J658="","",IF($C658="",1,$C658))</f>
        <v/>
      </c>
    </row>
    <row r="659" customFormat="false" ht="15" hidden="false" customHeight="false" outlineLevel="0" collapsed="false">
      <c r="A659" s="7"/>
      <c r="B659" s="8"/>
      <c r="C659" s="9"/>
      <c r="D659" s="10"/>
      <c r="E659" s="11"/>
      <c r="F659" s="11"/>
      <c r="G659" s="8"/>
      <c r="H659" s="11"/>
      <c r="I659" s="12"/>
      <c r="J659" s="13" t="str">
        <f aca="false">IF(OR($A659="",$D659=""),"",IF($C659="",1,$C659)*$D659+N($E659)-N($F659))</f>
        <v/>
      </c>
      <c r="K659" s="13" t="str">
        <f aca="false">IF($J659="","",IF($R659&lt;&gt;"",$R659,IF($G659="",0,MAX(IFERROR(INDEX(Settings!$D$6:$D$15,MATCH($G659,Settings!$A$6:$A$15,0)),0),$J659*IFERROR(INDEX(Settings!$B$6:$B$15,MATCH($G659,Settings!$A$6:$A$15,0)),0)+IFERROR(INDEX(Settings!$C$6:$C$15,MATCH($G659,Settings!$A$6:$A$15,0)),0)))))</f>
        <v/>
      </c>
      <c r="L659" s="13" t="str">
        <f aca="false">IF($J659="","",IF($C659="",1,$C659)*IF($Q659&lt;&gt;"",$Q659,IFERROR(INDEX(Products!$D$5:$D$54,MATCH($B659,Products!$A$5:$A$54,0)),0)))</f>
        <v/>
      </c>
      <c r="M659" s="14" t="str">
        <f aca="false">IF($J659="","",$J659-$K659-N($H659)-$L659)</f>
        <v/>
      </c>
      <c r="N659" s="15" t="str">
        <f aca="false">IF($J659="","",IF($J659&gt;0,$M659/$J659,""))</f>
        <v/>
      </c>
      <c r="O659" s="12"/>
      <c r="P659" s="12"/>
      <c r="Q659" s="11"/>
      <c r="R659" s="11"/>
      <c r="S659" s="12"/>
      <c r="T659" s="16" t="str">
        <f aca="false">IF($J659="","",IF($C659="",1,$C659))</f>
        <v/>
      </c>
    </row>
    <row r="660" customFormat="false" ht="15" hidden="false" customHeight="false" outlineLevel="0" collapsed="false">
      <c r="A660" s="7"/>
      <c r="B660" s="8"/>
      <c r="C660" s="9"/>
      <c r="D660" s="10"/>
      <c r="E660" s="11"/>
      <c r="F660" s="11"/>
      <c r="G660" s="8"/>
      <c r="H660" s="11"/>
      <c r="I660" s="12"/>
      <c r="J660" s="13" t="str">
        <f aca="false">IF(OR($A660="",$D660=""),"",IF($C660="",1,$C660)*$D660+N($E660)-N($F660))</f>
        <v/>
      </c>
      <c r="K660" s="13" t="str">
        <f aca="false">IF($J660="","",IF($R660&lt;&gt;"",$R660,IF($G660="",0,MAX(IFERROR(INDEX(Settings!$D$6:$D$15,MATCH($G660,Settings!$A$6:$A$15,0)),0),$J660*IFERROR(INDEX(Settings!$B$6:$B$15,MATCH($G660,Settings!$A$6:$A$15,0)),0)+IFERROR(INDEX(Settings!$C$6:$C$15,MATCH($G660,Settings!$A$6:$A$15,0)),0)))))</f>
        <v/>
      </c>
      <c r="L660" s="13" t="str">
        <f aca="false">IF($J660="","",IF($C660="",1,$C660)*IF($Q660&lt;&gt;"",$Q660,IFERROR(INDEX(Products!$D$5:$D$54,MATCH($B660,Products!$A$5:$A$54,0)),0)))</f>
        <v/>
      </c>
      <c r="M660" s="14" t="str">
        <f aca="false">IF($J660="","",$J660-$K660-N($H660)-$L660)</f>
        <v/>
      </c>
      <c r="N660" s="15" t="str">
        <f aca="false">IF($J660="","",IF($J660&gt;0,$M660/$J660,""))</f>
        <v/>
      </c>
      <c r="O660" s="12"/>
      <c r="P660" s="12"/>
      <c r="Q660" s="11"/>
      <c r="R660" s="11"/>
      <c r="S660" s="12"/>
      <c r="T660" s="16" t="str">
        <f aca="false">IF($J660="","",IF($C660="",1,$C660))</f>
        <v/>
      </c>
    </row>
    <row r="661" customFormat="false" ht="15" hidden="false" customHeight="false" outlineLevel="0" collapsed="false">
      <c r="A661" s="7"/>
      <c r="B661" s="8"/>
      <c r="C661" s="9"/>
      <c r="D661" s="10"/>
      <c r="E661" s="11"/>
      <c r="F661" s="11"/>
      <c r="G661" s="8"/>
      <c r="H661" s="11"/>
      <c r="I661" s="12"/>
      <c r="J661" s="13" t="str">
        <f aca="false">IF(OR($A661="",$D661=""),"",IF($C661="",1,$C661)*$D661+N($E661)-N($F661))</f>
        <v/>
      </c>
      <c r="K661" s="13" t="str">
        <f aca="false">IF($J661="","",IF($R661&lt;&gt;"",$R661,IF($G661="",0,MAX(IFERROR(INDEX(Settings!$D$6:$D$15,MATCH($G661,Settings!$A$6:$A$15,0)),0),$J661*IFERROR(INDEX(Settings!$B$6:$B$15,MATCH($G661,Settings!$A$6:$A$15,0)),0)+IFERROR(INDEX(Settings!$C$6:$C$15,MATCH($G661,Settings!$A$6:$A$15,0)),0)))))</f>
        <v/>
      </c>
      <c r="L661" s="13" t="str">
        <f aca="false">IF($J661="","",IF($C661="",1,$C661)*IF($Q661&lt;&gt;"",$Q661,IFERROR(INDEX(Products!$D$5:$D$54,MATCH($B661,Products!$A$5:$A$54,0)),0)))</f>
        <v/>
      </c>
      <c r="M661" s="14" t="str">
        <f aca="false">IF($J661="","",$J661-$K661-N($H661)-$L661)</f>
        <v/>
      </c>
      <c r="N661" s="15" t="str">
        <f aca="false">IF($J661="","",IF($J661&gt;0,$M661/$J661,""))</f>
        <v/>
      </c>
      <c r="O661" s="12"/>
      <c r="P661" s="12"/>
      <c r="Q661" s="11"/>
      <c r="R661" s="11"/>
      <c r="S661" s="12"/>
      <c r="T661" s="16" t="str">
        <f aca="false">IF($J661="","",IF($C661="",1,$C661))</f>
        <v/>
      </c>
    </row>
    <row r="662" customFormat="false" ht="15" hidden="false" customHeight="false" outlineLevel="0" collapsed="false">
      <c r="A662" s="7"/>
      <c r="B662" s="8"/>
      <c r="C662" s="9"/>
      <c r="D662" s="10"/>
      <c r="E662" s="11"/>
      <c r="F662" s="11"/>
      <c r="G662" s="8"/>
      <c r="H662" s="11"/>
      <c r="I662" s="12"/>
      <c r="J662" s="13" t="str">
        <f aca="false">IF(OR($A662="",$D662=""),"",IF($C662="",1,$C662)*$D662+N($E662)-N($F662))</f>
        <v/>
      </c>
      <c r="K662" s="13" t="str">
        <f aca="false">IF($J662="","",IF($R662&lt;&gt;"",$R662,IF($G662="",0,MAX(IFERROR(INDEX(Settings!$D$6:$D$15,MATCH($G662,Settings!$A$6:$A$15,0)),0),$J662*IFERROR(INDEX(Settings!$B$6:$B$15,MATCH($G662,Settings!$A$6:$A$15,0)),0)+IFERROR(INDEX(Settings!$C$6:$C$15,MATCH($G662,Settings!$A$6:$A$15,0)),0)))))</f>
        <v/>
      </c>
      <c r="L662" s="13" t="str">
        <f aca="false">IF($J662="","",IF($C662="",1,$C662)*IF($Q662&lt;&gt;"",$Q662,IFERROR(INDEX(Products!$D$5:$D$54,MATCH($B662,Products!$A$5:$A$54,0)),0)))</f>
        <v/>
      </c>
      <c r="M662" s="14" t="str">
        <f aca="false">IF($J662="","",$J662-$K662-N($H662)-$L662)</f>
        <v/>
      </c>
      <c r="N662" s="15" t="str">
        <f aca="false">IF($J662="","",IF($J662&gt;0,$M662/$J662,""))</f>
        <v/>
      </c>
      <c r="O662" s="12"/>
      <c r="P662" s="12"/>
      <c r="Q662" s="11"/>
      <c r="R662" s="11"/>
      <c r="S662" s="12"/>
      <c r="T662" s="16" t="str">
        <f aca="false">IF($J662="","",IF($C662="",1,$C662))</f>
        <v/>
      </c>
    </row>
    <row r="663" customFormat="false" ht="15" hidden="false" customHeight="false" outlineLevel="0" collapsed="false">
      <c r="A663" s="7"/>
      <c r="B663" s="8"/>
      <c r="C663" s="9"/>
      <c r="D663" s="10"/>
      <c r="E663" s="11"/>
      <c r="F663" s="11"/>
      <c r="G663" s="8"/>
      <c r="H663" s="11"/>
      <c r="I663" s="12"/>
      <c r="J663" s="13" t="str">
        <f aca="false">IF(OR($A663="",$D663=""),"",IF($C663="",1,$C663)*$D663+N($E663)-N($F663))</f>
        <v/>
      </c>
      <c r="K663" s="13" t="str">
        <f aca="false">IF($J663="","",IF($R663&lt;&gt;"",$R663,IF($G663="",0,MAX(IFERROR(INDEX(Settings!$D$6:$D$15,MATCH($G663,Settings!$A$6:$A$15,0)),0),$J663*IFERROR(INDEX(Settings!$B$6:$B$15,MATCH($G663,Settings!$A$6:$A$15,0)),0)+IFERROR(INDEX(Settings!$C$6:$C$15,MATCH($G663,Settings!$A$6:$A$15,0)),0)))))</f>
        <v/>
      </c>
      <c r="L663" s="13" t="str">
        <f aca="false">IF($J663="","",IF($C663="",1,$C663)*IF($Q663&lt;&gt;"",$Q663,IFERROR(INDEX(Products!$D$5:$D$54,MATCH($B663,Products!$A$5:$A$54,0)),0)))</f>
        <v/>
      </c>
      <c r="M663" s="14" t="str">
        <f aca="false">IF($J663="","",$J663-$K663-N($H663)-$L663)</f>
        <v/>
      </c>
      <c r="N663" s="15" t="str">
        <f aca="false">IF($J663="","",IF($J663&gt;0,$M663/$J663,""))</f>
        <v/>
      </c>
      <c r="O663" s="12"/>
      <c r="P663" s="12"/>
      <c r="Q663" s="11"/>
      <c r="R663" s="11"/>
      <c r="S663" s="12"/>
      <c r="T663" s="16" t="str">
        <f aca="false">IF($J663="","",IF($C663="",1,$C663))</f>
        <v/>
      </c>
    </row>
    <row r="664" customFormat="false" ht="15" hidden="false" customHeight="false" outlineLevel="0" collapsed="false">
      <c r="A664" s="7"/>
      <c r="B664" s="8"/>
      <c r="C664" s="9"/>
      <c r="D664" s="10"/>
      <c r="E664" s="11"/>
      <c r="F664" s="11"/>
      <c r="G664" s="8"/>
      <c r="H664" s="11"/>
      <c r="I664" s="12"/>
      <c r="J664" s="13" t="str">
        <f aca="false">IF(OR($A664="",$D664=""),"",IF($C664="",1,$C664)*$D664+N($E664)-N($F664))</f>
        <v/>
      </c>
      <c r="K664" s="13" t="str">
        <f aca="false">IF($J664="","",IF($R664&lt;&gt;"",$R664,IF($G664="",0,MAX(IFERROR(INDEX(Settings!$D$6:$D$15,MATCH($G664,Settings!$A$6:$A$15,0)),0),$J664*IFERROR(INDEX(Settings!$B$6:$B$15,MATCH($G664,Settings!$A$6:$A$15,0)),0)+IFERROR(INDEX(Settings!$C$6:$C$15,MATCH($G664,Settings!$A$6:$A$15,0)),0)))))</f>
        <v/>
      </c>
      <c r="L664" s="13" t="str">
        <f aca="false">IF($J664="","",IF($C664="",1,$C664)*IF($Q664&lt;&gt;"",$Q664,IFERROR(INDEX(Products!$D$5:$D$54,MATCH($B664,Products!$A$5:$A$54,0)),0)))</f>
        <v/>
      </c>
      <c r="M664" s="14" t="str">
        <f aca="false">IF($J664="","",$J664-$K664-N($H664)-$L664)</f>
        <v/>
      </c>
      <c r="N664" s="15" t="str">
        <f aca="false">IF($J664="","",IF($J664&gt;0,$M664/$J664,""))</f>
        <v/>
      </c>
      <c r="O664" s="12"/>
      <c r="P664" s="12"/>
      <c r="Q664" s="11"/>
      <c r="R664" s="11"/>
      <c r="S664" s="12"/>
      <c r="T664" s="16" t="str">
        <f aca="false">IF($J664="","",IF($C664="",1,$C664))</f>
        <v/>
      </c>
    </row>
    <row r="665" customFormat="false" ht="15" hidden="false" customHeight="false" outlineLevel="0" collapsed="false">
      <c r="A665" s="7"/>
      <c r="B665" s="8"/>
      <c r="C665" s="9"/>
      <c r="D665" s="10"/>
      <c r="E665" s="11"/>
      <c r="F665" s="11"/>
      <c r="G665" s="8"/>
      <c r="H665" s="11"/>
      <c r="I665" s="12"/>
      <c r="J665" s="13" t="str">
        <f aca="false">IF(OR($A665="",$D665=""),"",IF($C665="",1,$C665)*$D665+N($E665)-N($F665))</f>
        <v/>
      </c>
      <c r="K665" s="13" t="str">
        <f aca="false">IF($J665="","",IF($R665&lt;&gt;"",$R665,IF($G665="",0,MAX(IFERROR(INDEX(Settings!$D$6:$D$15,MATCH($G665,Settings!$A$6:$A$15,0)),0),$J665*IFERROR(INDEX(Settings!$B$6:$B$15,MATCH($G665,Settings!$A$6:$A$15,0)),0)+IFERROR(INDEX(Settings!$C$6:$C$15,MATCH($G665,Settings!$A$6:$A$15,0)),0)))))</f>
        <v/>
      </c>
      <c r="L665" s="13" t="str">
        <f aca="false">IF($J665="","",IF($C665="",1,$C665)*IF($Q665&lt;&gt;"",$Q665,IFERROR(INDEX(Products!$D$5:$D$54,MATCH($B665,Products!$A$5:$A$54,0)),0)))</f>
        <v/>
      </c>
      <c r="M665" s="14" t="str">
        <f aca="false">IF($J665="","",$J665-$K665-N($H665)-$L665)</f>
        <v/>
      </c>
      <c r="N665" s="15" t="str">
        <f aca="false">IF($J665="","",IF($J665&gt;0,$M665/$J665,""))</f>
        <v/>
      </c>
      <c r="O665" s="12"/>
      <c r="P665" s="12"/>
      <c r="Q665" s="11"/>
      <c r="R665" s="11"/>
      <c r="S665" s="12"/>
      <c r="T665" s="16" t="str">
        <f aca="false">IF($J665="","",IF($C665="",1,$C665))</f>
        <v/>
      </c>
    </row>
    <row r="666" customFormat="false" ht="15" hidden="false" customHeight="false" outlineLevel="0" collapsed="false">
      <c r="A666" s="7"/>
      <c r="B666" s="8"/>
      <c r="C666" s="9"/>
      <c r="D666" s="10"/>
      <c r="E666" s="11"/>
      <c r="F666" s="11"/>
      <c r="G666" s="8"/>
      <c r="H666" s="11"/>
      <c r="I666" s="12"/>
      <c r="J666" s="13" t="str">
        <f aca="false">IF(OR($A666="",$D666=""),"",IF($C666="",1,$C666)*$D666+N($E666)-N($F666))</f>
        <v/>
      </c>
      <c r="K666" s="13" t="str">
        <f aca="false">IF($J666="","",IF($R666&lt;&gt;"",$R666,IF($G666="",0,MAX(IFERROR(INDEX(Settings!$D$6:$D$15,MATCH($G666,Settings!$A$6:$A$15,0)),0),$J666*IFERROR(INDEX(Settings!$B$6:$B$15,MATCH($G666,Settings!$A$6:$A$15,0)),0)+IFERROR(INDEX(Settings!$C$6:$C$15,MATCH($G666,Settings!$A$6:$A$15,0)),0)))))</f>
        <v/>
      </c>
      <c r="L666" s="13" t="str">
        <f aca="false">IF($J666="","",IF($C666="",1,$C666)*IF($Q666&lt;&gt;"",$Q666,IFERROR(INDEX(Products!$D$5:$D$54,MATCH($B666,Products!$A$5:$A$54,0)),0)))</f>
        <v/>
      </c>
      <c r="M666" s="14" t="str">
        <f aca="false">IF($J666="","",$J666-$K666-N($H666)-$L666)</f>
        <v/>
      </c>
      <c r="N666" s="15" t="str">
        <f aca="false">IF($J666="","",IF($J666&gt;0,$M666/$J666,""))</f>
        <v/>
      </c>
      <c r="O666" s="12"/>
      <c r="P666" s="12"/>
      <c r="Q666" s="11"/>
      <c r="R666" s="11"/>
      <c r="S666" s="12"/>
      <c r="T666" s="16" t="str">
        <f aca="false">IF($J666="","",IF($C666="",1,$C666))</f>
        <v/>
      </c>
    </row>
    <row r="667" customFormat="false" ht="15" hidden="false" customHeight="false" outlineLevel="0" collapsed="false">
      <c r="A667" s="7"/>
      <c r="B667" s="8"/>
      <c r="C667" s="9"/>
      <c r="D667" s="10"/>
      <c r="E667" s="11"/>
      <c r="F667" s="11"/>
      <c r="G667" s="8"/>
      <c r="H667" s="11"/>
      <c r="I667" s="12"/>
      <c r="J667" s="13" t="str">
        <f aca="false">IF(OR($A667="",$D667=""),"",IF($C667="",1,$C667)*$D667+N($E667)-N($F667))</f>
        <v/>
      </c>
      <c r="K667" s="13" t="str">
        <f aca="false">IF($J667="","",IF($R667&lt;&gt;"",$R667,IF($G667="",0,MAX(IFERROR(INDEX(Settings!$D$6:$D$15,MATCH($G667,Settings!$A$6:$A$15,0)),0),$J667*IFERROR(INDEX(Settings!$B$6:$B$15,MATCH($G667,Settings!$A$6:$A$15,0)),0)+IFERROR(INDEX(Settings!$C$6:$C$15,MATCH($G667,Settings!$A$6:$A$15,0)),0)))))</f>
        <v/>
      </c>
      <c r="L667" s="13" t="str">
        <f aca="false">IF($J667="","",IF($C667="",1,$C667)*IF($Q667&lt;&gt;"",$Q667,IFERROR(INDEX(Products!$D$5:$D$54,MATCH($B667,Products!$A$5:$A$54,0)),0)))</f>
        <v/>
      </c>
      <c r="M667" s="14" t="str">
        <f aca="false">IF($J667="","",$J667-$K667-N($H667)-$L667)</f>
        <v/>
      </c>
      <c r="N667" s="15" t="str">
        <f aca="false">IF($J667="","",IF($J667&gt;0,$M667/$J667,""))</f>
        <v/>
      </c>
      <c r="O667" s="12"/>
      <c r="P667" s="12"/>
      <c r="Q667" s="11"/>
      <c r="R667" s="11"/>
      <c r="S667" s="12"/>
      <c r="T667" s="16" t="str">
        <f aca="false">IF($J667="","",IF($C667="",1,$C667))</f>
        <v/>
      </c>
    </row>
    <row r="668" customFormat="false" ht="15" hidden="false" customHeight="false" outlineLevel="0" collapsed="false">
      <c r="A668" s="7"/>
      <c r="B668" s="8"/>
      <c r="C668" s="9"/>
      <c r="D668" s="10"/>
      <c r="E668" s="11"/>
      <c r="F668" s="11"/>
      <c r="G668" s="8"/>
      <c r="H668" s="11"/>
      <c r="I668" s="12"/>
      <c r="J668" s="13" t="str">
        <f aca="false">IF(OR($A668="",$D668=""),"",IF($C668="",1,$C668)*$D668+N($E668)-N($F668))</f>
        <v/>
      </c>
      <c r="K668" s="13" t="str">
        <f aca="false">IF($J668="","",IF($R668&lt;&gt;"",$R668,IF($G668="",0,MAX(IFERROR(INDEX(Settings!$D$6:$D$15,MATCH($G668,Settings!$A$6:$A$15,0)),0),$J668*IFERROR(INDEX(Settings!$B$6:$B$15,MATCH($G668,Settings!$A$6:$A$15,0)),0)+IFERROR(INDEX(Settings!$C$6:$C$15,MATCH($G668,Settings!$A$6:$A$15,0)),0)))))</f>
        <v/>
      </c>
      <c r="L668" s="13" t="str">
        <f aca="false">IF($J668="","",IF($C668="",1,$C668)*IF($Q668&lt;&gt;"",$Q668,IFERROR(INDEX(Products!$D$5:$D$54,MATCH($B668,Products!$A$5:$A$54,0)),0)))</f>
        <v/>
      </c>
      <c r="M668" s="14" t="str">
        <f aca="false">IF($J668="","",$J668-$K668-N($H668)-$L668)</f>
        <v/>
      </c>
      <c r="N668" s="15" t="str">
        <f aca="false">IF($J668="","",IF($J668&gt;0,$M668/$J668,""))</f>
        <v/>
      </c>
      <c r="O668" s="12"/>
      <c r="P668" s="12"/>
      <c r="Q668" s="11"/>
      <c r="R668" s="11"/>
      <c r="S668" s="12"/>
      <c r="T668" s="16" t="str">
        <f aca="false">IF($J668="","",IF($C668="",1,$C668))</f>
        <v/>
      </c>
    </row>
    <row r="669" customFormat="false" ht="15" hidden="false" customHeight="false" outlineLevel="0" collapsed="false">
      <c r="A669" s="7"/>
      <c r="B669" s="8"/>
      <c r="C669" s="9"/>
      <c r="D669" s="10"/>
      <c r="E669" s="11"/>
      <c r="F669" s="11"/>
      <c r="G669" s="8"/>
      <c r="H669" s="11"/>
      <c r="I669" s="12"/>
      <c r="J669" s="13" t="str">
        <f aca="false">IF(OR($A669="",$D669=""),"",IF($C669="",1,$C669)*$D669+N($E669)-N($F669))</f>
        <v/>
      </c>
      <c r="K669" s="13" t="str">
        <f aca="false">IF($J669="","",IF($R669&lt;&gt;"",$R669,IF($G669="",0,MAX(IFERROR(INDEX(Settings!$D$6:$D$15,MATCH($G669,Settings!$A$6:$A$15,0)),0),$J669*IFERROR(INDEX(Settings!$B$6:$B$15,MATCH($G669,Settings!$A$6:$A$15,0)),0)+IFERROR(INDEX(Settings!$C$6:$C$15,MATCH($G669,Settings!$A$6:$A$15,0)),0)))))</f>
        <v/>
      </c>
      <c r="L669" s="13" t="str">
        <f aca="false">IF($J669="","",IF($C669="",1,$C669)*IF($Q669&lt;&gt;"",$Q669,IFERROR(INDEX(Products!$D$5:$D$54,MATCH($B669,Products!$A$5:$A$54,0)),0)))</f>
        <v/>
      </c>
      <c r="M669" s="14" t="str">
        <f aca="false">IF($J669="","",$J669-$K669-N($H669)-$L669)</f>
        <v/>
      </c>
      <c r="N669" s="15" t="str">
        <f aca="false">IF($J669="","",IF($J669&gt;0,$M669/$J669,""))</f>
        <v/>
      </c>
      <c r="O669" s="12"/>
      <c r="P669" s="12"/>
      <c r="Q669" s="11"/>
      <c r="R669" s="11"/>
      <c r="S669" s="12"/>
      <c r="T669" s="16" t="str">
        <f aca="false">IF($J669="","",IF($C669="",1,$C669))</f>
        <v/>
      </c>
    </row>
    <row r="670" customFormat="false" ht="15" hidden="false" customHeight="false" outlineLevel="0" collapsed="false">
      <c r="A670" s="7"/>
      <c r="B670" s="8"/>
      <c r="C670" s="9"/>
      <c r="D670" s="10"/>
      <c r="E670" s="11"/>
      <c r="F670" s="11"/>
      <c r="G670" s="8"/>
      <c r="H670" s="11"/>
      <c r="I670" s="12"/>
      <c r="J670" s="13" t="str">
        <f aca="false">IF(OR($A670="",$D670=""),"",IF($C670="",1,$C670)*$D670+N($E670)-N($F670))</f>
        <v/>
      </c>
      <c r="K670" s="13" t="str">
        <f aca="false">IF($J670="","",IF($R670&lt;&gt;"",$R670,IF($G670="",0,MAX(IFERROR(INDEX(Settings!$D$6:$D$15,MATCH($G670,Settings!$A$6:$A$15,0)),0),$J670*IFERROR(INDEX(Settings!$B$6:$B$15,MATCH($G670,Settings!$A$6:$A$15,0)),0)+IFERROR(INDEX(Settings!$C$6:$C$15,MATCH($G670,Settings!$A$6:$A$15,0)),0)))))</f>
        <v/>
      </c>
      <c r="L670" s="13" t="str">
        <f aca="false">IF($J670="","",IF($C670="",1,$C670)*IF($Q670&lt;&gt;"",$Q670,IFERROR(INDEX(Products!$D$5:$D$54,MATCH($B670,Products!$A$5:$A$54,0)),0)))</f>
        <v/>
      </c>
      <c r="M670" s="14" t="str">
        <f aca="false">IF($J670="","",$J670-$K670-N($H670)-$L670)</f>
        <v/>
      </c>
      <c r="N670" s="15" t="str">
        <f aca="false">IF($J670="","",IF($J670&gt;0,$M670/$J670,""))</f>
        <v/>
      </c>
      <c r="O670" s="12"/>
      <c r="P670" s="12"/>
      <c r="Q670" s="11"/>
      <c r="R670" s="11"/>
      <c r="S670" s="12"/>
      <c r="T670" s="16" t="str">
        <f aca="false">IF($J670="","",IF($C670="",1,$C670))</f>
        <v/>
      </c>
    </row>
    <row r="671" customFormat="false" ht="15" hidden="false" customHeight="false" outlineLevel="0" collapsed="false">
      <c r="A671" s="7"/>
      <c r="B671" s="8"/>
      <c r="C671" s="9"/>
      <c r="D671" s="10"/>
      <c r="E671" s="11"/>
      <c r="F671" s="11"/>
      <c r="G671" s="8"/>
      <c r="H671" s="11"/>
      <c r="I671" s="12"/>
      <c r="J671" s="13" t="str">
        <f aca="false">IF(OR($A671="",$D671=""),"",IF($C671="",1,$C671)*$D671+N($E671)-N($F671))</f>
        <v/>
      </c>
      <c r="K671" s="13" t="str">
        <f aca="false">IF($J671="","",IF($R671&lt;&gt;"",$R671,IF($G671="",0,MAX(IFERROR(INDEX(Settings!$D$6:$D$15,MATCH($G671,Settings!$A$6:$A$15,0)),0),$J671*IFERROR(INDEX(Settings!$B$6:$B$15,MATCH($G671,Settings!$A$6:$A$15,0)),0)+IFERROR(INDEX(Settings!$C$6:$C$15,MATCH($G671,Settings!$A$6:$A$15,0)),0)))))</f>
        <v/>
      </c>
      <c r="L671" s="13" t="str">
        <f aca="false">IF($J671="","",IF($C671="",1,$C671)*IF($Q671&lt;&gt;"",$Q671,IFERROR(INDEX(Products!$D$5:$D$54,MATCH($B671,Products!$A$5:$A$54,0)),0)))</f>
        <v/>
      </c>
      <c r="M671" s="14" t="str">
        <f aca="false">IF($J671="","",$J671-$K671-N($H671)-$L671)</f>
        <v/>
      </c>
      <c r="N671" s="15" t="str">
        <f aca="false">IF($J671="","",IF($J671&gt;0,$M671/$J671,""))</f>
        <v/>
      </c>
      <c r="O671" s="12"/>
      <c r="P671" s="12"/>
      <c r="Q671" s="11"/>
      <c r="R671" s="11"/>
      <c r="S671" s="12"/>
      <c r="T671" s="16" t="str">
        <f aca="false">IF($J671="","",IF($C671="",1,$C671))</f>
        <v/>
      </c>
    </row>
    <row r="672" customFormat="false" ht="15" hidden="false" customHeight="false" outlineLevel="0" collapsed="false">
      <c r="A672" s="7"/>
      <c r="B672" s="8"/>
      <c r="C672" s="9"/>
      <c r="D672" s="10"/>
      <c r="E672" s="11"/>
      <c r="F672" s="11"/>
      <c r="G672" s="8"/>
      <c r="H672" s="11"/>
      <c r="I672" s="12"/>
      <c r="J672" s="13" t="str">
        <f aca="false">IF(OR($A672="",$D672=""),"",IF($C672="",1,$C672)*$D672+N($E672)-N($F672))</f>
        <v/>
      </c>
      <c r="K672" s="13" t="str">
        <f aca="false">IF($J672="","",IF($R672&lt;&gt;"",$R672,IF($G672="",0,MAX(IFERROR(INDEX(Settings!$D$6:$D$15,MATCH($G672,Settings!$A$6:$A$15,0)),0),$J672*IFERROR(INDEX(Settings!$B$6:$B$15,MATCH($G672,Settings!$A$6:$A$15,0)),0)+IFERROR(INDEX(Settings!$C$6:$C$15,MATCH($G672,Settings!$A$6:$A$15,0)),0)))))</f>
        <v/>
      </c>
      <c r="L672" s="13" t="str">
        <f aca="false">IF($J672="","",IF($C672="",1,$C672)*IF($Q672&lt;&gt;"",$Q672,IFERROR(INDEX(Products!$D$5:$D$54,MATCH($B672,Products!$A$5:$A$54,0)),0)))</f>
        <v/>
      </c>
      <c r="M672" s="14" t="str">
        <f aca="false">IF($J672="","",$J672-$K672-N($H672)-$L672)</f>
        <v/>
      </c>
      <c r="N672" s="15" t="str">
        <f aca="false">IF($J672="","",IF($J672&gt;0,$M672/$J672,""))</f>
        <v/>
      </c>
      <c r="O672" s="12"/>
      <c r="P672" s="12"/>
      <c r="Q672" s="11"/>
      <c r="R672" s="11"/>
      <c r="S672" s="12"/>
      <c r="T672" s="16" t="str">
        <f aca="false">IF($J672="","",IF($C672="",1,$C672))</f>
        <v/>
      </c>
    </row>
    <row r="673" customFormat="false" ht="15" hidden="false" customHeight="false" outlineLevel="0" collapsed="false">
      <c r="A673" s="7"/>
      <c r="B673" s="8"/>
      <c r="C673" s="9"/>
      <c r="D673" s="10"/>
      <c r="E673" s="11"/>
      <c r="F673" s="11"/>
      <c r="G673" s="8"/>
      <c r="H673" s="11"/>
      <c r="I673" s="12"/>
      <c r="J673" s="13" t="str">
        <f aca="false">IF(OR($A673="",$D673=""),"",IF($C673="",1,$C673)*$D673+N($E673)-N($F673))</f>
        <v/>
      </c>
      <c r="K673" s="13" t="str">
        <f aca="false">IF($J673="","",IF($R673&lt;&gt;"",$R673,IF($G673="",0,MAX(IFERROR(INDEX(Settings!$D$6:$D$15,MATCH($G673,Settings!$A$6:$A$15,0)),0),$J673*IFERROR(INDEX(Settings!$B$6:$B$15,MATCH($G673,Settings!$A$6:$A$15,0)),0)+IFERROR(INDEX(Settings!$C$6:$C$15,MATCH($G673,Settings!$A$6:$A$15,0)),0)))))</f>
        <v/>
      </c>
      <c r="L673" s="13" t="str">
        <f aca="false">IF($J673="","",IF($C673="",1,$C673)*IF($Q673&lt;&gt;"",$Q673,IFERROR(INDEX(Products!$D$5:$D$54,MATCH($B673,Products!$A$5:$A$54,0)),0)))</f>
        <v/>
      </c>
      <c r="M673" s="14" t="str">
        <f aca="false">IF($J673="","",$J673-$K673-N($H673)-$L673)</f>
        <v/>
      </c>
      <c r="N673" s="15" t="str">
        <f aca="false">IF($J673="","",IF($J673&gt;0,$M673/$J673,""))</f>
        <v/>
      </c>
      <c r="O673" s="12"/>
      <c r="P673" s="12"/>
      <c r="Q673" s="11"/>
      <c r="R673" s="11"/>
      <c r="S673" s="12"/>
      <c r="T673" s="16" t="str">
        <f aca="false">IF($J673="","",IF($C673="",1,$C673))</f>
        <v/>
      </c>
    </row>
    <row r="674" customFormat="false" ht="15" hidden="false" customHeight="false" outlineLevel="0" collapsed="false">
      <c r="A674" s="7"/>
      <c r="B674" s="8"/>
      <c r="C674" s="9"/>
      <c r="D674" s="10"/>
      <c r="E674" s="11"/>
      <c r="F674" s="11"/>
      <c r="G674" s="8"/>
      <c r="H674" s="11"/>
      <c r="I674" s="12"/>
      <c r="J674" s="13" t="str">
        <f aca="false">IF(OR($A674="",$D674=""),"",IF($C674="",1,$C674)*$D674+N($E674)-N($F674))</f>
        <v/>
      </c>
      <c r="K674" s="13" t="str">
        <f aca="false">IF($J674="","",IF($R674&lt;&gt;"",$R674,IF($G674="",0,MAX(IFERROR(INDEX(Settings!$D$6:$D$15,MATCH($G674,Settings!$A$6:$A$15,0)),0),$J674*IFERROR(INDEX(Settings!$B$6:$B$15,MATCH($G674,Settings!$A$6:$A$15,0)),0)+IFERROR(INDEX(Settings!$C$6:$C$15,MATCH($G674,Settings!$A$6:$A$15,0)),0)))))</f>
        <v/>
      </c>
      <c r="L674" s="13" t="str">
        <f aca="false">IF($J674="","",IF($C674="",1,$C674)*IF($Q674&lt;&gt;"",$Q674,IFERROR(INDEX(Products!$D$5:$D$54,MATCH($B674,Products!$A$5:$A$54,0)),0)))</f>
        <v/>
      </c>
      <c r="M674" s="14" t="str">
        <f aca="false">IF($J674="","",$J674-$K674-N($H674)-$L674)</f>
        <v/>
      </c>
      <c r="N674" s="15" t="str">
        <f aca="false">IF($J674="","",IF($J674&gt;0,$M674/$J674,""))</f>
        <v/>
      </c>
      <c r="O674" s="12"/>
      <c r="P674" s="12"/>
      <c r="Q674" s="11"/>
      <c r="R674" s="11"/>
      <c r="S674" s="12"/>
      <c r="T674" s="16" t="str">
        <f aca="false">IF($J674="","",IF($C674="",1,$C674))</f>
        <v/>
      </c>
    </row>
    <row r="675" customFormat="false" ht="15" hidden="false" customHeight="false" outlineLevel="0" collapsed="false">
      <c r="A675" s="7"/>
      <c r="B675" s="8"/>
      <c r="C675" s="9"/>
      <c r="D675" s="10"/>
      <c r="E675" s="11"/>
      <c r="F675" s="11"/>
      <c r="G675" s="8"/>
      <c r="H675" s="11"/>
      <c r="I675" s="12"/>
      <c r="J675" s="13" t="str">
        <f aca="false">IF(OR($A675="",$D675=""),"",IF($C675="",1,$C675)*$D675+N($E675)-N($F675))</f>
        <v/>
      </c>
      <c r="K675" s="13" t="str">
        <f aca="false">IF($J675="","",IF($R675&lt;&gt;"",$R675,IF($G675="",0,MAX(IFERROR(INDEX(Settings!$D$6:$D$15,MATCH($G675,Settings!$A$6:$A$15,0)),0),$J675*IFERROR(INDEX(Settings!$B$6:$B$15,MATCH($G675,Settings!$A$6:$A$15,0)),0)+IFERROR(INDEX(Settings!$C$6:$C$15,MATCH($G675,Settings!$A$6:$A$15,0)),0)))))</f>
        <v/>
      </c>
      <c r="L675" s="13" t="str">
        <f aca="false">IF($J675="","",IF($C675="",1,$C675)*IF($Q675&lt;&gt;"",$Q675,IFERROR(INDEX(Products!$D$5:$D$54,MATCH($B675,Products!$A$5:$A$54,0)),0)))</f>
        <v/>
      </c>
      <c r="M675" s="14" t="str">
        <f aca="false">IF($J675="","",$J675-$K675-N($H675)-$L675)</f>
        <v/>
      </c>
      <c r="N675" s="15" t="str">
        <f aca="false">IF($J675="","",IF($J675&gt;0,$M675/$J675,""))</f>
        <v/>
      </c>
      <c r="O675" s="12"/>
      <c r="P675" s="12"/>
      <c r="Q675" s="11"/>
      <c r="R675" s="11"/>
      <c r="S675" s="12"/>
      <c r="T675" s="16" t="str">
        <f aca="false">IF($J675="","",IF($C675="",1,$C675))</f>
        <v/>
      </c>
    </row>
    <row r="676" customFormat="false" ht="15" hidden="false" customHeight="false" outlineLevel="0" collapsed="false">
      <c r="A676" s="7"/>
      <c r="B676" s="8"/>
      <c r="C676" s="9"/>
      <c r="D676" s="10"/>
      <c r="E676" s="11"/>
      <c r="F676" s="11"/>
      <c r="G676" s="8"/>
      <c r="H676" s="11"/>
      <c r="I676" s="12"/>
      <c r="J676" s="13" t="str">
        <f aca="false">IF(OR($A676="",$D676=""),"",IF($C676="",1,$C676)*$D676+N($E676)-N($F676))</f>
        <v/>
      </c>
      <c r="K676" s="13" t="str">
        <f aca="false">IF($J676="","",IF($R676&lt;&gt;"",$R676,IF($G676="",0,MAX(IFERROR(INDEX(Settings!$D$6:$D$15,MATCH($G676,Settings!$A$6:$A$15,0)),0),$J676*IFERROR(INDEX(Settings!$B$6:$B$15,MATCH($G676,Settings!$A$6:$A$15,0)),0)+IFERROR(INDEX(Settings!$C$6:$C$15,MATCH($G676,Settings!$A$6:$A$15,0)),0)))))</f>
        <v/>
      </c>
      <c r="L676" s="13" t="str">
        <f aca="false">IF($J676="","",IF($C676="",1,$C676)*IF($Q676&lt;&gt;"",$Q676,IFERROR(INDEX(Products!$D$5:$D$54,MATCH($B676,Products!$A$5:$A$54,0)),0)))</f>
        <v/>
      </c>
      <c r="M676" s="14" t="str">
        <f aca="false">IF($J676="","",$J676-$K676-N($H676)-$L676)</f>
        <v/>
      </c>
      <c r="N676" s="15" t="str">
        <f aca="false">IF($J676="","",IF($J676&gt;0,$M676/$J676,""))</f>
        <v/>
      </c>
      <c r="O676" s="12"/>
      <c r="P676" s="12"/>
      <c r="Q676" s="11"/>
      <c r="R676" s="11"/>
      <c r="S676" s="12"/>
      <c r="T676" s="16" t="str">
        <f aca="false">IF($J676="","",IF($C676="",1,$C676))</f>
        <v/>
      </c>
    </row>
    <row r="677" customFormat="false" ht="15" hidden="false" customHeight="false" outlineLevel="0" collapsed="false">
      <c r="A677" s="7"/>
      <c r="B677" s="8"/>
      <c r="C677" s="9"/>
      <c r="D677" s="10"/>
      <c r="E677" s="11"/>
      <c r="F677" s="11"/>
      <c r="G677" s="8"/>
      <c r="H677" s="11"/>
      <c r="I677" s="12"/>
      <c r="J677" s="13" t="str">
        <f aca="false">IF(OR($A677="",$D677=""),"",IF($C677="",1,$C677)*$D677+N($E677)-N($F677))</f>
        <v/>
      </c>
      <c r="K677" s="13" t="str">
        <f aca="false">IF($J677="","",IF($R677&lt;&gt;"",$R677,IF($G677="",0,MAX(IFERROR(INDEX(Settings!$D$6:$D$15,MATCH($G677,Settings!$A$6:$A$15,0)),0),$J677*IFERROR(INDEX(Settings!$B$6:$B$15,MATCH($G677,Settings!$A$6:$A$15,0)),0)+IFERROR(INDEX(Settings!$C$6:$C$15,MATCH($G677,Settings!$A$6:$A$15,0)),0)))))</f>
        <v/>
      </c>
      <c r="L677" s="13" t="str">
        <f aca="false">IF($J677="","",IF($C677="",1,$C677)*IF($Q677&lt;&gt;"",$Q677,IFERROR(INDEX(Products!$D$5:$D$54,MATCH($B677,Products!$A$5:$A$54,0)),0)))</f>
        <v/>
      </c>
      <c r="M677" s="14" t="str">
        <f aca="false">IF($J677="","",$J677-$K677-N($H677)-$L677)</f>
        <v/>
      </c>
      <c r="N677" s="15" t="str">
        <f aca="false">IF($J677="","",IF($J677&gt;0,$M677/$J677,""))</f>
        <v/>
      </c>
      <c r="O677" s="12"/>
      <c r="P677" s="12"/>
      <c r="Q677" s="11"/>
      <c r="R677" s="11"/>
      <c r="S677" s="12"/>
      <c r="T677" s="16" t="str">
        <f aca="false">IF($J677="","",IF($C677="",1,$C677))</f>
        <v/>
      </c>
    </row>
    <row r="678" customFormat="false" ht="15" hidden="false" customHeight="false" outlineLevel="0" collapsed="false">
      <c r="A678" s="7"/>
      <c r="B678" s="8"/>
      <c r="C678" s="9"/>
      <c r="D678" s="10"/>
      <c r="E678" s="11"/>
      <c r="F678" s="11"/>
      <c r="G678" s="8"/>
      <c r="H678" s="11"/>
      <c r="I678" s="12"/>
      <c r="J678" s="13" t="str">
        <f aca="false">IF(OR($A678="",$D678=""),"",IF($C678="",1,$C678)*$D678+N($E678)-N($F678))</f>
        <v/>
      </c>
      <c r="K678" s="13" t="str">
        <f aca="false">IF($J678="","",IF($R678&lt;&gt;"",$R678,IF($G678="",0,MAX(IFERROR(INDEX(Settings!$D$6:$D$15,MATCH($G678,Settings!$A$6:$A$15,0)),0),$J678*IFERROR(INDEX(Settings!$B$6:$B$15,MATCH($G678,Settings!$A$6:$A$15,0)),0)+IFERROR(INDEX(Settings!$C$6:$C$15,MATCH($G678,Settings!$A$6:$A$15,0)),0)))))</f>
        <v/>
      </c>
      <c r="L678" s="13" t="str">
        <f aca="false">IF($J678="","",IF($C678="",1,$C678)*IF($Q678&lt;&gt;"",$Q678,IFERROR(INDEX(Products!$D$5:$D$54,MATCH($B678,Products!$A$5:$A$54,0)),0)))</f>
        <v/>
      </c>
      <c r="M678" s="14" t="str">
        <f aca="false">IF($J678="","",$J678-$K678-N($H678)-$L678)</f>
        <v/>
      </c>
      <c r="N678" s="15" t="str">
        <f aca="false">IF($J678="","",IF($J678&gt;0,$M678/$J678,""))</f>
        <v/>
      </c>
      <c r="O678" s="12"/>
      <c r="P678" s="12"/>
      <c r="Q678" s="11"/>
      <c r="R678" s="11"/>
      <c r="S678" s="12"/>
      <c r="T678" s="16" t="str">
        <f aca="false">IF($J678="","",IF($C678="",1,$C678))</f>
        <v/>
      </c>
    </row>
    <row r="679" customFormat="false" ht="15" hidden="false" customHeight="false" outlineLevel="0" collapsed="false">
      <c r="A679" s="7"/>
      <c r="B679" s="8"/>
      <c r="C679" s="9"/>
      <c r="D679" s="10"/>
      <c r="E679" s="11"/>
      <c r="F679" s="11"/>
      <c r="G679" s="8"/>
      <c r="H679" s="11"/>
      <c r="I679" s="12"/>
      <c r="J679" s="13" t="str">
        <f aca="false">IF(OR($A679="",$D679=""),"",IF($C679="",1,$C679)*$D679+N($E679)-N($F679))</f>
        <v/>
      </c>
      <c r="K679" s="13" t="str">
        <f aca="false">IF($J679="","",IF($R679&lt;&gt;"",$R679,IF($G679="",0,MAX(IFERROR(INDEX(Settings!$D$6:$D$15,MATCH($G679,Settings!$A$6:$A$15,0)),0),$J679*IFERROR(INDEX(Settings!$B$6:$B$15,MATCH($G679,Settings!$A$6:$A$15,0)),0)+IFERROR(INDEX(Settings!$C$6:$C$15,MATCH($G679,Settings!$A$6:$A$15,0)),0)))))</f>
        <v/>
      </c>
      <c r="L679" s="13" t="str">
        <f aca="false">IF($J679="","",IF($C679="",1,$C679)*IF($Q679&lt;&gt;"",$Q679,IFERROR(INDEX(Products!$D$5:$D$54,MATCH($B679,Products!$A$5:$A$54,0)),0)))</f>
        <v/>
      </c>
      <c r="M679" s="14" t="str">
        <f aca="false">IF($J679="","",$J679-$K679-N($H679)-$L679)</f>
        <v/>
      </c>
      <c r="N679" s="15" t="str">
        <f aca="false">IF($J679="","",IF($J679&gt;0,$M679/$J679,""))</f>
        <v/>
      </c>
      <c r="O679" s="12"/>
      <c r="P679" s="12"/>
      <c r="Q679" s="11"/>
      <c r="R679" s="11"/>
      <c r="S679" s="12"/>
      <c r="T679" s="16" t="str">
        <f aca="false">IF($J679="","",IF($C679="",1,$C679))</f>
        <v/>
      </c>
    </row>
    <row r="680" customFormat="false" ht="15" hidden="false" customHeight="false" outlineLevel="0" collapsed="false">
      <c r="A680" s="7"/>
      <c r="B680" s="8"/>
      <c r="C680" s="9"/>
      <c r="D680" s="10"/>
      <c r="E680" s="11"/>
      <c r="F680" s="11"/>
      <c r="G680" s="8"/>
      <c r="H680" s="11"/>
      <c r="I680" s="12"/>
      <c r="J680" s="13" t="str">
        <f aca="false">IF(OR($A680="",$D680=""),"",IF($C680="",1,$C680)*$D680+N($E680)-N($F680))</f>
        <v/>
      </c>
      <c r="K680" s="13" t="str">
        <f aca="false">IF($J680="","",IF($R680&lt;&gt;"",$R680,IF($G680="",0,MAX(IFERROR(INDEX(Settings!$D$6:$D$15,MATCH($G680,Settings!$A$6:$A$15,0)),0),$J680*IFERROR(INDEX(Settings!$B$6:$B$15,MATCH($G680,Settings!$A$6:$A$15,0)),0)+IFERROR(INDEX(Settings!$C$6:$C$15,MATCH($G680,Settings!$A$6:$A$15,0)),0)))))</f>
        <v/>
      </c>
      <c r="L680" s="13" t="str">
        <f aca="false">IF($J680="","",IF($C680="",1,$C680)*IF($Q680&lt;&gt;"",$Q680,IFERROR(INDEX(Products!$D$5:$D$54,MATCH($B680,Products!$A$5:$A$54,0)),0)))</f>
        <v/>
      </c>
      <c r="M680" s="14" t="str">
        <f aca="false">IF($J680="","",$J680-$K680-N($H680)-$L680)</f>
        <v/>
      </c>
      <c r="N680" s="15" t="str">
        <f aca="false">IF($J680="","",IF($J680&gt;0,$M680/$J680,""))</f>
        <v/>
      </c>
      <c r="O680" s="12"/>
      <c r="P680" s="12"/>
      <c r="Q680" s="11"/>
      <c r="R680" s="11"/>
      <c r="S680" s="12"/>
      <c r="T680" s="16" t="str">
        <f aca="false">IF($J680="","",IF($C680="",1,$C680))</f>
        <v/>
      </c>
    </row>
    <row r="681" customFormat="false" ht="15" hidden="false" customHeight="false" outlineLevel="0" collapsed="false">
      <c r="A681" s="7"/>
      <c r="B681" s="8"/>
      <c r="C681" s="9"/>
      <c r="D681" s="10"/>
      <c r="E681" s="11"/>
      <c r="F681" s="11"/>
      <c r="G681" s="8"/>
      <c r="H681" s="11"/>
      <c r="I681" s="12"/>
      <c r="J681" s="13" t="str">
        <f aca="false">IF(OR($A681="",$D681=""),"",IF($C681="",1,$C681)*$D681+N($E681)-N($F681))</f>
        <v/>
      </c>
      <c r="K681" s="13" t="str">
        <f aca="false">IF($J681="","",IF($R681&lt;&gt;"",$R681,IF($G681="",0,MAX(IFERROR(INDEX(Settings!$D$6:$D$15,MATCH($G681,Settings!$A$6:$A$15,0)),0),$J681*IFERROR(INDEX(Settings!$B$6:$B$15,MATCH($G681,Settings!$A$6:$A$15,0)),0)+IFERROR(INDEX(Settings!$C$6:$C$15,MATCH($G681,Settings!$A$6:$A$15,0)),0)))))</f>
        <v/>
      </c>
      <c r="L681" s="13" t="str">
        <f aca="false">IF($J681="","",IF($C681="",1,$C681)*IF($Q681&lt;&gt;"",$Q681,IFERROR(INDEX(Products!$D$5:$D$54,MATCH($B681,Products!$A$5:$A$54,0)),0)))</f>
        <v/>
      </c>
      <c r="M681" s="14" t="str">
        <f aca="false">IF($J681="","",$J681-$K681-N($H681)-$L681)</f>
        <v/>
      </c>
      <c r="N681" s="15" t="str">
        <f aca="false">IF($J681="","",IF($J681&gt;0,$M681/$J681,""))</f>
        <v/>
      </c>
      <c r="O681" s="12"/>
      <c r="P681" s="12"/>
      <c r="Q681" s="11"/>
      <c r="R681" s="11"/>
      <c r="S681" s="12"/>
      <c r="T681" s="16" t="str">
        <f aca="false">IF($J681="","",IF($C681="",1,$C681))</f>
        <v/>
      </c>
    </row>
    <row r="682" customFormat="false" ht="15" hidden="false" customHeight="false" outlineLevel="0" collapsed="false">
      <c r="A682" s="7"/>
      <c r="B682" s="8"/>
      <c r="C682" s="9"/>
      <c r="D682" s="10"/>
      <c r="E682" s="11"/>
      <c r="F682" s="11"/>
      <c r="G682" s="8"/>
      <c r="H682" s="11"/>
      <c r="I682" s="12"/>
      <c r="J682" s="13" t="str">
        <f aca="false">IF(OR($A682="",$D682=""),"",IF($C682="",1,$C682)*$D682+N($E682)-N($F682))</f>
        <v/>
      </c>
      <c r="K682" s="13" t="str">
        <f aca="false">IF($J682="","",IF($R682&lt;&gt;"",$R682,IF($G682="",0,MAX(IFERROR(INDEX(Settings!$D$6:$D$15,MATCH($G682,Settings!$A$6:$A$15,0)),0),$J682*IFERROR(INDEX(Settings!$B$6:$B$15,MATCH($G682,Settings!$A$6:$A$15,0)),0)+IFERROR(INDEX(Settings!$C$6:$C$15,MATCH($G682,Settings!$A$6:$A$15,0)),0)))))</f>
        <v/>
      </c>
      <c r="L682" s="13" t="str">
        <f aca="false">IF($J682="","",IF($C682="",1,$C682)*IF($Q682&lt;&gt;"",$Q682,IFERROR(INDEX(Products!$D$5:$D$54,MATCH($B682,Products!$A$5:$A$54,0)),0)))</f>
        <v/>
      </c>
      <c r="M682" s="14" t="str">
        <f aca="false">IF($J682="","",$J682-$K682-N($H682)-$L682)</f>
        <v/>
      </c>
      <c r="N682" s="15" t="str">
        <f aca="false">IF($J682="","",IF($J682&gt;0,$M682/$J682,""))</f>
        <v/>
      </c>
      <c r="O682" s="12"/>
      <c r="P682" s="12"/>
      <c r="Q682" s="11"/>
      <c r="R682" s="11"/>
      <c r="S682" s="12"/>
      <c r="T682" s="16" t="str">
        <f aca="false">IF($J682="","",IF($C682="",1,$C682))</f>
        <v/>
      </c>
    </row>
    <row r="683" customFormat="false" ht="15" hidden="false" customHeight="false" outlineLevel="0" collapsed="false">
      <c r="A683" s="7"/>
      <c r="B683" s="8"/>
      <c r="C683" s="9"/>
      <c r="D683" s="10"/>
      <c r="E683" s="11"/>
      <c r="F683" s="11"/>
      <c r="G683" s="8"/>
      <c r="H683" s="11"/>
      <c r="I683" s="12"/>
      <c r="J683" s="13" t="str">
        <f aca="false">IF(OR($A683="",$D683=""),"",IF($C683="",1,$C683)*$D683+N($E683)-N($F683))</f>
        <v/>
      </c>
      <c r="K683" s="13" t="str">
        <f aca="false">IF($J683="","",IF($R683&lt;&gt;"",$R683,IF($G683="",0,MAX(IFERROR(INDEX(Settings!$D$6:$D$15,MATCH($G683,Settings!$A$6:$A$15,0)),0),$J683*IFERROR(INDEX(Settings!$B$6:$B$15,MATCH($G683,Settings!$A$6:$A$15,0)),0)+IFERROR(INDEX(Settings!$C$6:$C$15,MATCH($G683,Settings!$A$6:$A$15,0)),0)))))</f>
        <v/>
      </c>
      <c r="L683" s="13" t="str">
        <f aca="false">IF($J683="","",IF($C683="",1,$C683)*IF($Q683&lt;&gt;"",$Q683,IFERROR(INDEX(Products!$D$5:$D$54,MATCH($B683,Products!$A$5:$A$54,0)),0)))</f>
        <v/>
      </c>
      <c r="M683" s="14" t="str">
        <f aca="false">IF($J683="","",$J683-$K683-N($H683)-$L683)</f>
        <v/>
      </c>
      <c r="N683" s="15" t="str">
        <f aca="false">IF($J683="","",IF($J683&gt;0,$M683/$J683,""))</f>
        <v/>
      </c>
      <c r="O683" s="12"/>
      <c r="P683" s="12"/>
      <c r="Q683" s="11"/>
      <c r="R683" s="11"/>
      <c r="S683" s="12"/>
      <c r="T683" s="16" t="str">
        <f aca="false">IF($J683="","",IF($C683="",1,$C683))</f>
        <v/>
      </c>
    </row>
    <row r="684" customFormat="false" ht="15" hidden="false" customHeight="false" outlineLevel="0" collapsed="false">
      <c r="A684" s="7"/>
      <c r="B684" s="8"/>
      <c r="C684" s="9"/>
      <c r="D684" s="10"/>
      <c r="E684" s="11"/>
      <c r="F684" s="11"/>
      <c r="G684" s="8"/>
      <c r="H684" s="11"/>
      <c r="I684" s="12"/>
      <c r="J684" s="13" t="str">
        <f aca="false">IF(OR($A684="",$D684=""),"",IF($C684="",1,$C684)*$D684+N($E684)-N($F684))</f>
        <v/>
      </c>
      <c r="K684" s="13" t="str">
        <f aca="false">IF($J684="","",IF($R684&lt;&gt;"",$R684,IF($G684="",0,MAX(IFERROR(INDEX(Settings!$D$6:$D$15,MATCH($G684,Settings!$A$6:$A$15,0)),0),$J684*IFERROR(INDEX(Settings!$B$6:$B$15,MATCH($G684,Settings!$A$6:$A$15,0)),0)+IFERROR(INDEX(Settings!$C$6:$C$15,MATCH($G684,Settings!$A$6:$A$15,0)),0)))))</f>
        <v/>
      </c>
      <c r="L684" s="13" t="str">
        <f aca="false">IF($J684="","",IF($C684="",1,$C684)*IF($Q684&lt;&gt;"",$Q684,IFERROR(INDEX(Products!$D$5:$D$54,MATCH($B684,Products!$A$5:$A$54,0)),0)))</f>
        <v/>
      </c>
      <c r="M684" s="14" t="str">
        <f aca="false">IF($J684="","",$J684-$K684-N($H684)-$L684)</f>
        <v/>
      </c>
      <c r="N684" s="15" t="str">
        <f aca="false">IF($J684="","",IF($J684&gt;0,$M684/$J684,""))</f>
        <v/>
      </c>
      <c r="O684" s="12"/>
      <c r="P684" s="12"/>
      <c r="Q684" s="11"/>
      <c r="R684" s="11"/>
      <c r="S684" s="12"/>
      <c r="T684" s="16" t="str">
        <f aca="false">IF($J684="","",IF($C684="",1,$C684))</f>
        <v/>
      </c>
    </row>
    <row r="685" customFormat="false" ht="15" hidden="false" customHeight="false" outlineLevel="0" collapsed="false">
      <c r="A685" s="7"/>
      <c r="B685" s="8"/>
      <c r="C685" s="9"/>
      <c r="D685" s="10"/>
      <c r="E685" s="11"/>
      <c r="F685" s="11"/>
      <c r="G685" s="8"/>
      <c r="H685" s="11"/>
      <c r="I685" s="12"/>
      <c r="J685" s="13" t="str">
        <f aca="false">IF(OR($A685="",$D685=""),"",IF($C685="",1,$C685)*$D685+N($E685)-N($F685))</f>
        <v/>
      </c>
      <c r="K685" s="13" t="str">
        <f aca="false">IF($J685="","",IF($R685&lt;&gt;"",$R685,IF($G685="",0,MAX(IFERROR(INDEX(Settings!$D$6:$D$15,MATCH($G685,Settings!$A$6:$A$15,0)),0),$J685*IFERROR(INDEX(Settings!$B$6:$B$15,MATCH($G685,Settings!$A$6:$A$15,0)),0)+IFERROR(INDEX(Settings!$C$6:$C$15,MATCH($G685,Settings!$A$6:$A$15,0)),0)))))</f>
        <v/>
      </c>
      <c r="L685" s="13" t="str">
        <f aca="false">IF($J685="","",IF($C685="",1,$C685)*IF($Q685&lt;&gt;"",$Q685,IFERROR(INDEX(Products!$D$5:$D$54,MATCH($B685,Products!$A$5:$A$54,0)),0)))</f>
        <v/>
      </c>
      <c r="M685" s="14" t="str">
        <f aca="false">IF($J685="","",$J685-$K685-N($H685)-$L685)</f>
        <v/>
      </c>
      <c r="N685" s="15" t="str">
        <f aca="false">IF($J685="","",IF($J685&gt;0,$M685/$J685,""))</f>
        <v/>
      </c>
      <c r="O685" s="12"/>
      <c r="P685" s="12"/>
      <c r="Q685" s="11"/>
      <c r="R685" s="11"/>
      <c r="S685" s="12"/>
      <c r="T685" s="16" t="str">
        <f aca="false">IF($J685="","",IF($C685="",1,$C685))</f>
        <v/>
      </c>
    </row>
    <row r="686" customFormat="false" ht="15" hidden="false" customHeight="false" outlineLevel="0" collapsed="false">
      <c r="A686" s="7"/>
      <c r="B686" s="8"/>
      <c r="C686" s="9"/>
      <c r="D686" s="10"/>
      <c r="E686" s="11"/>
      <c r="F686" s="11"/>
      <c r="G686" s="8"/>
      <c r="H686" s="11"/>
      <c r="I686" s="12"/>
      <c r="J686" s="13" t="str">
        <f aca="false">IF(OR($A686="",$D686=""),"",IF($C686="",1,$C686)*$D686+N($E686)-N($F686))</f>
        <v/>
      </c>
      <c r="K686" s="13" t="str">
        <f aca="false">IF($J686="","",IF($R686&lt;&gt;"",$R686,IF($G686="",0,MAX(IFERROR(INDEX(Settings!$D$6:$D$15,MATCH($G686,Settings!$A$6:$A$15,0)),0),$J686*IFERROR(INDEX(Settings!$B$6:$B$15,MATCH($G686,Settings!$A$6:$A$15,0)),0)+IFERROR(INDEX(Settings!$C$6:$C$15,MATCH($G686,Settings!$A$6:$A$15,0)),0)))))</f>
        <v/>
      </c>
      <c r="L686" s="13" t="str">
        <f aca="false">IF($J686="","",IF($C686="",1,$C686)*IF($Q686&lt;&gt;"",$Q686,IFERROR(INDEX(Products!$D$5:$D$54,MATCH($B686,Products!$A$5:$A$54,0)),0)))</f>
        <v/>
      </c>
      <c r="M686" s="14" t="str">
        <f aca="false">IF($J686="","",$J686-$K686-N($H686)-$L686)</f>
        <v/>
      </c>
      <c r="N686" s="15" t="str">
        <f aca="false">IF($J686="","",IF($J686&gt;0,$M686/$J686,""))</f>
        <v/>
      </c>
      <c r="O686" s="12"/>
      <c r="P686" s="12"/>
      <c r="Q686" s="11"/>
      <c r="R686" s="11"/>
      <c r="S686" s="12"/>
      <c r="T686" s="16" t="str">
        <f aca="false">IF($J686="","",IF($C686="",1,$C686))</f>
        <v/>
      </c>
    </row>
    <row r="687" customFormat="false" ht="15" hidden="false" customHeight="false" outlineLevel="0" collapsed="false">
      <c r="A687" s="7"/>
      <c r="B687" s="8"/>
      <c r="C687" s="9"/>
      <c r="D687" s="10"/>
      <c r="E687" s="11"/>
      <c r="F687" s="11"/>
      <c r="G687" s="8"/>
      <c r="H687" s="11"/>
      <c r="I687" s="12"/>
      <c r="J687" s="13" t="str">
        <f aca="false">IF(OR($A687="",$D687=""),"",IF($C687="",1,$C687)*$D687+N($E687)-N($F687))</f>
        <v/>
      </c>
      <c r="K687" s="13" t="str">
        <f aca="false">IF($J687="","",IF($R687&lt;&gt;"",$R687,IF($G687="",0,MAX(IFERROR(INDEX(Settings!$D$6:$D$15,MATCH($G687,Settings!$A$6:$A$15,0)),0),$J687*IFERROR(INDEX(Settings!$B$6:$B$15,MATCH($G687,Settings!$A$6:$A$15,0)),0)+IFERROR(INDEX(Settings!$C$6:$C$15,MATCH($G687,Settings!$A$6:$A$15,0)),0)))))</f>
        <v/>
      </c>
      <c r="L687" s="13" t="str">
        <f aca="false">IF($J687="","",IF($C687="",1,$C687)*IF($Q687&lt;&gt;"",$Q687,IFERROR(INDEX(Products!$D$5:$D$54,MATCH($B687,Products!$A$5:$A$54,0)),0)))</f>
        <v/>
      </c>
      <c r="M687" s="14" t="str">
        <f aca="false">IF($J687="","",$J687-$K687-N($H687)-$L687)</f>
        <v/>
      </c>
      <c r="N687" s="15" t="str">
        <f aca="false">IF($J687="","",IF($J687&gt;0,$M687/$J687,""))</f>
        <v/>
      </c>
      <c r="O687" s="12"/>
      <c r="P687" s="12"/>
      <c r="Q687" s="11"/>
      <c r="R687" s="11"/>
      <c r="S687" s="12"/>
      <c r="T687" s="16" t="str">
        <f aca="false">IF($J687="","",IF($C687="",1,$C687))</f>
        <v/>
      </c>
    </row>
    <row r="688" customFormat="false" ht="15" hidden="false" customHeight="false" outlineLevel="0" collapsed="false">
      <c r="A688" s="7"/>
      <c r="B688" s="8"/>
      <c r="C688" s="9"/>
      <c r="D688" s="10"/>
      <c r="E688" s="11"/>
      <c r="F688" s="11"/>
      <c r="G688" s="8"/>
      <c r="H688" s="11"/>
      <c r="I688" s="12"/>
      <c r="J688" s="13" t="str">
        <f aca="false">IF(OR($A688="",$D688=""),"",IF($C688="",1,$C688)*$D688+N($E688)-N($F688))</f>
        <v/>
      </c>
      <c r="K688" s="13" t="str">
        <f aca="false">IF($J688="","",IF($R688&lt;&gt;"",$R688,IF($G688="",0,MAX(IFERROR(INDEX(Settings!$D$6:$D$15,MATCH($G688,Settings!$A$6:$A$15,0)),0),$J688*IFERROR(INDEX(Settings!$B$6:$B$15,MATCH($G688,Settings!$A$6:$A$15,0)),0)+IFERROR(INDEX(Settings!$C$6:$C$15,MATCH($G688,Settings!$A$6:$A$15,0)),0)))))</f>
        <v/>
      </c>
      <c r="L688" s="13" t="str">
        <f aca="false">IF($J688="","",IF($C688="",1,$C688)*IF($Q688&lt;&gt;"",$Q688,IFERROR(INDEX(Products!$D$5:$D$54,MATCH($B688,Products!$A$5:$A$54,0)),0)))</f>
        <v/>
      </c>
      <c r="M688" s="14" t="str">
        <f aca="false">IF($J688="","",$J688-$K688-N($H688)-$L688)</f>
        <v/>
      </c>
      <c r="N688" s="15" t="str">
        <f aca="false">IF($J688="","",IF($J688&gt;0,$M688/$J688,""))</f>
        <v/>
      </c>
      <c r="O688" s="12"/>
      <c r="P688" s="12"/>
      <c r="Q688" s="11"/>
      <c r="R688" s="11"/>
      <c r="S688" s="12"/>
      <c r="T688" s="16" t="str">
        <f aca="false">IF($J688="","",IF($C688="",1,$C688))</f>
        <v/>
      </c>
    </row>
    <row r="689" customFormat="false" ht="15" hidden="false" customHeight="false" outlineLevel="0" collapsed="false">
      <c r="A689" s="7"/>
      <c r="B689" s="8"/>
      <c r="C689" s="9"/>
      <c r="D689" s="10"/>
      <c r="E689" s="11"/>
      <c r="F689" s="11"/>
      <c r="G689" s="8"/>
      <c r="H689" s="11"/>
      <c r="I689" s="12"/>
      <c r="J689" s="13" t="str">
        <f aca="false">IF(OR($A689="",$D689=""),"",IF($C689="",1,$C689)*$D689+N($E689)-N($F689))</f>
        <v/>
      </c>
      <c r="K689" s="13" t="str">
        <f aca="false">IF($J689="","",IF($R689&lt;&gt;"",$R689,IF($G689="",0,MAX(IFERROR(INDEX(Settings!$D$6:$D$15,MATCH($G689,Settings!$A$6:$A$15,0)),0),$J689*IFERROR(INDEX(Settings!$B$6:$B$15,MATCH($G689,Settings!$A$6:$A$15,0)),0)+IFERROR(INDEX(Settings!$C$6:$C$15,MATCH($G689,Settings!$A$6:$A$15,0)),0)))))</f>
        <v/>
      </c>
      <c r="L689" s="13" t="str">
        <f aca="false">IF($J689="","",IF($C689="",1,$C689)*IF($Q689&lt;&gt;"",$Q689,IFERROR(INDEX(Products!$D$5:$D$54,MATCH($B689,Products!$A$5:$A$54,0)),0)))</f>
        <v/>
      </c>
      <c r="M689" s="14" t="str">
        <f aca="false">IF($J689="","",$J689-$K689-N($H689)-$L689)</f>
        <v/>
      </c>
      <c r="N689" s="15" t="str">
        <f aca="false">IF($J689="","",IF($J689&gt;0,$M689/$J689,""))</f>
        <v/>
      </c>
      <c r="O689" s="12"/>
      <c r="P689" s="12"/>
      <c r="Q689" s="11"/>
      <c r="R689" s="11"/>
      <c r="S689" s="12"/>
      <c r="T689" s="16" t="str">
        <f aca="false">IF($J689="","",IF($C689="",1,$C689))</f>
        <v/>
      </c>
    </row>
    <row r="690" customFormat="false" ht="15" hidden="false" customHeight="false" outlineLevel="0" collapsed="false">
      <c r="A690" s="7"/>
      <c r="B690" s="8"/>
      <c r="C690" s="9"/>
      <c r="D690" s="10"/>
      <c r="E690" s="11"/>
      <c r="F690" s="11"/>
      <c r="G690" s="8"/>
      <c r="H690" s="11"/>
      <c r="I690" s="12"/>
      <c r="J690" s="13" t="str">
        <f aca="false">IF(OR($A690="",$D690=""),"",IF($C690="",1,$C690)*$D690+N($E690)-N($F690))</f>
        <v/>
      </c>
      <c r="K690" s="13" t="str">
        <f aca="false">IF($J690="","",IF($R690&lt;&gt;"",$R690,IF($G690="",0,MAX(IFERROR(INDEX(Settings!$D$6:$D$15,MATCH($G690,Settings!$A$6:$A$15,0)),0),$J690*IFERROR(INDEX(Settings!$B$6:$B$15,MATCH($G690,Settings!$A$6:$A$15,0)),0)+IFERROR(INDEX(Settings!$C$6:$C$15,MATCH($G690,Settings!$A$6:$A$15,0)),0)))))</f>
        <v/>
      </c>
      <c r="L690" s="13" t="str">
        <f aca="false">IF($J690="","",IF($C690="",1,$C690)*IF($Q690&lt;&gt;"",$Q690,IFERROR(INDEX(Products!$D$5:$D$54,MATCH($B690,Products!$A$5:$A$54,0)),0)))</f>
        <v/>
      </c>
      <c r="M690" s="14" t="str">
        <f aca="false">IF($J690="","",$J690-$K690-N($H690)-$L690)</f>
        <v/>
      </c>
      <c r="N690" s="15" t="str">
        <f aca="false">IF($J690="","",IF($J690&gt;0,$M690/$J690,""))</f>
        <v/>
      </c>
      <c r="O690" s="12"/>
      <c r="P690" s="12"/>
      <c r="Q690" s="11"/>
      <c r="R690" s="11"/>
      <c r="S690" s="12"/>
      <c r="T690" s="16" t="str">
        <f aca="false">IF($J690="","",IF($C690="",1,$C690))</f>
        <v/>
      </c>
    </row>
    <row r="691" customFormat="false" ht="15" hidden="false" customHeight="false" outlineLevel="0" collapsed="false">
      <c r="A691" s="7"/>
      <c r="B691" s="8"/>
      <c r="C691" s="9"/>
      <c r="D691" s="10"/>
      <c r="E691" s="11"/>
      <c r="F691" s="11"/>
      <c r="G691" s="8"/>
      <c r="H691" s="11"/>
      <c r="I691" s="12"/>
      <c r="J691" s="13" t="str">
        <f aca="false">IF(OR($A691="",$D691=""),"",IF($C691="",1,$C691)*$D691+N($E691)-N($F691))</f>
        <v/>
      </c>
      <c r="K691" s="13" t="str">
        <f aca="false">IF($J691="","",IF($R691&lt;&gt;"",$R691,IF($G691="",0,MAX(IFERROR(INDEX(Settings!$D$6:$D$15,MATCH($G691,Settings!$A$6:$A$15,0)),0),$J691*IFERROR(INDEX(Settings!$B$6:$B$15,MATCH($G691,Settings!$A$6:$A$15,0)),0)+IFERROR(INDEX(Settings!$C$6:$C$15,MATCH($G691,Settings!$A$6:$A$15,0)),0)))))</f>
        <v/>
      </c>
      <c r="L691" s="13" t="str">
        <f aca="false">IF($J691="","",IF($C691="",1,$C691)*IF($Q691&lt;&gt;"",$Q691,IFERROR(INDEX(Products!$D$5:$D$54,MATCH($B691,Products!$A$5:$A$54,0)),0)))</f>
        <v/>
      </c>
      <c r="M691" s="14" t="str">
        <f aca="false">IF($J691="","",$J691-$K691-N($H691)-$L691)</f>
        <v/>
      </c>
      <c r="N691" s="15" t="str">
        <f aca="false">IF($J691="","",IF($J691&gt;0,$M691/$J691,""))</f>
        <v/>
      </c>
      <c r="O691" s="12"/>
      <c r="P691" s="12"/>
      <c r="Q691" s="11"/>
      <c r="R691" s="11"/>
      <c r="S691" s="12"/>
      <c r="T691" s="16" t="str">
        <f aca="false">IF($J691="","",IF($C691="",1,$C691))</f>
        <v/>
      </c>
    </row>
    <row r="692" customFormat="false" ht="15" hidden="false" customHeight="false" outlineLevel="0" collapsed="false">
      <c r="A692" s="7"/>
      <c r="B692" s="8"/>
      <c r="C692" s="9"/>
      <c r="D692" s="10"/>
      <c r="E692" s="11"/>
      <c r="F692" s="11"/>
      <c r="G692" s="8"/>
      <c r="H692" s="11"/>
      <c r="I692" s="12"/>
      <c r="J692" s="13" t="str">
        <f aca="false">IF(OR($A692="",$D692=""),"",IF($C692="",1,$C692)*$D692+N($E692)-N($F692))</f>
        <v/>
      </c>
      <c r="K692" s="13" t="str">
        <f aca="false">IF($J692="","",IF($R692&lt;&gt;"",$R692,IF($G692="",0,MAX(IFERROR(INDEX(Settings!$D$6:$D$15,MATCH($G692,Settings!$A$6:$A$15,0)),0),$J692*IFERROR(INDEX(Settings!$B$6:$B$15,MATCH($G692,Settings!$A$6:$A$15,0)),0)+IFERROR(INDEX(Settings!$C$6:$C$15,MATCH($G692,Settings!$A$6:$A$15,0)),0)))))</f>
        <v/>
      </c>
      <c r="L692" s="13" t="str">
        <f aca="false">IF($J692="","",IF($C692="",1,$C692)*IF($Q692&lt;&gt;"",$Q692,IFERROR(INDEX(Products!$D$5:$D$54,MATCH($B692,Products!$A$5:$A$54,0)),0)))</f>
        <v/>
      </c>
      <c r="M692" s="14" t="str">
        <f aca="false">IF($J692="","",$J692-$K692-N($H692)-$L692)</f>
        <v/>
      </c>
      <c r="N692" s="15" t="str">
        <f aca="false">IF($J692="","",IF($J692&gt;0,$M692/$J692,""))</f>
        <v/>
      </c>
      <c r="O692" s="12"/>
      <c r="P692" s="12"/>
      <c r="Q692" s="11"/>
      <c r="R692" s="11"/>
      <c r="S692" s="12"/>
      <c r="T692" s="16" t="str">
        <f aca="false">IF($J692="","",IF($C692="",1,$C692))</f>
        <v/>
      </c>
    </row>
    <row r="693" customFormat="false" ht="15" hidden="false" customHeight="false" outlineLevel="0" collapsed="false">
      <c r="A693" s="7"/>
      <c r="B693" s="8"/>
      <c r="C693" s="9"/>
      <c r="D693" s="10"/>
      <c r="E693" s="11"/>
      <c r="F693" s="11"/>
      <c r="G693" s="8"/>
      <c r="H693" s="11"/>
      <c r="I693" s="12"/>
      <c r="J693" s="13" t="str">
        <f aca="false">IF(OR($A693="",$D693=""),"",IF($C693="",1,$C693)*$D693+N($E693)-N($F693))</f>
        <v/>
      </c>
      <c r="K693" s="13" t="str">
        <f aca="false">IF($J693="","",IF($R693&lt;&gt;"",$R693,IF($G693="",0,MAX(IFERROR(INDEX(Settings!$D$6:$D$15,MATCH($G693,Settings!$A$6:$A$15,0)),0),$J693*IFERROR(INDEX(Settings!$B$6:$B$15,MATCH($G693,Settings!$A$6:$A$15,0)),0)+IFERROR(INDEX(Settings!$C$6:$C$15,MATCH($G693,Settings!$A$6:$A$15,0)),0)))))</f>
        <v/>
      </c>
      <c r="L693" s="13" t="str">
        <f aca="false">IF($J693="","",IF($C693="",1,$C693)*IF($Q693&lt;&gt;"",$Q693,IFERROR(INDEX(Products!$D$5:$D$54,MATCH($B693,Products!$A$5:$A$54,0)),0)))</f>
        <v/>
      </c>
      <c r="M693" s="14" t="str">
        <f aca="false">IF($J693="","",$J693-$K693-N($H693)-$L693)</f>
        <v/>
      </c>
      <c r="N693" s="15" t="str">
        <f aca="false">IF($J693="","",IF($J693&gt;0,$M693/$J693,""))</f>
        <v/>
      </c>
      <c r="O693" s="12"/>
      <c r="P693" s="12"/>
      <c r="Q693" s="11"/>
      <c r="R693" s="11"/>
      <c r="S693" s="12"/>
      <c r="T693" s="16" t="str">
        <f aca="false">IF($J693="","",IF($C693="",1,$C693))</f>
        <v/>
      </c>
    </row>
    <row r="694" customFormat="false" ht="15" hidden="false" customHeight="false" outlineLevel="0" collapsed="false">
      <c r="A694" s="7"/>
      <c r="B694" s="8"/>
      <c r="C694" s="9"/>
      <c r="D694" s="10"/>
      <c r="E694" s="11"/>
      <c r="F694" s="11"/>
      <c r="G694" s="8"/>
      <c r="H694" s="11"/>
      <c r="I694" s="12"/>
      <c r="J694" s="13" t="str">
        <f aca="false">IF(OR($A694="",$D694=""),"",IF($C694="",1,$C694)*$D694+N($E694)-N($F694))</f>
        <v/>
      </c>
      <c r="K694" s="13" t="str">
        <f aca="false">IF($J694="","",IF($R694&lt;&gt;"",$R694,IF($G694="",0,MAX(IFERROR(INDEX(Settings!$D$6:$D$15,MATCH($G694,Settings!$A$6:$A$15,0)),0),$J694*IFERROR(INDEX(Settings!$B$6:$B$15,MATCH($G694,Settings!$A$6:$A$15,0)),0)+IFERROR(INDEX(Settings!$C$6:$C$15,MATCH($G694,Settings!$A$6:$A$15,0)),0)))))</f>
        <v/>
      </c>
      <c r="L694" s="13" t="str">
        <f aca="false">IF($J694="","",IF($C694="",1,$C694)*IF($Q694&lt;&gt;"",$Q694,IFERROR(INDEX(Products!$D$5:$D$54,MATCH($B694,Products!$A$5:$A$54,0)),0)))</f>
        <v/>
      </c>
      <c r="M694" s="14" t="str">
        <f aca="false">IF($J694="","",$J694-$K694-N($H694)-$L694)</f>
        <v/>
      </c>
      <c r="N694" s="15" t="str">
        <f aca="false">IF($J694="","",IF($J694&gt;0,$M694/$J694,""))</f>
        <v/>
      </c>
      <c r="O694" s="12"/>
      <c r="P694" s="12"/>
      <c r="Q694" s="11"/>
      <c r="R694" s="11"/>
      <c r="S694" s="12"/>
      <c r="T694" s="16" t="str">
        <f aca="false">IF($J694="","",IF($C694="",1,$C694))</f>
        <v/>
      </c>
    </row>
    <row r="695" customFormat="false" ht="15" hidden="false" customHeight="false" outlineLevel="0" collapsed="false">
      <c r="A695" s="7"/>
      <c r="B695" s="8"/>
      <c r="C695" s="9"/>
      <c r="D695" s="10"/>
      <c r="E695" s="11"/>
      <c r="F695" s="11"/>
      <c r="G695" s="8"/>
      <c r="H695" s="11"/>
      <c r="I695" s="12"/>
      <c r="J695" s="13" t="str">
        <f aca="false">IF(OR($A695="",$D695=""),"",IF($C695="",1,$C695)*$D695+N($E695)-N($F695))</f>
        <v/>
      </c>
      <c r="K695" s="13" t="str">
        <f aca="false">IF($J695="","",IF($R695&lt;&gt;"",$R695,IF($G695="",0,MAX(IFERROR(INDEX(Settings!$D$6:$D$15,MATCH($G695,Settings!$A$6:$A$15,0)),0),$J695*IFERROR(INDEX(Settings!$B$6:$B$15,MATCH($G695,Settings!$A$6:$A$15,0)),0)+IFERROR(INDEX(Settings!$C$6:$C$15,MATCH($G695,Settings!$A$6:$A$15,0)),0)))))</f>
        <v/>
      </c>
      <c r="L695" s="13" t="str">
        <f aca="false">IF($J695="","",IF($C695="",1,$C695)*IF($Q695&lt;&gt;"",$Q695,IFERROR(INDEX(Products!$D$5:$D$54,MATCH($B695,Products!$A$5:$A$54,0)),0)))</f>
        <v/>
      </c>
      <c r="M695" s="14" t="str">
        <f aca="false">IF($J695="","",$J695-$K695-N($H695)-$L695)</f>
        <v/>
      </c>
      <c r="N695" s="15" t="str">
        <f aca="false">IF($J695="","",IF($J695&gt;0,$M695/$J695,""))</f>
        <v/>
      </c>
      <c r="O695" s="12"/>
      <c r="P695" s="12"/>
      <c r="Q695" s="11"/>
      <c r="R695" s="11"/>
      <c r="S695" s="12"/>
      <c r="T695" s="16" t="str">
        <f aca="false">IF($J695="","",IF($C695="",1,$C695))</f>
        <v/>
      </c>
    </row>
    <row r="696" customFormat="false" ht="15" hidden="false" customHeight="false" outlineLevel="0" collapsed="false">
      <c r="A696" s="7"/>
      <c r="B696" s="8"/>
      <c r="C696" s="9"/>
      <c r="D696" s="10"/>
      <c r="E696" s="11"/>
      <c r="F696" s="11"/>
      <c r="G696" s="8"/>
      <c r="H696" s="11"/>
      <c r="I696" s="12"/>
      <c r="J696" s="13" t="str">
        <f aca="false">IF(OR($A696="",$D696=""),"",IF($C696="",1,$C696)*$D696+N($E696)-N($F696))</f>
        <v/>
      </c>
      <c r="K696" s="13" t="str">
        <f aca="false">IF($J696="","",IF($R696&lt;&gt;"",$R696,IF($G696="",0,MAX(IFERROR(INDEX(Settings!$D$6:$D$15,MATCH($G696,Settings!$A$6:$A$15,0)),0),$J696*IFERROR(INDEX(Settings!$B$6:$B$15,MATCH($G696,Settings!$A$6:$A$15,0)),0)+IFERROR(INDEX(Settings!$C$6:$C$15,MATCH($G696,Settings!$A$6:$A$15,0)),0)))))</f>
        <v/>
      </c>
      <c r="L696" s="13" t="str">
        <f aca="false">IF($J696="","",IF($C696="",1,$C696)*IF($Q696&lt;&gt;"",$Q696,IFERROR(INDEX(Products!$D$5:$D$54,MATCH($B696,Products!$A$5:$A$54,0)),0)))</f>
        <v/>
      </c>
      <c r="M696" s="14" t="str">
        <f aca="false">IF($J696="","",$J696-$K696-N($H696)-$L696)</f>
        <v/>
      </c>
      <c r="N696" s="15" t="str">
        <f aca="false">IF($J696="","",IF($J696&gt;0,$M696/$J696,""))</f>
        <v/>
      </c>
      <c r="O696" s="12"/>
      <c r="P696" s="12"/>
      <c r="Q696" s="11"/>
      <c r="R696" s="11"/>
      <c r="S696" s="12"/>
      <c r="T696" s="16" t="str">
        <f aca="false">IF($J696="","",IF($C696="",1,$C696))</f>
        <v/>
      </c>
    </row>
    <row r="697" customFormat="false" ht="15" hidden="false" customHeight="false" outlineLevel="0" collapsed="false">
      <c r="A697" s="7"/>
      <c r="B697" s="8"/>
      <c r="C697" s="9"/>
      <c r="D697" s="10"/>
      <c r="E697" s="11"/>
      <c r="F697" s="11"/>
      <c r="G697" s="8"/>
      <c r="H697" s="11"/>
      <c r="I697" s="12"/>
      <c r="J697" s="13" t="str">
        <f aca="false">IF(OR($A697="",$D697=""),"",IF($C697="",1,$C697)*$D697+N($E697)-N($F697))</f>
        <v/>
      </c>
      <c r="K697" s="13" t="str">
        <f aca="false">IF($J697="","",IF($R697&lt;&gt;"",$R697,IF($G697="",0,MAX(IFERROR(INDEX(Settings!$D$6:$D$15,MATCH($G697,Settings!$A$6:$A$15,0)),0),$J697*IFERROR(INDEX(Settings!$B$6:$B$15,MATCH($G697,Settings!$A$6:$A$15,0)),0)+IFERROR(INDEX(Settings!$C$6:$C$15,MATCH($G697,Settings!$A$6:$A$15,0)),0)))))</f>
        <v/>
      </c>
      <c r="L697" s="13" t="str">
        <f aca="false">IF($J697="","",IF($C697="",1,$C697)*IF($Q697&lt;&gt;"",$Q697,IFERROR(INDEX(Products!$D$5:$D$54,MATCH($B697,Products!$A$5:$A$54,0)),0)))</f>
        <v/>
      </c>
      <c r="M697" s="14" t="str">
        <f aca="false">IF($J697="","",$J697-$K697-N($H697)-$L697)</f>
        <v/>
      </c>
      <c r="N697" s="15" t="str">
        <f aca="false">IF($J697="","",IF($J697&gt;0,$M697/$J697,""))</f>
        <v/>
      </c>
      <c r="O697" s="12"/>
      <c r="P697" s="12"/>
      <c r="Q697" s="11"/>
      <c r="R697" s="11"/>
      <c r="S697" s="12"/>
      <c r="T697" s="16" t="str">
        <f aca="false">IF($J697="","",IF($C697="",1,$C697))</f>
        <v/>
      </c>
    </row>
    <row r="698" customFormat="false" ht="15" hidden="false" customHeight="false" outlineLevel="0" collapsed="false">
      <c r="A698" s="7"/>
      <c r="B698" s="8"/>
      <c r="C698" s="9"/>
      <c r="D698" s="10"/>
      <c r="E698" s="11"/>
      <c r="F698" s="11"/>
      <c r="G698" s="8"/>
      <c r="H698" s="11"/>
      <c r="I698" s="12"/>
      <c r="J698" s="13" t="str">
        <f aca="false">IF(OR($A698="",$D698=""),"",IF($C698="",1,$C698)*$D698+N($E698)-N($F698))</f>
        <v/>
      </c>
      <c r="K698" s="13" t="str">
        <f aca="false">IF($J698="","",IF($R698&lt;&gt;"",$R698,IF($G698="",0,MAX(IFERROR(INDEX(Settings!$D$6:$D$15,MATCH($G698,Settings!$A$6:$A$15,0)),0),$J698*IFERROR(INDEX(Settings!$B$6:$B$15,MATCH($G698,Settings!$A$6:$A$15,0)),0)+IFERROR(INDEX(Settings!$C$6:$C$15,MATCH($G698,Settings!$A$6:$A$15,0)),0)))))</f>
        <v/>
      </c>
      <c r="L698" s="13" t="str">
        <f aca="false">IF($J698="","",IF($C698="",1,$C698)*IF($Q698&lt;&gt;"",$Q698,IFERROR(INDEX(Products!$D$5:$D$54,MATCH($B698,Products!$A$5:$A$54,0)),0)))</f>
        <v/>
      </c>
      <c r="M698" s="14" t="str">
        <f aca="false">IF($J698="","",$J698-$K698-N($H698)-$L698)</f>
        <v/>
      </c>
      <c r="N698" s="15" t="str">
        <f aca="false">IF($J698="","",IF($J698&gt;0,$M698/$J698,""))</f>
        <v/>
      </c>
      <c r="O698" s="12"/>
      <c r="P698" s="12"/>
      <c r="Q698" s="11"/>
      <c r="R698" s="11"/>
      <c r="S698" s="12"/>
      <c r="T698" s="16" t="str">
        <f aca="false">IF($J698="","",IF($C698="",1,$C698))</f>
        <v/>
      </c>
    </row>
    <row r="699" customFormat="false" ht="15" hidden="false" customHeight="false" outlineLevel="0" collapsed="false">
      <c r="A699" s="7"/>
      <c r="B699" s="8"/>
      <c r="C699" s="9"/>
      <c r="D699" s="10"/>
      <c r="E699" s="11"/>
      <c r="F699" s="11"/>
      <c r="G699" s="8"/>
      <c r="H699" s="11"/>
      <c r="I699" s="12"/>
      <c r="J699" s="13" t="str">
        <f aca="false">IF(OR($A699="",$D699=""),"",IF($C699="",1,$C699)*$D699+N($E699)-N($F699))</f>
        <v/>
      </c>
      <c r="K699" s="13" t="str">
        <f aca="false">IF($J699="","",IF($R699&lt;&gt;"",$R699,IF($G699="",0,MAX(IFERROR(INDEX(Settings!$D$6:$D$15,MATCH($G699,Settings!$A$6:$A$15,0)),0),$J699*IFERROR(INDEX(Settings!$B$6:$B$15,MATCH($G699,Settings!$A$6:$A$15,0)),0)+IFERROR(INDEX(Settings!$C$6:$C$15,MATCH($G699,Settings!$A$6:$A$15,0)),0)))))</f>
        <v/>
      </c>
      <c r="L699" s="13" t="str">
        <f aca="false">IF($J699="","",IF($C699="",1,$C699)*IF($Q699&lt;&gt;"",$Q699,IFERROR(INDEX(Products!$D$5:$D$54,MATCH($B699,Products!$A$5:$A$54,0)),0)))</f>
        <v/>
      </c>
      <c r="M699" s="14" t="str">
        <f aca="false">IF($J699="","",$J699-$K699-N($H699)-$L699)</f>
        <v/>
      </c>
      <c r="N699" s="15" t="str">
        <f aca="false">IF($J699="","",IF($J699&gt;0,$M699/$J699,""))</f>
        <v/>
      </c>
      <c r="O699" s="12"/>
      <c r="P699" s="12"/>
      <c r="Q699" s="11"/>
      <c r="R699" s="11"/>
      <c r="S699" s="12"/>
      <c r="T699" s="16" t="str">
        <f aca="false">IF($J699="","",IF($C699="",1,$C699))</f>
        <v/>
      </c>
    </row>
    <row r="700" customFormat="false" ht="15" hidden="false" customHeight="false" outlineLevel="0" collapsed="false">
      <c r="A700" s="7"/>
      <c r="B700" s="8"/>
      <c r="C700" s="9"/>
      <c r="D700" s="10"/>
      <c r="E700" s="11"/>
      <c r="F700" s="11"/>
      <c r="G700" s="8"/>
      <c r="H700" s="11"/>
      <c r="I700" s="12"/>
      <c r="J700" s="13" t="str">
        <f aca="false">IF(OR($A700="",$D700=""),"",IF($C700="",1,$C700)*$D700+N($E700)-N($F700))</f>
        <v/>
      </c>
      <c r="K700" s="13" t="str">
        <f aca="false">IF($J700="","",IF($R700&lt;&gt;"",$R700,IF($G700="",0,MAX(IFERROR(INDEX(Settings!$D$6:$D$15,MATCH($G700,Settings!$A$6:$A$15,0)),0),$J700*IFERROR(INDEX(Settings!$B$6:$B$15,MATCH($G700,Settings!$A$6:$A$15,0)),0)+IFERROR(INDEX(Settings!$C$6:$C$15,MATCH($G700,Settings!$A$6:$A$15,0)),0)))))</f>
        <v/>
      </c>
      <c r="L700" s="13" t="str">
        <f aca="false">IF($J700="","",IF($C700="",1,$C700)*IF($Q700&lt;&gt;"",$Q700,IFERROR(INDEX(Products!$D$5:$D$54,MATCH($B700,Products!$A$5:$A$54,0)),0)))</f>
        <v/>
      </c>
      <c r="M700" s="14" t="str">
        <f aca="false">IF($J700="","",$J700-$K700-N($H700)-$L700)</f>
        <v/>
      </c>
      <c r="N700" s="15" t="str">
        <f aca="false">IF($J700="","",IF($J700&gt;0,$M700/$J700,""))</f>
        <v/>
      </c>
      <c r="O700" s="12"/>
      <c r="P700" s="12"/>
      <c r="Q700" s="11"/>
      <c r="R700" s="11"/>
      <c r="S700" s="12"/>
      <c r="T700" s="16" t="str">
        <f aca="false">IF($J700="","",IF($C700="",1,$C700))</f>
        <v/>
      </c>
    </row>
    <row r="701" customFormat="false" ht="15" hidden="false" customHeight="false" outlineLevel="0" collapsed="false">
      <c r="A701" s="7"/>
      <c r="B701" s="8"/>
      <c r="C701" s="9"/>
      <c r="D701" s="10"/>
      <c r="E701" s="11"/>
      <c r="F701" s="11"/>
      <c r="G701" s="8"/>
      <c r="H701" s="11"/>
      <c r="I701" s="12"/>
      <c r="J701" s="13" t="str">
        <f aca="false">IF(OR($A701="",$D701=""),"",IF($C701="",1,$C701)*$D701+N($E701)-N($F701))</f>
        <v/>
      </c>
      <c r="K701" s="13" t="str">
        <f aca="false">IF($J701="","",IF($R701&lt;&gt;"",$R701,IF($G701="",0,MAX(IFERROR(INDEX(Settings!$D$6:$D$15,MATCH($G701,Settings!$A$6:$A$15,0)),0),$J701*IFERROR(INDEX(Settings!$B$6:$B$15,MATCH($G701,Settings!$A$6:$A$15,0)),0)+IFERROR(INDEX(Settings!$C$6:$C$15,MATCH($G701,Settings!$A$6:$A$15,0)),0)))))</f>
        <v/>
      </c>
      <c r="L701" s="13" t="str">
        <f aca="false">IF($J701="","",IF($C701="",1,$C701)*IF($Q701&lt;&gt;"",$Q701,IFERROR(INDEX(Products!$D$5:$D$54,MATCH($B701,Products!$A$5:$A$54,0)),0)))</f>
        <v/>
      </c>
      <c r="M701" s="14" t="str">
        <f aca="false">IF($J701="","",$J701-$K701-N($H701)-$L701)</f>
        <v/>
      </c>
      <c r="N701" s="15" t="str">
        <f aca="false">IF($J701="","",IF($J701&gt;0,$M701/$J701,""))</f>
        <v/>
      </c>
      <c r="O701" s="12"/>
      <c r="P701" s="12"/>
      <c r="Q701" s="11"/>
      <c r="R701" s="11"/>
      <c r="S701" s="12"/>
      <c r="T701" s="16" t="str">
        <f aca="false">IF($J701="","",IF($C701="",1,$C701))</f>
        <v/>
      </c>
    </row>
    <row r="702" customFormat="false" ht="15" hidden="false" customHeight="false" outlineLevel="0" collapsed="false">
      <c r="A702" s="7"/>
      <c r="B702" s="8"/>
      <c r="C702" s="9"/>
      <c r="D702" s="10"/>
      <c r="E702" s="11"/>
      <c r="F702" s="11"/>
      <c r="G702" s="8"/>
      <c r="H702" s="11"/>
      <c r="I702" s="12"/>
      <c r="J702" s="13" t="str">
        <f aca="false">IF(OR($A702="",$D702=""),"",IF($C702="",1,$C702)*$D702+N($E702)-N($F702))</f>
        <v/>
      </c>
      <c r="K702" s="13" t="str">
        <f aca="false">IF($J702="","",IF($R702&lt;&gt;"",$R702,IF($G702="",0,MAX(IFERROR(INDEX(Settings!$D$6:$D$15,MATCH($G702,Settings!$A$6:$A$15,0)),0),$J702*IFERROR(INDEX(Settings!$B$6:$B$15,MATCH($G702,Settings!$A$6:$A$15,0)),0)+IFERROR(INDEX(Settings!$C$6:$C$15,MATCH($G702,Settings!$A$6:$A$15,0)),0)))))</f>
        <v/>
      </c>
      <c r="L702" s="13" t="str">
        <f aca="false">IF($J702="","",IF($C702="",1,$C702)*IF($Q702&lt;&gt;"",$Q702,IFERROR(INDEX(Products!$D$5:$D$54,MATCH($B702,Products!$A$5:$A$54,0)),0)))</f>
        <v/>
      </c>
      <c r="M702" s="14" t="str">
        <f aca="false">IF($J702="","",$J702-$K702-N($H702)-$L702)</f>
        <v/>
      </c>
      <c r="N702" s="15" t="str">
        <f aca="false">IF($J702="","",IF($J702&gt;0,$M702/$J702,""))</f>
        <v/>
      </c>
      <c r="O702" s="12"/>
      <c r="P702" s="12"/>
      <c r="Q702" s="11"/>
      <c r="R702" s="11"/>
      <c r="S702" s="12"/>
      <c r="T702" s="16" t="str">
        <f aca="false">IF($J702="","",IF($C702="",1,$C702))</f>
        <v/>
      </c>
    </row>
    <row r="703" customFormat="false" ht="15" hidden="false" customHeight="false" outlineLevel="0" collapsed="false">
      <c r="A703" s="7"/>
      <c r="B703" s="8"/>
      <c r="C703" s="9"/>
      <c r="D703" s="10"/>
      <c r="E703" s="11"/>
      <c r="F703" s="11"/>
      <c r="G703" s="8"/>
      <c r="H703" s="11"/>
      <c r="I703" s="12"/>
      <c r="J703" s="13" t="str">
        <f aca="false">IF(OR($A703="",$D703=""),"",IF($C703="",1,$C703)*$D703+N($E703)-N($F703))</f>
        <v/>
      </c>
      <c r="K703" s="13" t="str">
        <f aca="false">IF($J703="","",IF($R703&lt;&gt;"",$R703,IF($G703="",0,MAX(IFERROR(INDEX(Settings!$D$6:$D$15,MATCH($G703,Settings!$A$6:$A$15,0)),0),$J703*IFERROR(INDEX(Settings!$B$6:$B$15,MATCH($G703,Settings!$A$6:$A$15,0)),0)+IFERROR(INDEX(Settings!$C$6:$C$15,MATCH($G703,Settings!$A$6:$A$15,0)),0)))))</f>
        <v/>
      </c>
      <c r="L703" s="13" t="str">
        <f aca="false">IF($J703="","",IF($C703="",1,$C703)*IF($Q703&lt;&gt;"",$Q703,IFERROR(INDEX(Products!$D$5:$D$54,MATCH($B703,Products!$A$5:$A$54,0)),0)))</f>
        <v/>
      </c>
      <c r="M703" s="14" t="str">
        <f aca="false">IF($J703="","",$J703-$K703-N($H703)-$L703)</f>
        <v/>
      </c>
      <c r="N703" s="15" t="str">
        <f aca="false">IF($J703="","",IF($J703&gt;0,$M703/$J703,""))</f>
        <v/>
      </c>
      <c r="O703" s="12"/>
      <c r="P703" s="12"/>
      <c r="Q703" s="11"/>
      <c r="R703" s="11"/>
      <c r="S703" s="12"/>
      <c r="T703" s="16" t="str">
        <f aca="false">IF($J703="","",IF($C703="",1,$C703))</f>
        <v/>
      </c>
    </row>
    <row r="704" customFormat="false" ht="15" hidden="false" customHeight="false" outlineLevel="0" collapsed="false">
      <c r="A704" s="7"/>
      <c r="B704" s="8"/>
      <c r="C704" s="9"/>
      <c r="D704" s="10"/>
      <c r="E704" s="11"/>
      <c r="F704" s="11"/>
      <c r="G704" s="8"/>
      <c r="H704" s="11"/>
      <c r="I704" s="12"/>
      <c r="J704" s="13" t="str">
        <f aca="false">IF(OR($A704="",$D704=""),"",IF($C704="",1,$C704)*$D704+N($E704)-N($F704))</f>
        <v/>
      </c>
      <c r="K704" s="13" t="str">
        <f aca="false">IF($J704="","",IF($R704&lt;&gt;"",$R704,IF($G704="",0,MAX(IFERROR(INDEX(Settings!$D$6:$D$15,MATCH($G704,Settings!$A$6:$A$15,0)),0),$J704*IFERROR(INDEX(Settings!$B$6:$B$15,MATCH($G704,Settings!$A$6:$A$15,0)),0)+IFERROR(INDEX(Settings!$C$6:$C$15,MATCH($G704,Settings!$A$6:$A$15,0)),0)))))</f>
        <v/>
      </c>
      <c r="L704" s="13" t="str">
        <f aca="false">IF($J704="","",IF($C704="",1,$C704)*IF($Q704&lt;&gt;"",$Q704,IFERROR(INDEX(Products!$D$5:$D$54,MATCH($B704,Products!$A$5:$A$54,0)),0)))</f>
        <v/>
      </c>
      <c r="M704" s="14" t="str">
        <f aca="false">IF($J704="","",$J704-$K704-N($H704)-$L704)</f>
        <v/>
      </c>
      <c r="N704" s="15" t="str">
        <f aca="false">IF($J704="","",IF($J704&gt;0,$M704/$J704,""))</f>
        <v/>
      </c>
      <c r="O704" s="12"/>
      <c r="P704" s="12"/>
      <c r="Q704" s="11"/>
      <c r="R704" s="11"/>
      <c r="S704" s="12"/>
      <c r="T704" s="16" t="str">
        <f aca="false">IF($J704="","",IF($C704="",1,$C704))</f>
        <v/>
      </c>
    </row>
    <row r="705" customFormat="false" ht="15" hidden="false" customHeight="false" outlineLevel="0" collapsed="false">
      <c r="A705" s="7"/>
      <c r="B705" s="8"/>
      <c r="C705" s="9"/>
      <c r="D705" s="10"/>
      <c r="E705" s="11"/>
      <c r="F705" s="11"/>
      <c r="G705" s="8"/>
      <c r="H705" s="11"/>
      <c r="I705" s="12"/>
      <c r="J705" s="13" t="str">
        <f aca="false">IF(OR($A705="",$D705=""),"",IF($C705="",1,$C705)*$D705+N($E705)-N($F705))</f>
        <v/>
      </c>
      <c r="K705" s="13" t="str">
        <f aca="false">IF($J705="","",IF($R705&lt;&gt;"",$R705,IF($G705="",0,MAX(IFERROR(INDEX(Settings!$D$6:$D$15,MATCH($G705,Settings!$A$6:$A$15,0)),0),$J705*IFERROR(INDEX(Settings!$B$6:$B$15,MATCH($G705,Settings!$A$6:$A$15,0)),0)+IFERROR(INDEX(Settings!$C$6:$C$15,MATCH($G705,Settings!$A$6:$A$15,0)),0)))))</f>
        <v/>
      </c>
      <c r="L705" s="13" t="str">
        <f aca="false">IF($J705="","",IF($C705="",1,$C705)*IF($Q705&lt;&gt;"",$Q705,IFERROR(INDEX(Products!$D$5:$D$54,MATCH($B705,Products!$A$5:$A$54,0)),0)))</f>
        <v/>
      </c>
      <c r="M705" s="14" t="str">
        <f aca="false">IF($J705="","",$J705-$K705-N($H705)-$L705)</f>
        <v/>
      </c>
      <c r="N705" s="15" t="str">
        <f aca="false">IF($J705="","",IF($J705&gt;0,$M705/$J705,""))</f>
        <v/>
      </c>
      <c r="O705" s="12"/>
      <c r="P705" s="12"/>
      <c r="Q705" s="11"/>
      <c r="R705" s="11"/>
      <c r="S705" s="12"/>
      <c r="T705" s="16" t="str">
        <f aca="false">IF($J705="","",IF($C705="",1,$C705))</f>
        <v/>
      </c>
    </row>
    <row r="706" customFormat="false" ht="15" hidden="false" customHeight="false" outlineLevel="0" collapsed="false">
      <c r="A706" s="7"/>
      <c r="B706" s="8"/>
      <c r="C706" s="9"/>
      <c r="D706" s="10"/>
      <c r="E706" s="11"/>
      <c r="F706" s="11"/>
      <c r="G706" s="8"/>
      <c r="H706" s="11"/>
      <c r="I706" s="12"/>
      <c r="J706" s="13" t="str">
        <f aca="false">IF(OR($A706="",$D706=""),"",IF($C706="",1,$C706)*$D706+N($E706)-N($F706))</f>
        <v/>
      </c>
      <c r="K706" s="13" t="str">
        <f aca="false">IF($J706="","",IF($R706&lt;&gt;"",$R706,IF($G706="",0,MAX(IFERROR(INDEX(Settings!$D$6:$D$15,MATCH($G706,Settings!$A$6:$A$15,0)),0),$J706*IFERROR(INDEX(Settings!$B$6:$B$15,MATCH($G706,Settings!$A$6:$A$15,0)),0)+IFERROR(INDEX(Settings!$C$6:$C$15,MATCH($G706,Settings!$A$6:$A$15,0)),0)))))</f>
        <v/>
      </c>
      <c r="L706" s="13" t="str">
        <f aca="false">IF($J706="","",IF($C706="",1,$C706)*IF($Q706&lt;&gt;"",$Q706,IFERROR(INDEX(Products!$D$5:$D$54,MATCH($B706,Products!$A$5:$A$54,0)),0)))</f>
        <v/>
      </c>
      <c r="M706" s="14" t="str">
        <f aca="false">IF($J706="","",$J706-$K706-N($H706)-$L706)</f>
        <v/>
      </c>
      <c r="N706" s="15" t="str">
        <f aca="false">IF($J706="","",IF($J706&gt;0,$M706/$J706,""))</f>
        <v/>
      </c>
      <c r="O706" s="12"/>
      <c r="P706" s="12"/>
      <c r="Q706" s="11"/>
      <c r="R706" s="11"/>
      <c r="S706" s="12"/>
      <c r="T706" s="16" t="str">
        <f aca="false">IF($J706="","",IF($C706="",1,$C706))</f>
        <v/>
      </c>
    </row>
    <row r="707" customFormat="false" ht="15" hidden="false" customHeight="false" outlineLevel="0" collapsed="false">
      <c r="A707" s="7"/>
      <c r="B707" s="8"/>
      <c r="C707" s="9"/>
      <c r="D707" s="10"/>
      <c r="E707" s="11"/>
      <c r="F707" s="11"/>
      <c r="G707" s="8"/>
      <c r="H707" s="11"/>
      <c r="I707" s="12"/>
      <c r="J707" s="13" t="str">
        <f aca="false">IF(OR($A707="",$D707=""),"",IF($C707="",1,$C707)*$D707+N($E707)-N($F707))</f>
        <v/>
      </c>
      <c r="K707" s="13" t="str">
        <f aca="false">IF($J707="","",IF($R707&lt;&gt;"",$R707,IF($G707="",0,MAX(IFERROR(INDEX(Settings!$D$6:$D$15,MATCH($G707,Settings!$A$6:$A$15,0)),0),$J707*IFERROR(INDEX(Settings!$B$6:$B$15,MATCH($G707,Settings!$A$6:$A$15,0)),0)+IFERROR(INDEX(Settings!$C$6:$C$15,MATCH($G707,Settings!$A$6:$A$15,0)),0)))))</f>
        <v/>
      </c>
      <c r="L707" s="13" t="str">
        <f aca="false">IF($J707="","",IF($C707="",1,$C707)*IF($Q707&lt;&gt;"",$Q707,IFERROR(INDEX(Products!$D$5:$D$54,MATCH($B707,Products!$A$5:$A$54,0)),0)))</f>
        <v/>
      </c>
      <c r="M707" s="14" t="str">
        <f aca="false">IF($J707="","",$J707-$K707-N($H707)-$L707)</f>
        <v/>
      </c>
      <c r="N707" s="15" t="str">
        <f aca="false">IF($J707="","",IF($J707&gt;0,$M707/$J707,""))</f>
        <v/>
      </c>
      <c r="O707" s="12"/>
      <c r="P707" s="12"/>
      <c r="Q707" s="11"/>
      <c r="R707" s="11"/>
      <c r="S707" s="12"/>
      <c r="T707" s="16" t="str">
        <f aca="false">IF($J707="","",IF($C707="",1,$C707))</f>
        <v/>
      </c>
    </row>
    <row r="708" customFormat="false" ht="15" hidden="false" customHeight="false" outlineLevel="0" collapsed="false">
      <c r="A708" s="7"/>
      <c r="B708" s="8"/>
      <c r="C708" s="9"/>
      <c r="D708" s="10"/>
      <c r="E708" s="11"/>
      <c r="F708" s="11"/>
      <c r="G708" s="8"/>
      <c r="H708" s="11"/>
      <c r="I708" s="12"/>
      <c r="J708" s="13" t="str">
        <f aca="false">IF(OR($A708="",$D708=""),"",IF($C708="",1,$C708)*$D708+N($E708)-N($F708))</f>
        <v/>
      </c>
      <c r="K708" s="13" t="str">
        <f aca="false">IF($J708="","",IF($R708&lt;&gt;"",$R708,IF($G708="",0,MAX(IFERROR(INDEX(Settings!$D$6:$D$15,MATCH($G708,Settings!$A$6:$A$15,0)),0),$J708*IFERROR(INDEX(Settings!$B$6:$B$15,MATCH($G708,Settings!$A$6:$A$15,0)),0)+IFERROR(INDEX(Settings!$C$6:$C$15,MATCH($G708,Settings!$A$6:$A$15,0)),0)))))</f>
        <v/>
      </c>
      <c r="L708" s="13" t="str">
        <f aca="false">IF($J708="","",IF($C708="",1,$C708)*IF($Q708&lt;&gt;"",$Q708,IFERROR(INDEX(Products!$D$5:$D$54,MATCH($B708,Products!$A$5:$A$54,0)),0)))</f>
        <v/>
      </c>
      <c r="M708" s="14" t="str">
        <f aca="false">IF($J708="","",$J708-$K708-N($H708)-$L708)</f>
        <v/>
      </c>
      <c r="N708" s="15" t="str">
        <f aca="false">IF($J708="","",IF($J708&gt;0,$M708/$J708,""))</f>
        <v/>
      </c>
      <c r="O708" s="12"/>
      <c r="P708" s="12"/>
      <c r="Q708" s="11"/>
      <c r="R708" s="11"/>
      <c r="S708" s="12"/>
      <c r="T708" s="16" t="str">
        <f aca="false">IF($J708="","",IF($C708="",1,$C708))</f>
        <v/>
      </c>
    </row>
    <row r="709" customFormat="false" ht="15" hidden="false" customHeight="false" outlineLevel="0" collapsed="false">
      <c r="A709" s="7"/>
      <c r="B709" s="8"/>
      <c r="C709" s="9"/>
      <c r="D709" s="10"/>
      <c r="E709" s="11"/>
      <c r="F709" s="11"/>
      <c r="G709" s="8"/>
      <c r="H709" s="11"/>
      <c r="I709" s="12"/>
      <c r="J709" s="13" t="str">
        <f aca="false">IF(OR($A709="",$D709=""),"",IF($C709="",1,$C709)*$D709+N($E709)-N($F709))</f>
        <v/>
      </c>
      <c r="K709" s="13" t="str">
        <f aca="false">IF($J709="","",IF($R709&lt;&gt;"",$R709,IF($G709="",0,MAX(IFERROR(INDEX(Settings!$D$6:$D$15,MATCH($G709,Settings!$A$6:$A$15,0)),0),$J709*IFERROR(INDEX(Settings!$B$6:$B$15,MATCH($G709,Settings!$A$6:$A$15,0)),0)+IFERROR(INDEX(Settings!$C$6:$C$15,MATCH($G709,Settings!$A$6:$A$15,0)),0)))))</f>
        <v/>
      </c>
      <c r="L709" s="13" t="str">
        <f aca="false">IF($J709="","",IF($C709="",1,$C709)*IF($Q709&lt;&gt;"",$Q709,IFERROR(INDEX(Products!$D$5:$D$54,MATCH($B709,Products!$A$5:$A$54,0)),0)))</f>
        <v/>
      </c>
      <c r="M709" s="14" t="str">
        <f aca="false">IF($J709="","",$J709-$K709-N($H709)-$L709)</f>
        <v/>
      </c>
      <c r="N709" s="15" t="str">
        <f aca="false">IF($J709="","",IF($J709&gt;0,$M709/$J709,""))</f>
        <v/>
      </c>
      <c r="O709" s="12"/>
      <c r="P709" s="12"/>
      <c r="Q709" s="11"/>
      <c r="R709" s="11"/>
      <c r="S709" s="12"/>
      <c r="T709" s="16" t="str">
        <f aca="false">IF($J709="","",IF($C709="",1,$C709))</f>
        <v/>
      </c>
    </row>
    <row r="710" customFormat="false" ht="15" hidden="false" customHeight="false" outlineLevel="0" collapsed="false">
      <c r="A710" s="7"/>
      <c r="B710" s="8"/>
      <c r="C710" s="9"/>
      <c r="D710" s="10"/>
      <c r="E710" s="11"/>
      <c r="F710" s="11"/>
      <c r="G710" s="8"/>
      <c r="H710" s="11"/>
      <c r="I710" s="12"/>
      <c r="J710" s="13" t="str">
        <f aca="false">IF(OR($A710="",$D710=""),"",IF($C710="",1,$C710)*$D710+N($E710)-N($F710))</f>
        <v/>
      </c>
      <c r="K710" s="13" t="str">
        <f aca="false">IF($J710="","",IF($R710&lt;&gt;"",$R710,IF($G710="",0,MAX(IFERROR(INDEX(Settings!$D$6:$D$15,MATCH($G710,Settings!$A$6:$A$15,0)),0),$J710*IFERROR(INDEX(Settings!$B$6:$B$15,MATCH($G710,Settings!$A$6:$A$15,0)),0)+IFERROR(INDEX(Settings!$C$6:$C$15,MATCH($G710,Settings!$A$6:$A$15,0)),0)))))</f>
        <v/>
      </c>
      <c r="L710" s="13" t="str">
        <f aca="false">IF($J710="","",IF($C710="",1,$C710)*IF($Q710&lt;&gt;"",$Q710,IFERROR(INDEX(Products!$D$5:$D$54,MATCH($B710,Products!$A$5:$A$54,0)),0)))</f>
        <v/>
      </c>
      <c r="M710" s="14" t="str">
        <f aca="false">IF($J710="","",$J710-$K710-N($H710)-$L710)</f>
        <v/>
      </c>
      <c r="N710" s="15" t="str">
        <f aca="false">IF($J710="","",IF($J710&gt;0,$M710/$J710,""))</f>
        <v/>
      </c>
      <c r="O710" s="12"/>
      <c r="P710" s="12"/>
      <c r="Q710" s="11"/>
      <c r="R710" s="11"/>
      <c r="S710" s="12"/>
      <c r="T710" s="16" t="str">
        <f aca="false">IF($J710="","",IF($C710="",1,$C710))</f>
        <v/>
      </c>
    </row>
    <row r="711" customFormat="false" ht="15" hidden="false" customHeight="false" outlineLevel="0" collapsed="false">
      <c r="A711" s="7"/>
      <c r="B711" s="8"/>
      <c r="C711" s="9"/>
      <c r="D711" s="10"/>
      <c r="E711" s="11"/>
      <c r="F711" s="11"/>
      <c r="G711" s="8"/>
      <c r="H711" s="11"/>
      <c r="I711" s="12"/>
      <c r="J711" s="13" t="str">
        <f aca="false">IF(OR($A711="",$D711=""),"",IF($C711="",1,$C711)*$D711+N($E711)-N($F711))</f>
        <v/>
      </c>
      <c r="K711" s="13" t="str">
        <f aca="false">IF($J711="","",IF($R711&lt;&gt;"",$R711,IF($G711="",0,MAX(IFERROR(INDEX(Settings!$D$6:$D$15,MATCH($G711,Settings!$A$6:$A$15,0)),0),$J711*IFERROR(INDEX(Settings!$B$6:$B$15,MATCH($G711,Settings!$A$6:$A$15,0)),0)+IFERROR(INDEX(Settings!$C$6:$C$15,MATCH($G711,Settings!$A$6:$A$15,0)),0)))))</f>
        <v/>
      </c>
      <c r="L711" s="13" t="str">
        <f aca="false">IF($J711="","",IF($C711="",1,$C711)*IF($Q711&lt;&gt;"",$Q711,IFERROR(INDEX(Products!$D$5:$D$54,MATCH($B711,Products!$A$5:$A$54,0)),0)))</f>
        <v/>
      </c>
      <c r="M711" s="14" t="str">
        <f aca="false">IF($J711="","",$J711-$K711-N($H711)-$L711)</f>
        <v/>
      </c>
      <c r="N711" s="15" t="str">
        <f aca="false">IF($J711="","",IF($J711&gt;0,$M711/$J711,""))</f>
        <v/>
      </c>
      <c r="O711" s="12"/>
      <c r="P711" s="12"/>
      <c r="Q711" s="11"/>
      <c r="R711" s="11"/>
      <c r="S711" s="12"/>
      <c r="T711" s="16" t="str">
        <f aca="false">IF($J711="","",IF($C711="",1,$C711))</f>
        <v/>
      </c>
    </row>
    <row r="712" customFormat="false" ht="15" hidden="false" customHeight="false" outlineLevel="0" collapsed="false">
      <c r="A712" s="7"/>
      <c r="B712" s="8"/>
      <c r="C712" s="9"/>
      <c r="D712" s="10"/>
      <c r="E712" s="11"/>
      <c r="F712" s="11"/>
      <c r="G712" s="8"/>
      <c r="H712" s="11"/>
      <c r="I712" s="12"/>
      <c r="J712" s="13" t="str">
        <f aca="false">IF(OR($A712="",$D712=""),"",IF($C712="",1,$C712)*$D712+N($E712)-N($F712))</f>
        <v/>
      </c>
      <c r="K712" s="13" t="str">
        <f aca="false">IF($J712="","",IF($R712&lt;&gt;"",$R712,IF($G712="",0,MAX(IFERROR(INDEX(Settings!$D$6:$D$15,MATCH($G712,Settings!$A$6:$A$15,0)),0),$J712*IFERROR(INDEX(Settings!$B$6:$B$15,MATCH($G712,Settings!$A$6:$A$15,0)),0)+IFERROR(INDEX(Settings!$C$6:$C$15,MATCH($G712,Settings!$A$6:$A$15,0)),0)))))</f>
        <v/>
      </c>
      <c r="L712" s="13" t="str">
        <f aca="false">IF($J712="","",IF($C712="",1,$C712)*IF($Q712&lt;&gt;"",$Q712,IFERROR(INDEX(Products!$D$5:$D$54,MATCH($B712,Products!$A$5:$A$54,0)),0)))</f>
        <v/>
      </c>
      <c r="M712" s="14" t="str">
        <f aca="false">IF($J712="","",$J712-$K712-N($H712)-$L712)</f>
        <v/>
      </c>
      <c r="N712" s="15" t="str">
        <f aca="false">IF($J712="","",IF($J712&gt;0,$M712/$J712,""))</f>
        <v/>
      </c>
      <c r="O712" s="12"/>
      <c r="P712" s="12"/>
      <c r="Q712" s="11"/>
      <c r="R712" s="11"/>
      <c r="S712" s="12"/>
      <c r="T712" s="16" t="str">
        <f aca="false">IF($J712="","",IF($C712="",1,$C712))</f>
        <v/>
      </c>
    </row>
    <row r="713" customFormat="false" ht="15" hidden="false" customHeight="false" outlineLevel="0" collapsed="false">
      <c r="A713" s="7"/>
      <c r="B713" s="8"/>
      <c r="C713" s="9"/>
      <c r="D713" s="10"/>
      <c r="E713" s="11"/>
      <c r="F713" s="11"/>
      <c r="G713" s="8"/>
      <c r="H713" s="11"/>
      <c r="I713" s="12"/>
      <c r="J713" s="13" t="str">
        <f aca="false">IF(OR($A713="",$D713=""),"",IF($C713="",1,$C713)*$D713+N($E713)-N($F713))</f>
        <v/>
      </c>
      <c r="K713" s="13" t="str">
        <f aca="false">IF($J713="","",IF($R713&lt;&gt;"",$R713,IF($G713="",0,MAX(IFERROR(INDEX(Settings!$D$6:$D$15,MATCH($G713,Settings!$A$6:$A$15,0)),0),$J713*IFERROR(INDEX(Settings!$B$6:$B$15,MATCH($G713,Settings!$A$6:$A$15,0)),0)+IFERROR(INDEX(Settings!$C$6:$C$15,MATCH($G713,Settings!$A$6:$A$15,0)),0)))))</f>
        <v/>
      </c>
      <c r="L713" s="13" t="str">
        <f aca="false">IF($J713="","",IF($C713="",1,$C713)*IF($Q713&lt;&gt;"",$Q713,IFERROR(INDEX(Products!$D$5:$D$54,MATCH($B713,Products!$A$5:$A$54,0)),0)))</f>
        <v/>
      </c>
      <c r="M713" s="14" t="str">
        <f aca="false">IF($J713="","",$J713-$K713-N($H713)-$L713)</f>
        <v/>
      </c>
      <c r="N713" s="15" t="str">
        <f aca="false">IF($J713="","",IF($J713&gt;0,$M713/$J713,""))</f>
        <v/>
      </c>
      <c r="O713" s="12"/>
      <c r="P713" s="12"/>
      <c r="Q713" s="11"/>
      <c r="R713" s="11"/>
      <c r="S713" s="12"/>
      <c r="T713" s="16" t="str">
        <f aca="false">IF($J713="","",IF($C713="",1,$C713))</f>
        <v/>
      </c>
    </row>
    <row r="714" customFormat="false" ht="15" hidden="false" customHeight="false" outlineLevel="0" collapsed="false">
      <c r="A714" s="7"/>
      <c r="B714" s="8"/>
      <c r="C714" s="9"/>
      <c r="D714" s="10"/>
      <c r="E714" s="11"/>
      <c r="F714" s="11"/>
      <c r="G714" s="8"/>
      <c r="H714" s="11"/>
      <c r="I714" s="12"/>
      <c r="J714" s="13" t="str">
        <f aca="false">IF(OR($A714="",$D714=""),"",IF($C714="",1,$C714)*$D714+N($E714)-N($F714))</f>
        <v/>
      </c>
      <c r="K714" s="13" t="str">
        <f aca="false">IF($J714="","",IF($R714&lt;&gt;"",$R714,IF($G714="",0,MAX(IFERROR(INDEX(Settings!$D$6:$D$15,MATCH($G714,Settings!$A$6:$A$15,0)),0),$J714*IFERROR(INDEX(Settings!$B$6:$B$15,MATCH($G714,Settings!$A$6:$A$15,0)),0)+IFERROR(INDEX(Settings!$C$6:$C$15,MATCH($G714,Settings!$A$6:$A$15,0)),0)))))</f>
        <v/>
      </c>
      <c r="L714" s="13" t="str">
        <f aca="false">IF($J714="","",IF($C714="",1,$C714)*IF($Q714&lt;&gt;"",$Q714,IFERROR(INDEX(Products!$D$5:$D$54,MATCH($B714,Products!$A$5:$A$54,0)),0)))</f>
        <v/>
      </c>
      <c r="M714" s="14" t="str">
        <f aca="false">IF($J714="","",$J714-$K714-N($H714)-$L714)</f>
        <v/>
      </c>
      <c r="N714" s="15" t="str">
        <f aca="false">IF($J714="","",IF($J714&gt;0,$M714/$J714,""))</f>
        <v/>
      </c>
      <c r="O714" s="12"/>
      <c r="P714" s="12"/>
      <c r="Q714" s="11"/>
      <c r="R714" s="11"/>
      <c r="S714" s="12"/>
      <c r="T714" s="16" t="str">
        <f aca="false">IF($J714="","",IF($C714="",1,$C714))</f>
        <v/>
      </c>
    </row>
    <row r="715" customFormat="false" ht="15" hidden="false" customHeight="false" outlineLevel="0" collapsed="false">
      <c r="A715" s="7"/>
      <c r="B715" s="8"/>
      <c r="C715" s="9"/>
      <c r="D715" s="10"/>
      <c r="E715" s="11"/>
      <c r="F715" s="11"/>
      <c r="G715" s="8"/>
      <c r="H715" s="11"/>
      <c r="I715" s="12"/>
      <c r="J715" s="13" t="str">
        <f aca="false">IF(OR($A715="",$D715=""),"",IF($C715="",1,$C715)*$D715+N($E715)-N($F715))</f>
        <v/>
      </c>
      <c r="K715" s="13" t="str">
        <f aca="false">IF($J715="","",IF($R715&lt;&gt;"",$R715,IF($G715="",0,MAX(IFERROR(INDEX(Settings!$D$6:$D$15,MATCH($G715,Settings!$A$6:$A$15,0)),0),$J715*IFERROR(INDEX(Settings!$B$6:$B$15,MATCH($G715,Settings!$A$6:$A$15,0)),0)+IFERROR(INDEX(Settings!$C$6:$C$15,MATCH($G715,Settings!$A$6:$A$15,0)),0)))))</f>
        <v/>
      </c>
      <c r="L715" s="13" t="str">
        <f aca="false">IF($J715="","",IF($C715="",1,$C715)*IF($Q715&lt;&gt;"",$Q715,IFERROR(INDEX(Products!$D$5:$D$54,MATCH($B715,Products!$A$5:$A$54,0)),0)))</f>
        <v/>
      </c>
      <c r="M715" s="14" t="str">
        <f aca="false">IF($J715="","",$J715-$K715-N($H715)-$L715)</f>
        <v/>
      </c>
      <c r="N715" s="15" t="str">
        <f aca="false">IF($J715="","",IF($J715&gt;0,$M715/$J715,""))</f>
        <v/>
      </c>
      <c r="O715" s="12"/>
      <c r="P715" s="12"/>
      <c r="Q715" s="11"/>
      <c r="R715" s="11"/>
      <c r="S715" s="12"/>
      <c r="T715" s="16" t="str">
        <f aca="false">IF($J715="","",IF($C715="",1,$C715))</f>
        <v/>
      </c>
    </row>
    <row r="716" customFormat="false" ht="15" hidden="false" customHeight="false" outlineLevel="0" collapsed="false">
      <c r="A716" s="7"/>
      <c r="B716" s="8"/>
      <c r="C716" s="9"/>
      <c r="D716" s="10"/>
      <c r="E716" s="11"/>
      <c r="F716" s="11"/>
      <c r="G716" s="8"/>
      <c r="H716" s="11"/>
      <c r="I716" s="12"/>
      <c r="J716" s="13" t="str">
        <f aca="false">IF(OR($A716="",$D716=""),"",IF($C716="",1,$C716)*$D716+N($E716)-N($F716))</f>
        <v/>
      </c>
      <c r="K716" s="13" t="str">
        <f aca="false">IF($J716="","",IF($R716&lt;&gt;"",$R716,IF($G716="",0,MAX(IFERROR(INDEX(Settings!$D$6:$D$15,MATCH($G716,Settings!$A$6:$A$15,0)),0),$J716*IFERROR(INDEX(Settings!$B$6:$B$15,MATCH($G716,Settings!$A$6:$A$15,0)),0)+IFERROR(INDEX(Settings!$C$6:$C$15,MATCH($G716,Settings!$A$6:$A$15,0)),0)))))</f>
        <v/>
      </c>
      <c r="L716" s="13" t="str">
        <f aca="false">IF($J716="","",IF($C716="",1,$C716)*IF($Q716&lt;&gt;"",$Q716,IFERROR(INDEX(Products!$D$5:$D$54,MATCH($B716,Products!$A$5:$A$54,0)),0)))</f>
        <v/>
      </c>
      <c r="M716" s="14" t="str">
        <f aca="false">IF($J716="","",$J716-$K716-N($H716)-$L716)</f>
        <v/>
      </c>
      <c r="N716" s="15" t="str">
        <f aca="false">IF($J716="","",IF($J716&gt;0,$M716/$J716,""))</f>
        <v/>
      </c>
      <c r="O716" s="12"/>
      <c r="P716" s="12"/>
      <c r="Q716" s="11"/>
      <c r="R716" s="11"/>
      <c r="S716" s="12"/>
      <c r="T716" s="16" t="str">
        <f aca="false">IF($J716="","",IF($C716="",1,$C716))</f>
        <v/>
      </c>
    </row>
    <row r="717" customFormat="false" ht="15" hidden="false" customHeight="false" outlineLevel="0" collapsed="false">
      <c r="A717" s="7"/>
      <c r="B717" s="8"/>
      <c r="C717" s="9"/>
      <c r="D717" s="10"/>
      <c r="E717" s="11"/>
      <c r="F717" s="11"/>
      <c r="G717" s="8"/>
      <c r="H717" s="11"/>
      <c r="I717" s="12"/>
      <c r="J717" s="13" t="str">
        <f aca="false">IF(OR($A717="",$D717=""),"",IF($C717="",1,$C717)*$D717+N($E717)-N($F717))</f>
        <v/>
      </c>
      <c r="K717" s="13" t="str">
        <f aca="false">IF($J717="","",IF($R717&lt;&gt;"",$R717,IF($G717="",0,MAX(IFERROR(INDEX(Settings!$D$6:$D$15,MATCH($G717,Settings!$A$6:$A$15,0)),0),$J717*IFERROR(INDEX(Settings!$B$6:$B$15,MATCH($G717,Settings!$A$6:$A$15,0)),0)+IFERROR(INDEX(Settings!$C$6:$C$15,MATCH($G717,Settings!$A$6:$A$15,0)),0)))))</f>
        <v/>
      </c>
      <c r="L717" s="13" t="str">
        <f aca="false">IF($J717="","",IF($C717="",1,$C717)*IF($Q717&lt;&gt;"",$Q717,IFERROR(INDEX(Products!$D$5:$D$54,MATCH($B717,Products!$A$5:$A$54,0)),0)))</f>
        <v/>
      </c>
      <c r="M717" s="14" t="str">
        <f aca="false">IF($J717="","",$J717-$K717-N($H717)-$L717)</f>
        <v/>
      </c>
      <c r="N717" s="15" t="str">
        <f aca="false">IF($J717="","",IF($J717&gt;0,$M717/$J717,""))</f>
        <v/>
      </c>
      <c r="O717" s="12"/>
      <c r="P717" s="12"/>
      <c r="Q717" s="11"/>
      <c r="R717" s="11"/>
      <c r="S717" s="12"/>
      <c r="T717" s="16" t="str">
        <f aca="false">IF($J717="","",IF($C717="",1,$C717))</f>
        <v/>
      </c>
    </row>
    <row r="718" customFormat="false" ht="15" hidden="false" customHeight="false" outlineLevel="0" collapsed="false">
      <c r="A718" s="7"/>
      <c r="B718" s="8"/>
      <c r="C718" s="9"/>
      <c r="D718" s="10"/>
      <c r="E718" s="11"/>
      <c r="F718" s="11"/>
      <c r="G718" s="8"/>
      <c r="H718" s="11"/>
      <c r="I718" s="12"/>
      <c r="J718" s="13" t="str">
        <f aca="false">IF(OR($A718="",$D718=""),"",IF($C718="",1,$C718)*$D718+N($E718)-N($F718))</f>
        <v/>
      </c>
      <c r="K718" s="13" t="str">
        <f aca="false">IF($J718="","",IF($R718&lt;&gt;"",$R718,IF($G718="",0,MAX(IFERROR(INDEX(Settings!$D$6:$D$15,MATCH($G718,Settings!$A$6:$A$15,0)),0),$J718*IFERROR(INDEX(Settings!$B$6:$B$15,MATCH($G718,Settings!$A$6:$A$15,0)),0)+IFERROR(INDEX(Settings!$C$6:$C$15,MATCH($G718,Settings!$A$6:$A$15,0)),0)))))</f>
        <v/>
      </c>
      <c r="L718" s="13" t="str">
        <f aca="false">IF($J718="","",IF($C718="",1,$C718)*IF($Q718&lt;&gt;"",$Q718,IFERROR(INDEX(Products!$D$5:$D$54,MATCH($B718,Products!$A$5:$A$54,0)),0)))</f>
        <v/>
      </c>
      <c r="M718" s="14" t="str">
        <f aca="false">IF($J718="","",$J718-$K718-N($H718)-$L718)</f>
        <v/>
      </c>
      <c r="N718" s="15" t="str">
        <f aca="false">IF($J718="","",IF($J718&gt;0,$M718/$J718,""))</f>
        <v/>
      </c>
      <c r="O718" s="12"/>
      <c r="P718" s="12"/>
      <c r="Q718" s="11"/>
      <c r="R718" s="11"/>
      <c r="S718" s="12"/>
      <c r="T718" s="16" t="str">
        <f aca="false">IF($J718="","",IF($C718="",1,$C718))</f>
        <v/>
      </c>
    </row>
    <row r="719" customFormat="false" ht="15" hidden="false" customHeight="false" outlineLevel="0" collapsed="false">
      <c r="A719" s="7"/>
      <c r="B719" s="8"/>
      <c r="C719" s="9"/>
      <c r="D719" s="10"/>
      <c r="E719" s="11"/>
      <c r="F719" s="11"/>
      <c r="G719" s="8"/>
      <c r="H719" s="11"/>
      <c r="I719" s="12"/>
      <c r="J719" s="13" t="str">
        <f aca="false">IF(OR($A719="",$D719=""),"",IF($C719="",1,$C719)*$D719+N($E719)-N($F719))</f>
        <v/>
      </c>
      <c r="K719" s="13" t="str">
        <f aca="false">IF($J719="","",IF($R719&lt;&gt;"",$R719,IF($G719="",0,MAX(IFERROR(INDEX(Settings!$D$6:$D$15,MATCH($G719,Settings!$A$6:$A$15,0)),0),$J719*IFERROR(INDEX(Settings!$B$6:$B$15,MATCH($G719,Settings!$A$6:$A$15,0)),0)+IFERROR(INDEX(Settings!$C$6:$C$15,MATCH($G719,Settings!$A$6:$A$15,0)),0)))))</f>
        <v/>
      </c>
      <c r="L719" s="13" t="str">
        <f aca="false">IF($J719="","",IF($C719="",1,$C719)*IF($Q719&lt;&gt;"",$Q719,IFERROR(INDEX(Products!$D$5:$D$54,MATCH($B719,Products!$A$5:$A$54,0)),0)))</f>
        <v/>
      </c>
      <c r="M719" s="14" t="str">
        <f aca="false">IF($J719="","",$J719-$K719-N($H719)-$L719)</f>
        <v/>
      </c>
      <c r="N719" s="15" t="str">
        <f aca="false">IF($J719="","",IF($J719&gt;0,$M719/$J719,""))</f>
        <v/>
      </c>
      <c r="O719" s="12"/>
      <c r="P719" s="12"/>
      <c r="Q719" s="11"/>
      <c r="R719" s="11"/>
      <c r="S719" s="12"/>
      <c r="T719" s="16" t="str">
        <f aca="false">IF($J719="","",IF($C719="",1,$C719))</f>
        <v/>
      </c>
    </row>
    <row r="720" customFormat="false" ht="15" hidden="false" customHeight="false" outlineLevel="0" collapsed="false">
      <c r="A720" s="7"/>
      <c r="B720" s="8"/>
      <c r="C720" s="9"/>
      <c r="D720" s="10"/>
      <c r="E720" s="11"/>
      <c r="F720" s="11"/>
      <c r="G720" s="8"/>
      <c r="H720" s="11"/>
      <c r="I720" s="12"/>
      <c r="J720" s="13" t="str">
        <f aca="false">IF(OR($A720="",$D720=""),"",IF($C720="",1,$C720)*$D720+N($E720)-N($F720))</f>
        <v/>
      </c>
      <c r="K720" s="13" t="str">
        <f aca="false">IF($J720="","",IF($R720&lt;&gt;"",$R720,IF($G720="",0,MAX(IFERROR(INDEX(Settings!$D$6:$D$15,MATCH($G720,Settings!$A$6:$A$15,0)),0),$J720*IFERROR(INDEX(Settings!$B$6:$B$15,MATCH($G720,Settings!$A$6:$A$15,0)),0)+IFERROR(INDEX(Settings!$C$6:$C$15,MATCH($G720,Settings!$A$6:$A$15,0)),0)))))</f>
        <v/>
      </c>
      <c r="L720" s="13" t="str">
        <f aca="false">IF($J720="","",IF($C720="",1,$C720)*IF($Q720&lt;&gt;"",$Q720,IFERROR(INDEX(Products!$D$5:$D$54,MATCH($B720,Products!$A$5:$A$54,0)),0)))</f>
        <v/>
      </c>
      <c r="M720" s="14" t="str">
        <f aca="false">IF($J720="","",$J720-$K720-N($H720)-$L720)</f>
        <v/>
      </c>
      <c r="N720" s="15" t="str">
        <f aca="false">IF($J720="","",IF($J720&gt;0,$M720/$J720,""))</f>
        <v/>
      </c>
      <c r="O720" s="12"/>
      <c r="P720" s="12"/>
      <c r="Q720" s="11"/>
      <c r="R720" s="11"/>
      <c r="S720" s="12"/>
      <c r="T720" s="16" t="str">
        <f aca="false">IF($J720="","",IF($C720="",1,$C720))</f>
        <v/>
      </c>
    </row>
    <row r="721" customFormat="false" ht="15" hidden="false" customHeight="false" outlineLevel="0" collapsed="false">
      <c r="A721" s="7"/>
      <c r="B721" s="8"/>
      <c r="C721" s="9"/>
      <c r="D721" s="10"/>
      <c r="E721" s="11"/>
      <c r="F721" s="11"/>
      <c r="G721" s="8"/>
      <c r="H721" s="11"/>
      <c r="I721" s="12"/>
      <c r="J721" s="13" t="str">
        <f aca="false">IF(OR($A721="",$D721=""),"",IF($C721="",1,$C721)*$D721+N($E721)-N($F721))</f>
        <v/>
      </c>
      <c r="K721" s="13" t="str">
        <f aca="false">IF($J721="","",IF($R721&lt;&gt;"",$R721,IF($G721="",0,MAX(IFERROR(INDEX(Settings!$D$6:$D$15,MATCH($G721,Settings!$A$6:$A$15,0)),0),$J721*IFERROR(INDEX(Settings!$B$6:$B$15,MATCH($G721,Settings!$A$6:$A$15,0)),0)+IFERROR(INDEX(Settings!$C$6:$C$15,MATCH($G721,Settings!$A$6:$A$15,0)),0)))))</f>
        <v/>
      </c>
      <c r="L721" s="13" t="str">
        <f aca="false">IF($J721="","",IF($C721="",1,$C721)*IF($Q721&lt;&gt;"",$Q721,IFERROR(INDEX(Products!$D$5:$D$54,MATCH($B721,Products!$A$5:$A$54,0)),0)))</f>
        <v/>
      </c>
      <c r="M721" s="14" t="str">
        <f aca="false">IF($J721="","",$J721-$K721-N($H721)-$L721)</f>
        <v/>
      </c>
      <c r="N721" s="15" t="str">
        <f aca="false">IF($J721="","",IF($J721&gt;0,$M721/$J721,""))</f>
        <v/>
      </c>
      <c r="O721" s="12"/>
      <c r="P721" s="12"/>
      <c r="Q721" s="11"/>
      <c r="R721" s="11"/>
      <c r="S721" s="12"/>
      <c r="T721" s="16" t="str">
        <f aca="false">IF($J721="","",IF($C721="",1,$C721))</f>
        <v/>
      </c>
    </row>
    <row r="722" customFormat="false" ht="15" hidden="false" customHeight="false" outlineLevel="0" collapsed="false">
      <c r="A722" s="7"/>
      <c r="B722" s="8"/>
      <c r="C722" s="9"/>
      <c r="D722" s="10"/>
      <c r="E722" s="11"/>
      <c r="F722" s="11"/>
      <c r="G722" s="8"/>
      <c r="H722" s="11"/>
      <c r="I722" s="12"/>
      <c r="J722" s="13" t="str">
        <f aca="false">IF(OR($A722="",$D722=""),"",IF($C722="",1,$C722)*$D722+N($E722)-N($F722))</f>
        <v/>
      </c>
      <c r="K722" s="13" t="str">
        <f aca="false">IF($J722="","",IF($R722&lt;&gt;"",$R722,IF($G722="",0,MAX(IFERROR(INDEX(Settings!$D$6:$D$15,MATCH($G722,Settings!$A$6:$A$15,0)),0),$J722*IFERROR(INDEX(Settings!$B$6:$B$15,MATCH($G722,Settings!$A$6:$A$15,0)),0)+IFERROR(INDEX(Settings!$C$6:$C$15,MATCH($G722,Settings!$A$6:$A$15,0)),0)))))</f>
        <v/>
      </c>
      <c r="L722" s="13" t="str">
        <f aca="false">IF($J722="","",IF($C722="",1,$C722)*IF($Q722&lt;&gt;"",$Q722,IFERROR(INDEX(Products!$D$5:$D$54,MATCH($B722,Products!$A$5:$A$54,0)),0)))</f>
        <v/>
      </c>
      <c r="M722" s="14" t="str">
        <f aca="false">IF($J722="","",$J722-$K722-N($H722)-$L722)</f>
        <v/>
      </c>
      <c r="N722" s="15" t="str">
        <f aca="false">IF($J722="","",IF($J722&gt;0,$M722/$J722,""))</f>
        <v/>
      </c>
      <c r="O722" s="12"/>
      <c r="P722" s="12"/>
      <c r="Q722" s="11"/>
      <c r="R722" s="11"/>
      <c r="S722" s="12"/>
      <c r="T722" s="16" t="str">
        <f aca="false">IF($J722="","",IF($C722="",1,$C722))</f>
        <v/>
      </c>
    </row>
    <row r="723" customFormat="false" ht="15" hidden="false" customHeight="false" outlineLevel="0" collapsed="false">
      <c r="A723" s="7"/>
      <c r="B723" s="8"/>
      <c r="C723" s="9"/>
      <c r="D723" s="10"/>
      <c r="E723" s="11"/>
      <c r="F723" s="11"/>
      <c r="G723" s="8"/>
      <c r="H723" s="11"/>
      <c r="I723" s="12"/>
      <c r="J723" s="13" t="str">
        <f aca="false">IF(OR($A723="",$D723=""),"",IF($C723="",1,$C723)*$D723+N($E723)-N($F723))</f>
        <v/>
      </c>
      <c r="K723" s="13" t="str">
        <f aca="false">IF($J723="","",IF($R723&lt;&gt;"",$R723,IF($G723="",0,MAX(IFERROR(INDEX(Settings!$D$6:$D$15,MATCH($G723,Settings!$A$6:$A$15,0)),0),$J723*IFERROR(INDEX(Settings!$B$6:$B$15,MATCH($G723,Settings!$A$6:$A$15,0)),0)+IFERROR(INDEX(Settings!$C$6:$C$15,MATCH($G723,Settings!$A$6:$A$15,0)),0)))))</f>
        <v/>
      </c>
      <c r="L723" s="13" t="str">
        <f aca="false">IF($J723="","",IF($C723="",1,$C723)*IF($Q723&lt;&gt;"",$Q723,IFERROR(INDEX(Products!$D$5:$D$54,MATCH($B723,Products!$A$5:$A$54,0)),0)))</f>
        <v/>
      </c>
      <c r="M723" s="14" t="str">
        <f aca="false">IF($J723="","",$J723-$K723-N($H723)-$L723)</f>
        <v/>
      </c>
      <c r="N723" s="15" t="str">
        <f aca="false">IF($J723="","",IF($J723&gt;0,$M723/$J723,""))</f>
        <v/>
      </c>
      <c r="O723" s="12"/>
      <c r="P723" s="12"/>
      <c r="Q723" s="11"/>
      <c r="R723" s="11"/>
      <c r="S723" s="12"/>
      <c r="T723" s="16" t="str">
        <f aca="false">IF($J723="","",IF($C723="",1,$C723))</f>
        <v/>
      </c>
    </row>
    <row r="724" customFormat="false" ht="15" hidden="false" customHeight="false" outlineLevel="0" collapsed="false">
      <c r="A724" s="7"/>
      <c r="B724" s="8"/>
      <c r="C724" s="9"/>
      <c r="D724" s="10"/>
      <c r="E724" s="11"/>
      <c r="F724" s="11"/>
      <c r="G724" s="8"/>
      <c r="H724" s="11"/>
      <c r="I724" s="12"/>
      <c r="J724" s="13" t="str">
        <f aca="false">IF(OR($A724="",$D724=""),"",IF($C724="",1,$C724)*$D724+N($E724)-N($F724))</f>
        <v/>
      </c>
      <c r="K724" s="13" t="str">
        <f aca="false">IF($J724="","",IF($R724&lt;&gt;"",$R724,IF($G724="",0,MAX(IFERROR(INDEX(Settings!$D$6:$D$15,MATCH($G724,Settings!$A$6:$A$15,0)),0),$J724*IFERROR(INDEX(Settings!$B$6:$B$15,MATCH($G724,Settings!$A$6:$A$15,0)),0)+IFERROR(INDEX(Settings!$C$6:$C$15,MATCH($G724,Settings!$A$6:$A$15,0)),0)))))</f>
        <v/>
      </c>
      <c r="L724" s="13" t="str">
        <f aca="false">IF($J724="","",IF($C724="",1,$C724)*IF($Q724&lt;&gt;"",$Q724,IFERROR(INDEX(Products!$D$5:$D$54,MATCH($B724,Products!$A$5:$A$54,0)),0)))</f>
        <v/>
      </c>
      <c r="M724" s="14" t="str">
        <f aca="false">IF($J724="","",$J724-$K724-N($H724)-$L724)</f>
        <v/>
      </c>
      <c r="N724" s="15" t="str">
        <f aca="false">IF($J724="","",IF($J724&gt;0,$M724/$J724,""))</f>
        <v/>
      </c>
      <c r="O724" s="12"/>
      <c r="P724" s="12"/>
      <c r="Q724" s="11"/>
      <c r="R724" s="11"/>
      <c r="S724" s="12"/>
      <c r="T724" s="16" t="str">
        <f aca="false">IF($J724="","",IF($C724="",1,$C724))</f>
        <v/>
      </c>
    </row>
    <row r="725" customFormat="false" ht="15" hidden="false" customHeight="false" outlineLevel="0" collapsed="false">
      <c r="A725" s="7"/>
      <c r="B725" s="8"/>
      <c r="C725" s="9"/>
      <c r="D725" s="10"/>
      <c r="E725" s="11"/>
      <c r="F725" s="11"/>
      <c r="G725" s="8"/>
      <c r="H725" s="11"/>
      <c r="I725" s="12"/>
      <c r="J725" s="13" t="str">
        <f aca="false">IF(OR($A725="",$D725=""),"",IF($C725="",1,$C725)*$D725+N($E725)-N($F725))</f>
        <v/>
      </c>
      <c r="K725" s="13" t="str">
        <f aca="false">IF($J725="","",IF($R725&lt;&gt;"",$R725,IF($G725="",0,MAX(IFERROR(INDEX(Settings!$D$6:$D$15,MATCH($G725,Settings!$A$6:$A$15,0)),0),$J725*IFERROR(INDEX(Settings!$B$6:$B$15,MATCH($G725,Settings!$A$6:$A$15,0)),0)+IFERROR(INDEX(Settings!$C$6:$C$15,MATCH($G725,Settings!$A$6:$A$15,0)),0)))))</f>
        <v/>
      </c>
      <c r="L725" s="13" t="str">
        <f aca="false">IF($J725="","",IF($C725="",1,$C725)*IF($Q725&lt;&gt;"",$Q725,IFERROR(INDEX(Products!$D$5:$D$54,MATCH($B725,Products!$A$5:$A$54,0)),0)))</f>
        <v/>
      </c>
      <c r="M725" s="14" t="str">
        <f aca="false">IF($J725="","",$J725-$K725-N($H725)-$L725)</f>
        <v/>
      </c>
      <c r="N725" s="15" t="str">
        <f aca="false">IF($J725="","",IF($J725&gt;0,$M725/$J725,""))</f>
        <v/>
      </c>
      <c r="O725" s="12"/>
      <c r="P725" s="12"/>
      <c r="Q725" s="11"/>
      <c r="R725" s="11"/>
      <c r="S725" s="12"/>
      <c r="T725" s="16" t="str">
        <f aca="false">IF($J725="","",IF($C725="",1,$C725))</f>
        <v/>
      </c>
    </row>
    <row r="726" customFormat="false" ht="15" hidden="false" customHeight="false" outlineLevel="0" collapsed="false">
      <c r="A726" s="7"/>
      <c r="B726" s="8"/>
      <c r="C726" s="9"/>
      <c r="D726" s="10"/>
      <c r="E726" s="11"/>
      <c r="F726" s="11"/>
      <c r="G726" s="8"/>
      <c r="H726" s="11"/>
      <c r="I726" s="12"/>
      <c r="J726" s="13" t="str">
        <f aca="false">IF(OR($A726="",$D726=""),"",IF($C726="",1,$C726)*$D726+N($E726)-N($F726))</f>
        <v/>
      </c>
      <c r="K726" s="13" t="str">
        <f aca="false">IF($J726="","",IF($R726&lt;&gt;"",$R726,IF($G726="",0,MAX(IFERROR(INDEX(Settings!$D$6:$D$15,MATCH($G726,Settings!$A$6:$A$15,0)),0),$J726*IFERROR(INDEX(Settings!$B$6:$B$15,MATCH($G726,Settings!$A$6:$A$15,0)),0)+IFERROR(INDEX(Settings!$C$6:$C$15,MATCH($G726,Settings!$A$6:$A$15,0)),0)))))</f>
        <v/>
      </c>
      <c r="L726" s="13" t="str">
        <f aca="false">IF($J726="","",IF($C726="",1,$C726)*IF($Q726&lt;&gt;"",$Q726,IFERROR(INDEX(Products!$D$5:$D$54,MATCH($B726,Products!$A$5:$A$54,0)),0)))</f>
        <v/>
      </c>
      <c r="M726" s="14" t="str">
        <f aca="false">IF($J726="","",$J726-$K726-N($H726)-$L726)</f>
        <v/>
      </c>
      <c r="N726" s="15" t="str">
        <f aca="false">IF($J726="","",IF($J726&gt;0,$M726/$J726,""))</f>
        <v/>
      </c>
      <c r="O726" s="12"/>
      <c r="P726" s="12"/>
      <c r="Q726" s="11"/>
      <c r="R726" s="11"/>
      <c r="S726" s="12"/>
      <c r="T726" s="16" t="str">
        <f aca="false">IF($J726="","",IF($C726="",1,$C726))</f>
        <v/>
      </c>
    </row>
    <row r="727" customFormat="false" ht="15" hidden="false" customHeight="false" outlineLevel="0" collapsed="false">
      <c r="A727" s="7"/>
      <c r="B727" s="8"/>
      <c r="C727" s="9"/>
      <c r="D727" s="10"/>
      <c r="E727" s="11"/>
      <c r="F727" s="11"/>
      <c r="G727" s="8"/>
      <c r="H727" s="11"/>
      <c r="I727" s="12"/>
      <c r="J727" s="13" t="str">
        <f aca="false">IF(OR($A727="",$D727=""),"",IF($C727="",1,$C727)*$D727+N($E727)-N($F727))</f>
        <v/>
      </c>
      <c r="K727" s="13" t="str">
        <f aca="false">IF($J727="","",IF($R727&lt;&gt;"",$R727,IF($G727="",0,MAX(IFERROR(INDEX(Settings!$D$6:$D$15,MATCH($G727,Settings!$A$6:$A$15,0)),0),$J727*IFERROR(INDEX(Settings!$B$6:$B$15,MATCH($G727,Settings!$A$6:$A$15,0)),0)+IFERROR(INDEX(Settings!$C$6:$C$15,MATCH($G727,Settings!$A$6:$A$15,0)),0)))))</f>
        <v/>
      </c>
      <c r="L727" s="13" t="str">
        <f aca="false">IF($J727="","",IF($C727="",1,$C727)*IF($Q727&lt;&gt;"",$Q727,IFERROR(INDEX(Products!$D$5:$D$54,MATCH($B727,Products!$A$5:$A$54,0)),0)))</f>
        <v/>
      </c>
      <c r="M727" s="14" t="str">
        <f aca="false">IF($J727="","",$J727-$K727-N($H727)-$L727)</f>
        <v/>
      </c>
      <c r="N727" s="15" t="str">
        <f aca="false">IF($J727="","",IF($J727&gt;0,$M727/$J727,""))</f>
        <v/>
      </c>
      <c r="O727" s="12"/>
      <c r="P727" s="12"/>
      <c r="Q727" s="11"/>
      <c r="R727" s="11"/>
      <c r="S727" s="12"/>
      <c r="T727" s="16" t="str">
        <f aca="false">IF($J727="","",IF($C727="",1,$C727))</f>
        <v/>
      </c>
    </row>
    <row r="728" customFormat="false" ht="15" hidden="false" customHeight="false" outlineLevel="0" collapsed="false">
      <c r="A728" s="7"/>
      <c r="B728" s="8"/>
      <c r="C728" s="9"/>
      <c r="D728" s="10"/>
      <c r="E728" s="11"/>
      <c r="F728" s="11"/>
      <c r="G728" s="8"/>
      <c r="H728" s="11"/>
      <c r="I728" s="12"/>
      <c r="J728" s="13" t="str">
        <f aca="false">IF(OR($A728="",$D728=""),"",IF($C728="",1,$C728)*$D728+N($E728)-N($F728))</f>
        <v/>
      </c>
      <c r="K728" s="13" t="str">
        <f aca="false">IF($J728="","",IF($R728&lt;&gt;"",$R728,IF($G728="",0,MAX(IFERROR(INDEX(Settings!$D$6:$D$15,MATCH($G728,Settings!$A$6:$A$15,0)),0),$J728*IFERROR(INDEX(Settings!$B$6:$B$15,MATCH($G728,Settings!$A$6:$A$15,0)),0)+IFERROR(INDEX(Settings!$C$6:$C$15,MATCH($G728,Settings!$A$6:$A$15,0)),0)))))</f>
        <v/>
      </c>
      <c r="L728" s="13" t="str">
        <f aca="false">IF($J728="","",IF($C728="",1,$C728)*IF($Q728&lt;&gt;"",$Q728,IFERROR(INDEX(Products!$D$5:$D$54,MATCH($B728,Products!$A$5:$A$54,0)),0)))</f>
        <v/>
      </c>
      <c r="M728" s="14" t="str">
        <f aca="false">IF($J728="","",$J728-$K728-N($H728)-$L728)</f>
        <v/>
      </c>
      <c r="N728" s="15" t="str">
        <f aca="false">IF($J728="","",IF($J728&gt;0,$M728/$J728,""))</f>
        <v/>
      </c>
      <c r="O728" s="12"/>
      <c r="P728" s="12"/>
      <c r="Q728" s="11"/>
      <c r="R728" s="11"/>
      <c r="S728" s="12"/>
      <c r="T728" s="16" t="str">
        <f aca="false">IF($J728="","",IF($C728="",1,$C728))</f>
        <v/>
      </c>
    </row>
    <row r="729" customFormat="false" ht="15" hidden="false" customHeight="false" outlineLevel="0" collapsed="false">
      <c r="A729" s="7"/>
      <c r="B729" s="8"/>
      <c r="C729" s="9"/>
      <c r="D729" s="10"/>
      <c r="E729" s="11"/>
      <c r="F729" s="11"/>
      <c r="G729" s="8"/>
      <c r="H729" s="11"/>
      <c r="I729" s="12"/>
      <c r="J729" s="13" t="str">
        <f aca="false">IF(OR($A729="",$D729=""),"",IF($C729="",1,$C729)*$D729+N($E729)-N($F729))</f>
        <v/>
      </c>
      <c r="K729" s="13" t="str">
        <f aca="false">IF($J729="","",IF($R729&lt;&gt;"",$R729,IF($G729="",0,MAX(IFERROR(INDEX(Settings!$D$6:$D$15,MATCH($G729,Settings!$A$6:$A$15,0)),0),$J729*IFERROR(INDEX(Settings!$B$6:$B$15,MATCH($G729,Settings!$A$6:$A$15,0)),0)+IFERROR(INDEX(Settings!$C$6:$C$15,MATCH($G729,Settings!$A$6:$A$15,0)),0)))))</f>
        <v/>
      </c>
      <c r="L729" s="13" t="str">
        <f aca="false">IF($J729="","",IF($C729="",1,$C729)*IF($Q729&lt;&gt;"",$Q729,IFERROR(INDEX(Products!$D$5:$D$54,MATCH($B729,Products!$A$5:$A$54,0)),0)))</f>
        <v/>
      </c>
      <c r="M729" s="14" t="str">
        <f aca="false">IF($J729="","",$J729-$K729-N($H729)-$L729)</f>
        <v/>
      </c>
      <c r="N729" s="15" t="str">
        <f aca="false">IF($J729="","",IF($J729&gt;0,$M729/$J729,""))</f>
        <v/>
      </c>
      <c r="O729" s="12"/>
      <c r="P729" s="12"/>
      <c r="Q729" s="11"/>
      <c r="R729" s="11"/>
      <c r="S729" s="12"/>
      <c r="T729" s="16" t="str">
        <f aca="false">IF($J729="","",IF($C729="",1,$C729))</f>
        <v/>
      </c>
    </row>
    <row r="730" customFormat="false" ht="15" hidden="false" customHeight="false" outlineLevel="0" collapsed="false">
      <c r="A730" s="7"/>
      <c r="B730" s="8"/>
      <c r="C730" s="9"/>
      <c r="D730" s="10"/>
      <c r="E730" s="11"/>
      <c r="F730" s="11"/>
      <c r="G730" s="8"/>
      <c r="H730" s="11"/>
      <c r="I730" s="12"/>
      <c r="J730" s="13" t="str">
        <f aca="false">IF(OR($A730="",$D730=""),"",IF($C730="",1,$C730)*$D730+N($E730)-N($F730))</f>
        <v/>
      </c>
      <c r="K730" s="13" t="str">
        <f aca="false">IF($J730="","",IF($R730&lt;&gt;"",$R730,IF($G730="",0,MAX(IFERROR(INDEX(Settings!$D$6:$D$15,MATCH($G730,Settings!$A$6:$A$15,0)),0),$J730*IFERROR(INDEX(Settings!$B$6:$B$15,MATCH($G730,Settings!$A$6:$A$15,0)),0)+IFERROR(INDEX(Settings!$C$6:$C$15,MATCH($G730,Settings!$A$6:$A$15,0)),0)))))</f>
        <v/>
      </c>
      <c r="L730" s="13" t="str">
        <f aca="false">IF($J730="","",IF($C730="",1,$C730)*IF($Q730&lt;&gt;"",$Q730,IFERROR(INDEX(Products!$D$5:$D$54,MATCH($B730,Products!$A$5:$A$54,0)),0)))</f>
        <v/>
      </c>
      <c r="M730" s="14" t="str">
        <f aca="false">IF($J730="","",$J730-$K730-N($H730)-$L730)</f>
        <v/>
      </c>
      <c r="N730" s="15" t="str">
        <f aca="false">IF($J730="","",IF($J730&gt;0,$M730/$J730,""))</f>
        <v/>
      </c>
      <c r="O730" s="12"/>
      <c r="P730" s="12"/>
      <c r="Q730" s="11"/>
      <c r="R730" s="11"/>
      <c r="S730" s="12"/>
      <c r="T730" s="16" t="str">
        <f aca="false">IF($J730="","",IF($C730="",1,$C730))</f>
        <v/>
      </c>
    </row>
    <row r="731" customFormat="false" ht="15" hidden="false" customHeight="false" outlineLevel="0" collapsed="false">
      <c r="A731" s="7"/>
      <c r="B731" s="8"/>
      <c r="C731" s="9"/>
      <c r="D731" s="10"/>
      <c r="E731" s="11"/>
      <c r="F731" s="11"/>
      <c r="G731" s="8"/>
      <c r="H731" s="11"/>
      <c r="I731" s="12"/>
      <c r="J731" s="13" t="str">
        <f aca="false">IF(OR($A731="",$D731=""),"",IF($C731="",1,$C731)*$D731+N($E731)-N($F731))</f>
        <v/>
      </c>
      <c r="K731" s="13" t="str">
        <f aca="false">IF($J731="","",IF($R731&lt;&gt;"",$R731,IF($G731="",0,MAX(IFERROR(INDEX(Settings!$D$6:$D$15,MATCH($G731,Settings!$A$6:$A$15,0)),0),$J731*IFERROR(INDEX(Settings!$B$6:$B$15,MATCH($G731,Settings!$A$6:$A$15,0)),0)+IFERROR(INDEX(Settings!$C$6:$C$15,MATCH($G731,Settings!$A$6:$A$15,0)),0)))))</f>
        <v/>
      </c>
      <c r="L731" s="13" t="str">
        <f aca="false">IF($J731="","",IF($C731="",1,$C731)*IF($Q731&lt;&gt;"",$Q731,IFERROR(INDEX(Products!$D$5:$D$54,MATCH($B731,Products!$A$5:$A$54,0)),0)))</f>
        <v/>
      </c>
      <c r="M731" s="14" t="str">
        <f aca="false">IF($J731="","",$J731-$K731-N($H731)-$L731)</f>
        <v/>
      </c>
      <c r="N731" s="15" t="str">
        <f aca="false">IF($J731="","",IF($J731&gt;0,$M731/$J731,""))</f>
        <v/>
      </c>
      <c r="O731" s="12"/>
      <c r="P731" s="12"/>
      <c r="Q731" s="11"/>
      <c r="R731" s="11"/>
      <c r="S731" s="12"/>
      <c r="T731" s="16" t="str">
        <f aca="false">IF($J731="","",IF($C731="",1,$C731))</f>
        <v/>
      </c>
    </row>
    <row r="732" customFormat="false" ht="15" hidden="false" customHeight="false" outlineLevel="0" collapsed="false">
      <c r="A732" s="7"/>
      <c r="B732" s="8"/>
      <c r="C732" s="9"/>
      <c r="D732" s="10"/>
      <c r="E732" s="11"/>
      <c r="F732" s="11"/>
      <c r="G732" s="8"/>
      <c r="H732" s="11"/>
      <c r="I732" s="12"/>
      <c r="J732" s="13" t="str">
        <f aca="false">IF(OR($A732="",$D732=""),"",IF($C732="",1,$C732)*$D732+N($E732)-N($F732))</f>
        <v/>
      </c>
      <c r="K732" s="13" t="str">
        <f aca="false">IF($J732="","",IF($R732&lt;&gt;"",$R732,IF($G732="",0,MAX(IFERROR(INDEX(Settings!$D$6:$D$15,MATCH($G732,Settings!$A$6:$A$15,0)),0),$J732*IFERROR(INDEX(Settings!$B$6:$B$15,MATCH($G732,Settings!$A$6:$A$15,0)),0)+IFERROR(INDEX(Settings!$C$6:$C$15,MATCH($G732,Settings!$A$6:$A$15,0)),0)))))</f>
        <v/>
      </c>
      <c r="L732" s="13" t="str">
        <f aca="false">IF($J732="","",IF($C732="",1,$C732)*IF($Q732&lt;&gt;"",$Q732,IFERROR(INDEX(Products!$D$5:$D$54,MATCH($B732,Products!$A$5:$A$54,0)),0)))</f>
        <v/>
      </c>
      <c r="M732" s="14" t="str">
        <f aca="false">IF($J732="","",$J732-$K732-N($H732)-$L732)</f>
        <v/>
      </c>
      <c r="N732" s="15" t="str">
        <f aca="false">IF($J732="","",IF($J732&gt;0,$M732/$J732,""))</f>
        <v/>
      </c>
      <c r="O732" s="12"/>
      <c r="P732" s="12"/>
      <c r="Q732" s="11"/>
      <c r="R732" s="11"/>
      <c r="S732" s="12"/>
      <c r="T732" s="16" t="str">
        <f aca="false">IF($J732="","",IF($C732="",1,$C732))</f>
        <v/>
      </c>
    </row>
    <row r="733" customFormat="false" ht="15" hidden="false" customHeight="false" outlineLevel="0" collapsed="false">
      <c r="A733" s="7"/>
      <c r="B733" s="8"/>
      <c r="C733" s="9"/>
      <c r="D733" s="10"/>
      <c r="E733" s="11"/>
      <c r="F733" s="11"/>
      <c r="G733" s="8"/>
      <c r="H733" s="11"/>
      <c r="I733" s="12"/>
      <c r="J733" s="13" t="str">
        <f aca="false">IF(OR($A733="",$D733=""),"",IF($C733="",1,$C733)*$D733+N($E733)-N($F733))</f>
        <v/>
      </c>
      <c r="K733" s="13" t="str">
        <f aca="false">IF($J733="","",IF($R733&lt;&gt;"",$R733,IF($G733="",0,MAX(IFERROR(INDEX(Settings!$D$6:$D$15,MATCH($G733,Settings!$A$6:$A$15,0)),0),$J733*IFERROR(INDEX(Settings!$B$6:$B$15,MATCH($G733,Settings!$A$6:$A$15,0)),0)+IFERROR(INDEX(Settings!$C$6:$C$15,MATCH($G733,Settings!$A$6:$A$15,0)),0)))))</f>
        <v/>
      </c>
      <c r="L733" s="13" t="str">
        <f aca="false">IF($J733="","",IF($C733="",1,$C733)*IF($Q733&lt;&gt;"",$Q733,IFERROR(INDEX(Products!$D$5:$D$54,MATCH($B733,Products!$A$5:$A$54,0)),0)))</f>
        <v/>
      </c>
      <c r="M733" s="14" t="str">
        <f aca="false">IF($J733="","",$J733-$K733-N($H733)-$L733)</f>
        <v/>
      </c>
      <c r="N733" s="15" t="str">
        <f aca="false">IF($J733="","",IF($J733&gt;0,$M733/$J733,""))</f>
        <v/>
      </c>
      <c r="O733" s="12"/>
      <c r="P733" s="12"/>
      <c r="Q733" s="11"/>
      <c r="R733" s="11"/>
      <c r="S733" s="12"/>
      <c r="T733" s="16" t="str">
        <f aca="false">IF($J733="","",IF($C733="",1,$C733))</f>
        <v/>
      </c>
    </row>
    <row r="734" customFormat="false" ht="15" hidden="false" customHeight="false" outlineLevel="0" collapsed="false">
      <c r="A734" s="7"/>
      <c r="B734" s="8"/>
      <c r="C734" s="9"/>
      <c r="D734" s="10"/>
      <c r="E734" s="11"/>
      <c r="F734" s="11"/>
      <c r="G734" s="8"/>
      <c r="H734" s="11"/>
      <c r="I734" s="12"/>
      <c r="J734" s="13" t="str">
        <f aca="false">IF(OR($A734="",$D734=""),"",IF($C734="",1,$C734)*$D734+N($E734)-N($F734))</f>
        <v/>
      </c>
      <c r="K734" s="13" t="str">
        <f aca="false">IF($J734="","",IF($R734&lt;&gt;"",$R734,IF($G734="",0,MAX(IFERROR(INDEX(Settings!$D$6:$D$15,MATCH($G734,Settings!$A$6:$A$15,0)),0),$J734*IFERROR(INDEX(Settings!$B$6:$B$15,MATCH($G734,Settings!$A$6:$A$15,0)),0)+IFERROR(INDEX(Settings!$C$6:$C$15,MATCH($G734,Settings!$A$6:$A$15,0)),0)))))</f>
        <v/>
      </c>
      <c r="L734" s="13" t="str">
        <f aca="false">IF($J734="","",IF($C734="",1,$C734)*IF($Q734&lt;&gt;"",$Q734,IFERROR(INDEX(Products!$D$5:$D$54,MATCH($B734,Products!$A$5:$A$54,0)),0)))</f>
        <v/>
      </c>
      <c r="M734" s="14" t="str">
        <f aca="false">IF($J734="","",$J734-$K734-N($H734)-$L734)</f>
        <v/>
      </c>
      <c r="N734" s="15" t="str">
        <f aca="false">IF($J734="","",IF($J734&gt;0,$M734/$J734,""))</f>
        <v/>
      </c>
      <c r="O734" s="12"/>
      <c r="P734" s="12"/>
      <c r="Q734" s="11"/>
      <c r="R734" s="11"/>
      <c r="S734" s="12"/>
      <c r="T734" s="16" t="str">
        <f aca="false">IF($J734="","",IF($C734="",1,$C734))</f>
        <v/>
      </c>
    </row>
    <row r="735" customFormat="false" ht="15" hidden="false" customHeight="false" outlineLevel="0" collapsed="false">
      <c r="A735" s="7"/>
      <c r="B735" s="8"/>
      <c r="C735" s="9"/>
      <c r="D735" s="10"/>
      <c r="E735" s="11"/>
      <c r="F735" s="11"/>
      <c r="G735" s="8"/>
      <c r="H735" s="11"/>
      <c r="I735" s="12"/>
      <c r="J735" s="13" t="str">
        <f aca="false">IF(OR($A735="",$D735=""),"",IF($C735="",1,$C735)*$D735+N($E735)-N($F735))</f>
        <v/>
      </c>
      <c r="K735" s="13" t="str">
        <f aca="false">IF($J735="","",IF($R735&lt;&gt;"",$R735,IF($G735="",0,MAX(IFERROR(INDEX(Settings!$D$6:$D$15,MATCH($G735,Settings!$A$6:$A$15,0)),0),$J735*IFERROR(INDEX(Settings!$B$6:$B$15,MATCH($G735,Settings!$A$6:$A$15,0)),0)+IFERROR(INDEX(Settings!$C$6:$C$15,MATCH($G735,Settings!$A$6:$A$15,0)),0)))))</f>
        <v/>
      </c>
      <c r="L735" s="13" t="str">
        <f aca="false">IF($J735="","",IF($C735="",1,$C735)*IF($Q735&lt;&gt;"",$Q735,IFERROR(INDEX(Products!$D$5:$D$54,MATCH($B735,Products!$A$5:$A$54,0)),0)))</f>
        <v/>
      </c>
      <c r="M735" s="14" t="str">
        <f aca="false">IF($J735="","",$J735-$K735-N($H735)-$L735)</f>
        <v/>
      </c>
      <c r="N735" s="15" t="str">
        <f aca="false">IF($J735="","",IF($J735&gt;0,$M735/$J735,""))</f>
        <v/>
      </c>
      <c r="O735" s="12"/>
      <c r="P735" s="12"/>
      <c r="Q735" s="11"/>
      <c r="R735" s="11"/>
      <c r="S735" s="12"/>
      <c r="T735" s="16" t="str">
        <f aca="false">IF($J735="","",IF($C735="",1,$C735))</f>
        <v/>
      </c>
    </row>
    <row r="736" customFormat="false" ht="15" hidden="false" customHeight="false" outlineLevel="0" collapsed="false">
      <c r="A736" s="7"/>
      <c r="B736" s="8"/>
      <c r="C736" s="9"/>
      <c r="D736" s="10"/>
      <c r="E736" s="11"/>
      <c r="F736" s="11"/>
      <c r="G736" s="8"/>
      <c r="H736" s="11"/>
      <c r="I736" s="12"/>
      <c r="J736" s="13" t="str">
        <f aca="false">IF(OR($A736="",$D736=""),"",IF($C736="",1,$C736)*$D736+N($E736)-N($F736))</f>
        <v/>
      </c>
      <c r="K736" s="13" t="str">
        <f aca="false">IF($J736="","",IF($R736&lt;&gt;"",$R736,IF($G736="",0,MAX(IFERROR(INDEX(Settings!$D$6:$D$15,MATCH($G736,Settings!$A$6:$A$15,0)),0),$J736*IFERROR(INDEX(Settings!$B$6:$B$15,MATCH($G736,Settings!$A$6:$A$15,0)),0)+IFERROR(INDEX(Settings!$C$6:$C$15,MATCH($G736,Settings!$A$6:$A$15,0)),0)))))</f>
        <v/>
      </c>
      <c r="L736" s="13" t="str">
        <f aca="false">IF($J736="","",IF($C736="",1,$C736)*IF($Q736&lt;&gt;"",$Q736,IFERROR(INDEX(Products!$D$5:$D$54,MATCH($B736,Products!$A$5:$A$54,0)),0)))</f>
        <v/>
      </c>
      <c r="M736" s="14" t="str">
        <f aca="false">IF($J736="","",$J736-$K736-N($H736)-$L736)</f>
        <v/>
      </c>
      <c r="N736" s="15" t="str">
        <f aca="false">IF($J736="","",IF($J736&gt;0,$M736/$J736,""))</f>
        <v/>
      </c>
      <c r="O736" s="12"/>
      <c r="P736" s="12"/>
      <c r="Q736" s="11"/>
      <c r="R736" s="11"/>
      <c r="S736" s="12"/>
      <c r="T736" s="16" t="str">
        <f aca="false">IF($J736="","",IF($C736="",1,$C736))</f>
        <v/>
      </c>
    </row>
    <row r="737" customFormat="false" ht="15" hidden="false" customHeight="false" outlineLevel="0" collapsed="false">
      <c r="A737" s="7"/>
      <c r="B737" s="8"/>
      <c r="C737" s="9"/>
      <c r="D737" s="10"/>
      <c r="E737" s="11"/>
      <c r="F737" s="11"/>
      <c r="G737" s="8"/>
      <c r="H737" s="11"/>
      <c r="I737" s="12"/>
      <c r="J737" s="13" t="str">
        <f aca="false">IF(OR($A737="",$D737=""),"",IF($C737="",1,$C737)*$D737+N($E737)-N($F737))</f>
        <v/>
      </c>
      <c r="K737" s="13" t="str">
        <f aca="false">IF($J737="","",IF($R737&lt;&gt;"",$R737,IF($G737="",0,MAX(IFERROR(INDEX(Settings!$D$6:$D$15,MATCH($G737,Settings!$A$6:$A$15,0)),0),$J737*IFERROR(INDEX(Settings!$B$6:$B$15,MATCH($G737,Settings!$A$6:$A$15,0)),0)+IFERROR(INDEX(Settings!$C$6:$C$15,MATCH($G737,Settings!$A$6:$A$15,0)),0)))))</f>
        <v/>
      </c>
      <c r="L737" s="13" t="str">
        <f aca="false">IF($J737="","",IF($C737="",1,$C737)*IF($Q737&lt;&gt;"",$Q737,IFERROR(INDEX(Products!$D$5:$D$54,MATCH($B737,Products!$A$5:$A$54,0)),0)))</f>
        <v/>
      </c>
      <c r="M737" s="14" t="str">
        <f aca="false">IF($J737="","",$J737-$K737-N($H737)-$L737)</f>
        <v/>
      </c>
      <c r="N737" s="15" t="str">
        <f aca="false">IF($J737="","",IF($J737&gt;0,$M737/$J737,""))</f>
        <v/>
      </c>
      <c r="O737" s="12"/>
      <c r="P737" s="12"/>
      <c r="Q737" s="11"/>
      <c r="R737" s="11"/>
      <c r="S737" s="12"/>
      <c r="T737" s="16" t="str">
        <f aca="false">IF($J737="","",IF($C737="",1,$C737))</f>
        <v/>
      </c>
    </row>
    <row r="738" customFormat="false" ht="15" hidden="false" customHeight="false" outlineLevel="0" collapsed="false">
      <c r="A738" s="7"/>
      <c r="B738" s="8"/>
      <c r="C738" s="9"/>
      <c r="D738" s="10"/>
      <c r="E738" s="11"/>
      <c r="F738" s="11"/>
      <c r="G738" s="8"/>
      <c r="H738" s="11"/>
      <c r="I738" s="12"/>
      <c r="J738" s="13" t="str">
        <f aca="false">IF(OR($A738="",$D738=""),"",IF($C738="",1,$C738)*$D738+N($E738)-N($F738))</f>
        <v/>
      </c>
      <c r="K738" s="13" t="str">
        <f aca="false">IF($J738="","",IF($R738&lt;&gt;"",$R738,IF($G738="",0,MAX(IFERROR(INDEX(Settings!$D$6:$D$15,MATCH($G738,Settings!$A$6:$A$15,0)),0),$J738*IFERROR(INDEX(Settings!$B$6:$B$15,MATCH($G738,Settings!$A$6:$A$15,0)),0)+IFERROR(INDEX(Settings!$C$6:$C$15,MATCH($G738,Settings!$A$6:$A$15,0)),0)))))</f>
        <v/>
      </c>
      <c r="L738" s="13" t="str">
        <f aca="false">IF($J738="","",IF($C738="",1,$C738)*IF($Q738&lt;&gt;"",$Q738,IFERROR(INDEX(Products!$D$5:$D$54,MATCH($B738,Products!$A$5:$A$54,0)),0)))</f>
        <v/>
      </c>
      <c r="M738" s="14" t="str">
        <f aca="false">IF($J738="","",$J738-$K738-N($H738)-$L738)</f>
        <v/>
      </c>
      <c r="N738" s="15" t="str">
        <f aca="false">IF($J738="","",IF($J738&gt;0,$M738/$J738,""))</f>
        <v/>
      </c>
      <c r="O738" s="12"/>
      <c r="P738" s="12"/>
      <c r="Q738" s="11"/>
      <c r="R738" s="11"/>
      <c r="S738" s="12"/>
      <c r="T738" s="16" t="str">
        <f aca="false">IF($J738="","",IF($C738="",1,$C738))</f>
        <v/>
      </c>
    </row>
    <row r="739" customFormat="false" ht="15" hidden="false" customHeight="false" outlineLevel="0" collapsed="false">
      <c r="A739" s="7"/>
      <c r="B739" s="8"/>
      <c r="C739" s="9"/>
      <c r="D739" s="10"/>
      <c r="E739" s="11"/>
      <c r="F739" s="11"/>
      <c r="G739" s="8"/>
      <c r="H739" s="11"/>
      <c r="I739" s="12"/>
      <c r="J739" s="13" t="str">
        <f aca="false">IF(OR($A739="",$D739=""),"",IF($C739="",1,$C739)*$D739+N($E739)-N($F739))</f>
        <v/>
      </c>
      <c r="K739" s="13" t="str">
        <f aca="false">IF($J739="","",IF($R739&lt;&gt;"",$R739,IF($G739="",0,MAX(IFERROR(INDEX(Settings!$D$6:$D$15,MATCH($G739,Settings!$A$6:$A$15,0)),0),$J739*IFERROR(INDEX(Settings!$B$6:$B$15,MATCH($G739,Settings!$A$6:$A$15,0)),0)+IFERROR(INDEX(Settings!$C$6:$C$15,MATCH($G739,Settings!$A$6:$A$15,0)),0)))))</f>
        <v/>
      </c>
      <c r="L739" s="13" t="str">
        <f aca="false">IF($J739="","",IF($C739="",1,$C739)*IF($Q739&lt;&gt;"",$Q739,IFERROR(INDEX(Products!$D$5:$D$54,MATCH($B739,Products!$A$5:$A$54,0)),0)))</f>
        <v/>
      </c>
      <c r="M739" s="14" t="str">
        <f aca="false">IF($J739="","",$J739-$K739-N($H739)-$L739)</f>
        <v/>
      </c>
      <c r="N739" s="15" t="str">
        <f aca="false">IF($J739="","",IF($J739&gt;0,$M739/$J739,""))</f>
        <v/>
      </c>
      <c r="O739" s="12"/>
      <c r="P739" s="12"/>
      <c r="Q739" s="11"/>
      <c r="R739" s="11"/>
      <c r="S739" s="12"/>
      <c r="T739" s="16" t="str">
        <f aca="false">IF($J739="","",IF($C739="",1,$C739))</f>
        <v/>
      </c>
    </row>
    <row r="740" customFormat="false" ht="15" hidden="false" customHeight="false" outlineLevel="0" collapsed="false">
      <c r="A740" s="7"/>
      <c r="B740" s="8"/>
      <c r="C740" s="9"/>
      <c r="D740" s="10"/>
      <c r="E740" s="11"/>
      <c r="F740" s="11"/>
      <c r="G740" s="8"/>
      <c r="H740" s="11"/>
      <c r="I740" s="12"/>
      <c r="J740" s="13" t="str">
        <f aca="false">IF(OR($A740="",$D740=""),"",IF($C740="",1,$C740)*$D740+N($E740)-N($F740))</f>
        <v/>
      </c>
      <c r="K740" s="13" t="str">
        <f aca="false">IF($J740="","",IF($R740&lt;&gt;"",$R740,IF($G740="",0,MAX(IFERROR(INDEX(Settings!$D$6:$D$15,MATCH($G740,Settings!$A$6:$A$15,0)),0),$J740*IFERROR(INDEX(Settings!$B$6:$B$15,MATCH($G740,Settings!$A$6:$A$15,0)),0)+IFERROR(INDEX(Settings!$C$6:$C$15,MATCH($G740,Settings!$A$6:$A$15,0)),0)))))</f>
        <v/>
      </c>
      <c r="L740" s="13" t="str">
        <f aca="false">IF($J740="","",IF($C740="",1,$C740)*IF($Q740&lt;&gt;"",$Q740,IFERROR(INDEX(Products!$D$5:$D$54,MATCH($B740,Products!$A$5:$A$54,0)),0)))</f>
        <v/>
      </c>
      <c r="M740" s="14" t="str">
        <f aca="false">IF($J740="","",$J740-$K740-N($H740)-$L740)</f>
        <v/>
      </c>
      <c r="N740" s="15" t="str">
        <f aca="false">IF($J740="","",IF($J740&gt;0,$M740/$J740,""))</f>
        <v/>
      </c>
      <c r="O740" s="12"/>
      <c r="P740" s="12"/>
      <c r="Q740" s="11"/>
      <c r="R740" s="11"/>
      <c r="S740" s="12"/>
      <c r="T740" s="16" t="str">
        <f aca="false">IF($J740="","",IF($C740="",1,$C740))</f>
        <v/>
      </c>
    </row>
    <row r="741" customFormat="false" ht="15" hidden="false" customHeight="false" outlineLevel="0" collapsed="false">
      <c r="A741" s="7"/>
      <c r="B741" s="8"/>
      <c r="C741" s="9"/>
      <c r="D741" s="10"/>
      <c r="E741" s="11"/>
      <c r="F741" s="11"/>
      <c r="G741" s="8"/>
      <c r="H741" s="11"/>
      <c r="I741" s="12"/>
      <c r="J741" s="13" t="str">
        <f aca="false">IF(OR($A741="",$D741=""),"",IF($C741="",1,$C741)*$D741+N($E741)-N($F741))</f>
        <v/>
      </c>
      <c r="K741" s="13" t="str">
        <f aca="false">IF($J741="","",IF($R741&lt;&gt;"",$R741,IF($G741="",0,MAX(IFERROR(INDEX(Settings!$D$6:$D$15,MATCH($G741,Settings!$A$6:$A$15,0)),0),$J741*IFERROR(INDEX(Settings!$B$6:$B$15,MATCH($G741,Settings!$A$6:$A$15,0)),0)+IFERROR(INDEX(Settings!$C$6:$C$15,MATCH($G741,Settings!$A$6:$A$15,0)),0)))))</f>
        <v/>
      </c>
      <c r="L741" s="13" t="str">
        <f aca="false">IF($J741="","",IF($C741="",1,$C741)*IF($Q741&lt;&gt;"",$Q741,IFERROR(INDEX(Products!$D$5:$D$54,MATCH($B741,Products!$A$5:$A$54,0)),0)))</f>
        <v/>
      </c>
      <c r="M741" s="14" t="str">
        <f aca="false">IF($J741="","",$J741-$K741-N($H741)-$L741)</f>
        <v/>
      </c>
      <c r="N741" s="15" t="str">
        <f aca="false">IF($J741="","",IF($J741&gt;0,$M741/$J741,""))</f>
        <v/>
      </c>
      <c r="O741" s="12"/>
      <c r="P741" s="12"/>
      <c r="Q741" s="11"/>
      <c r="R741" s="11"/>
      <c r="S741" s="12"/>
      <c r="T741" s="16" t="str">
        <f aca="false">IF($J741="","",IF($C741="",1,$C741))</f>
        <v/>
      </c>
    </row>
    <row r="742" customFormat="false" ht="15" hidden="false" customHeight="false" outlineLevel="0" collapsed="false">
      <c r="A742" s="7"/>
      <c r="B742" s="8"/>
      <c r="C742" s="9"/>
      <c r="D742" s="10"/>
      <c r="E742" s="11"/>
      <c r="F742" s="11"/>
      <c r="G742" s="8"/>
      <c r="H742" s="11"/>
      <c r="I742" s="12"/>
      <c r="J742" s="13" t="str">
        <f aca="false">IF(OR($A742="",$D742=""),"",IF($C742="",1,$C742)*$D742+N($E742)-N($F742))</f>
        <v/>
      </c>
      <c r="K742" s="13" t="str">
        <f aca="false">IF($J742="","",IF($R742&lt;&gt;"",$R742,IF($G742="",0,MAX(IFERROR(INDEX(Settings!$D$6:$D$15,MATCH($G742,Settings!$A$6:$A$15,0)),0),$J742*IFERROR(INDEX(Settings!$B$6:$B$15,MATCH($G742,Settings!$A$6:$A$15,0)),0)+IFERROR(INDEX(Settings!$C$6:$C$15,MATCH($G742,Settings!$A$6:$A$15,0)),0)))))</f>
        <v/>
      </c>
      <c r="L742" s="13" t="str">
        <f aca="false">IF($J742="","",IF($C742="",1,$C742)*IF($Q742&lt;&gt;"",$Q742,IFERROR(INDEX(Products!$D$5:$D$54,MATCH($B742,Products!$A$5:$A$54,0)),0)))</f>
        <v/>
      </c>
      <c r="M742" s="14" t="str">
        <f aca="false">IF($J742="","",$J742-$K742-N($H742)-$L742)</f>
        <v/>
      </c>
      <c r="N742" s="15" t="str">
        <f aca="false">IF($J742="","",IF($J742&gt;0,$M742/$J742,""))</f>
        <v/>
      </c>
      <c r="O742" s="12"/>
      <c r="P742" s="12"/>
      <c r="Q742" s="11"/>
      <c r="R742" s="11"/>
      <c r="S742" s="12"/>
      <c r="T742" s="16" t="str">
        <f aca="false">IF($J742="","",IF($C742="",1,$C742))</f>
        <v/>
      </c>
    </row>
    <row r="743" customFormat="false" ht="15" hidden="false" customHeight="false" outlineLevel="0" collapsed="false">
      <c r="A743" s="7"/>
      <c r="B743" s="8"/>
      <c r="C743" s="9"/>
      <c r="D743" s="10"/>
      <c r="E743" s="11"/>
      <c r="F743" s="11"/>
      <c r="G743" s="8"/>
      <c r="H743" s="11"/>
      <c r="I743" s="12"/>
      <c r="J743" s="13" t="str">
        <f aca="false">IF(OR($A743="",$D743=""),"",IF($C743="",1,$C743)*$D743+N($E743)-N($F743))</f>
        <v/>
      </c>
      <c r="K743" s="13" t="str">
        <f aca="false">IF($J743="","",IF($R743&lt;&gt;"",$R743,IF($G743="",0,MAX(IFERROR(INDEX(Settings!$D$6:$D$15,MATCH($G743,Settings!$A$6:$A$15,0)),0),$J743*IFERROR(INDEX(Settings!$B$6:$B$15,MATCH($G743,Settings!$A$6:$A$15,0)),0)+IFERROR(INDEX(Settings!$C$6:$C$15,MATCH($G743,Settings!$A$6:$A$15,0)),0)))))</f>
        <v/>
      </c>
      <c r="L743" s="13" t="str">
        <f aca="false">IF($J743="","",IF($C743="",1,$C743)*IF($Q743&lt;&gt;"",$Q743,IFERROR(INDEX(Products!$D$5:$D$54,MATCH($B743,Products!$A$5:$A$54,0)),0)))</f>
        <v/>
      </c>
      <c r="M743" s="14" t="str">
        <f aca="false">IF($J743="","",$J743-$K743-N($H743)-$L743)</f>
        <v/>
      </c>
      <c r="N743" s="15" t="str">
        <f aca="false">IF($J743="","",IF($J743&gt;0,$M743/$J743,""))</f>
        <v/>
      </c>
      <c r="O743" s="12"/>
      <c r="P743" s="12"/>
      <c r="Q743" s="11"/>
      <c r="R743" s="11"/>
      <c r="S743" s="12"/>
      <c r="T743" s="16" t="str">
        <f aca="false">IF($J743="","",IF($C743="",1,$C743))</f>
        <v/>
      </c>
    </row>
    <row r="744" customFormat="false" ht="15" hidden="false" customHeight="false" outlineLevel="0" collapsed="false">
      <c r="A744" s="7"/>
      <c r="B744" s="8"/>
      <c r="C744" s="9"/>
      <c r="D744" s="10"/>
      <c r="E744" s="11"/>
      <c r="F744" s="11"/>
      <c r="G744" s="8"/>
      <c r="H744" s="11"/>
      <c r="I744" s="12"/>
      <c r="J744" s="13" t="str">
        <f aca="false">IF(OR($A744="",$D744=""),"",IF($C744="",1,$C744)*$D744+N($E744)-N($F744))</f>
        <v/>
      </c>
      <c r="K744" s="13" t="str">
        <f aca="false">IF($J744="","",IF($R744&lt;&gt;"",$R744,IF($G744="",0,MAX(IFERROR(INDEX(Settings!$D$6:$D$15,MATCH($G744,Settings!$A$6:$A$15,0)),0),$J744*IFERROR(INDEX(Settings!$B$6:$B$15,MATCH($G744,Settings!$A$6:$A$15,0)),0)+IFERROR(INDEX(Settings!$C$6:$C$15,MATCH($G744,Settings!$A$6:$A$15,0)),0)))))</f>
        <v/>
      </c>
      <c r="L744" s="13" t="str">
        <f aca="false">IF($J744="","",IF($C744="",1,$C744)*IF($Q744&lt;&gt;"",$Q744,IFERROR(INDEX(Products!$D$5:$D$54,MATCH($B744,Products!$A$5:$A$54,0)),0)))</f>
        <v/>
      </c>
      <c r="M744" s="14" t="str">
        <f aca="false">IF($J744="","",$J744-$K744-N($H744)-$L744)</f>
        <v/>
      </c>
      <c r="N744" s="15" t="str">
        <f aca="false">IF($J744="","",IF($J744&gt;0,$M744/$J744,""))</f>
        <v/>
      </c>
      <c r="O744" s="12"/>
      <c r="P744" s="12"/>
      <c r="Q744" s="11"/>
      <c r="R744" s="11"/>
      <c r="S744" s="12"/>
      <c r="T744" s="16" t="str">
        <f aca="false">IF($J744="","",IF($C744="",1,$C744))</f>
        <v/>
      </c>
    </row>
    <row r="745" customFormat="false" ht="15" hidden="false" customHeight="false" outlineLevel="0" collapsed="false">
      <c r="A745" s="7"/>
      <c r="B745" s="8"/>
      <c r="C745" s="9"/>
      <c r="D745" s="10"/>
      <c r="E745" s="11"/>
      <c r="F745" s="11"/>
      <c r="G745" s="8"/>
      <c r="H745" s="11"/>
      <c r="I745" s="12"/>
      <c r="J745" s="13" t="str">
        <f aca="false">IF(OR($A745="",$D745=""),"",IF($C745="",1,$C745)*$D745+N($E745)-N($F745))</f>
        <v/>
      </c>
      <c r="K745" s="13" t="str">
        <f aca="false">IF($J745="","",IF($R745&lt;&gt;"",$R745,IF($G745="",0,MAX(IFERROR(INDEX(Settings!$D$6:$D$15,MATCH($G745,Settings!$A$6:$A$15,0)),0),$J745*IFERROR(INDEX(Settings!$B$6:$B$15,MATCH($G745,Settings!$A$6:$A$15,0)),0)+IFERROR(INDEX(Settings!$C$6:$C$15,MATCH($G745,Settings!$A$6:$A$15,0)),0)))))</f>
        <v/>
      </c>
      <c r="L745" s="13" t="str">
        <f aca="false">IF($J745="","",IF($C745="",1,$C745)*IF($Q745&lt;&gt;"",$Q745,IFERROR(INDEX(Products!$D$5:$D$54,MATCH($B745,Products!$A$5:$A$54,0)),0)))</f>
        <v/>
      </c>
      <c r="M745" s="14" t="str">
        <f aca="false">IF($J745="","",$J745-$K745-N($H745)-$L745)</f>
        <v/>
      </c>
      <c r="N745" s="15" t="str">
        <f aca="false">IF($J745="","",IF($J745&gt;0,$M745/$J745,""))</f>
        <v/>
      </c>
      <c r="O745" s="12"/>
      <c r="P745" s="12"/>
      <c r="Q745" s="11"/>
      <c r="R745" s="11"/>
      <c r="S745" s="12"/>
      <c r="T745" s="16" t="str">
        <f aca="false">IF($J745="","",IF($C745="",1,$C745))</f>
        <v/>
      </c>
    </row>
    <row r="746" customFormat="false" ht="15" hidden="false" customHeight="false" outlineLevel="0" collapsed="false">
      <c r="A746" s="7"/>
      <c r="B746" s="8"/>
      <c r="C746" s="9"/>
      <c r="D746" s="10"/>
      <c r="E746" s="11"/>
      <c r="F746" s="11"/>
      <c r="G746" s="8"/>
      <c r="H746" s="11"/>
      <c r="I746" s="12"/>
      <c r="J746" s="13" t="str">
        <f aca="false">IF(OR($A746="",$D746=""),"",IF($C746="",1,$C746)*$D746+N($E746)-N($F746))</f>
        <v/>
      </c>
      <c r="K746" s="13" t="str">
        <f aca="false">IF($J746="","",IF($R746&lt;&gt;"",$R746,IF($G746="",0,MAX(IFERROR(INDEX(Settings!$D$6:$D$15,MATCH($G746,Settings!$A$6:$A$15,0)),0),$J746*IFERROR(INDEX(Settings!$B$6:$B$15,MATCH($G746,Settings!$A$6:$A$15,0)),0)+IFERROR(INDEX(Settings!$C$6:$C$15,MATCH($G746,Settings!$A$6:$A$15,0)),0)))))</f>
        <v/>
      </c>
      <c r="L746" s="13" t="str">
        <f aca="false">IF($J746="","",IF($C746="",1,$C746)*IF($Q746&lt;&gt;"",$Q746,IFERROR(INDEX(Products!$D$5:$D$54,MATCH($B746,Products!$A$5:$A$54,0)),0)))</f>
        <v/>
      </c>
      <c r="M746" s="14" t="str">
        <f aca="false">IF($J746="","",$J746-$K746-N($H746)-$L746)</f>
        <v/>
      </c>
      <c r="N746" s="15" t="str">
        <f aca="false">IF($J746="","",IF($J746&gt;0,$M746/$J746,""))</f>
        <v/>
      </c>
      <c r="O746" s="12"/>
      <c r="P746" s="12"/>
      <c r="Q746" s="11"/>
      <c r="R746" s="11"/>
      <c r="S746" s="12"/>
      <c r="T746" s="16" t="str">
        <f aca="false">IF($J746="","",IF($C746="",1,$C746))</f>
        <v/>
      </c>
    </row>
    <row r="747" customFormat="false" ht="15" hidden="false" customHeight="false" outlineLevel="0" collapsed="false">
      <c r="A747" s="7"/>
      <c r="B747" s="8"/>
      <c r="C747" s="9"/>
      <c r="D747" s="10"/>
      <c r="E747" s="11"/>
      <c r="F747" s="11"/>
      <c r="G747" s="8"/>
      <c r="H747" s="11"/>
      <c r="I747" s="12"/>
      <c r="J747" s="13" t="str">
        <f aca="false">IF(OR($A747="",$D747=""),"",IF($C747="",1,$C747)*$D747+N($E747)-N($F747))</f>
        <v/>
      </c>
      <c r="K747" s="13" t="str">
        <f aca="false">IF($J747="","",IF($R747&lt;&gt;"",$R747,IF($G747="",0,MAX(IFERROR(INDEX(Settings!$D$6:$D$15,MATCH($G747,Settings!$A$6:$A$15,0)),0),$J747*IFERROR(INDEX(Settings!$B$6:$B$15,MATCH($G747,Settings!$A$6:$A$15,0)),0)+IFERROR(INDEX(Settings!$C$6:$C$15,MATCH($G747,Settings!$A$6:$A$15,0)),0)))))</f>
        <v/>
      </c>
      <c r="L747" s="13" t="str">
        <f aca="false">IF($J747="","",IF($C747="",1,$C747)*IF($Q747&lt;&gt;"",$Q747,IFERROR(INDEX(Products!$D$5:$D$54,MATCH($B747,Products!$A$5:$A$54,0)),0)))</f>
        <v/>
      </c>
      <c r="M747" s="14" t="str">
        <f aca="false">IF($J747="","",$J747-$K747-N($H747)-$L747)</f>
        <v/>
      </c>
      <c r="N747" s="15" t="str">
        <f aca="false">IF($J747="","",IF($J747&gt;0,$M747/$J747,""))</f>
        <v/>
      </c>
      <c r="O747" s="12"/>
      <c r="P747" s="12"/>
      <c r="Q747" s="11"/>
      <c r="R747" s="11"/>
      <c r="S747" s="12"/>
      <c r="T747" s="16" t="str">
        <f aca="false">IF($J747="","",IF($C747="",1,$C747))</f>
        <v/>
      </c>
    </row>
    <row r="748" customFormat="false" ht="15" hidden="false" customHeight="false" outlineLevel="0" collapsed="false">
      <c r="A748" s="7"/>
      <c r="B748" s="8"/>
      <c r="C748" s="9"/>
      <c r="D748" s="10"/>
      <c r="E748" s="11"/>
      <c r="F748" s="11"/>
      <c r="G748" s="8"/>
      <c r="H748" s="11"/>
      <c r="I748" s="12"/>
      <c r="J748" s="13" t="str">
        <f aca="false">IF(OR($A748="",$D748=""),"",IF($C748="",1,$C748)*$D748+N($E748)-N($F748))</f>
        <v/>
      </c>
      <c r="K748" s="13" t="str">
        <f aca="false">IF($J748="","",IF($R748&lt;&gt;"",$R748,IF($G748="",0,MAX(IFERROR(INDEX(Settings!$D$6:$D$15,MATCH($G748,Settings!$A$6:$A$15,0)),0),$J748*IFERROR(INDEX(Settings!$B$6:$B$15,MATCH($G748,Settings!$A$6:$A$15,0)),0)+IFERROR(INDEX(Settings!$C$6:$C$15,MATCH($G748,Settings!$A$6:$A$15,0)),0)))))</f>
        <v/>
      </c>
      <c r="L748" s="13" t="str">
        <f aca="false">IF($J748="","",IF($C748="",1,$C748)*IF($Q748&lt;&gt;"",$Q748,IFERROR(INDEX(Products!$D$5:$D$54,MATCH($B748,Products!$A$5:$A$54,0)),0)))</f>
        <v/>
      </c>
      <c r="M748" s="14" t="str">
        <f aca="false">IF($J748="","",$J748-$K748-N($H748)-$L748)</f>
        <v/>
      </c>
      <c r="N748" s="15" t="str">
        <f aca="false">IF($J748="","",IF($J748&gt;0,$M748/$J748,""))</f>
        <v/>
      </c>
      <c r="O748" s="12"/>
      <c r="P748" s="12"/>
      <c r="Q748" s="11"/>
      <c r="R748" s="11"/>
      <c r="S748" s="12"/>
      <c r="T748" s="16" t="str">
        <f aca="false">IF($J748="","",IF($C748="",1,$C748))</f>
        <v/>
      </c>
    </row>
    <row r="749" customFormat="false" ht="15" hidden="false" customHeight="false" outlineLevel="0" collapsed="false">
      <c r="A749" s="7"/>
      <c r="B749" s="8"/>
      <c r="C749" s="9"/>
      <c r="D749" s="10"/>
      <c r="E749" s="11"/>
      <c r="F749" s="11"/>
      <c r="G749" s="8"/>
      <c r="H749" s="11"/>
      <c r="I749" s="12"/>
      <c r="J749" s="13" t="str">
        <f aca="false">IF(OR($A749="",$D749=""),"",IF($C749="",1,$C749)*$D749+N($E749)-N($F749))</f>
        <v/>
      </c>
      <c r="K749" s="13" t="str">
        <f aca="false">IF($J749="","",IF($R749&lt;&gt;"",$R749,IF($G749="",0,MAX(IFERROR(INDEX(Settings!$D$6:$D$15,MATCH($G749,Settings!$A$6:$A$15,0)),0),$J749*IFERROR(INDEX(Settings!$B$6:$B$15,MATCH($G749,Settings!$A$6:$A$15,0)),0)+IFERROR(INDEX(Settings!$C$6:$C$15,MATCH($G749,Settings!$A$6:$A$15,0)),0)))))</f>
        <v/>
      </c>
      <c r="L749" s="13" t="str">
        <f aca="false">IF($J749="","",IF($C749="",1,$C749)*IF($Q749&lt;&gt;"",$Q749,IFERROR(INDEX(Products!$D$5:$D$54,MATCH($B749,Products!$A$5:$A$54,0)),0)))</f>
        <v/>
      </c>
      <c r="M749" s="14" t="str">
        <f aca="false">IF($J749="","",$J749-$K749-N($H749)-$L749)</f>
        <v/>
      </c>
      <c r="N749" s="15" t="str">
        <f aca="false">IF($J749="","",IF($J749&gt;0,$M749/$J749,""))</f>
        <v/>
      </c>
      <c r="O749" s="12"/>
      <c r="P749" s="12"/>
      <c r="Q749" s="11"/>
      <c r="R749" s="11"/>
      <c r="S749" s="12"/>
      <c r="T749" s="16" t="str">
        <f aca="false">IF($J749="","",IF($C749="",1,$C749))</f>
        <v/>
      </c>
    </row>
    <row r="750" customFormat="false" ht="15" hidden="false" customHeight="false" outlineLevel="0" collapsed="false">
      <c r="A750" s="7"/>
      <c r="B750" s="8"/>
      <c r="C750" s="9"/>
      <c r="D750" s="10"/>
      <c r="E750" s="11"/>
      <c r="F750" s="11"/>
      <c r="G750" s="8"/>
      <c r="H750" s="11"/>
      <c r="I750" s="12"/>
      <c r="J750" s="13" t="str">
        <f aca="false">IF(OR($A750="",$D750=""),"",IF($C750="",1,$C750)*$D750+N($E750)-N($F750))</f>
        <v/>
      </c>
      <c r="K750" s="13" t="str">
        <f aca="false">IF($J750="","",IF($R750&lt;&gt;"",$R750,IF($G750="",0,MAX(IFERROR(INDEX(Settings!$D$6:$D$15,MATCH($G750,Settings!$A$6:$A$15,0)),0),$J750*IFERROR(INDEX(Settings!$B$6:$B$15,MATCH($G750,Settings!$A$6:$A$15,0)),0)+IFERROR(INDEX(Settings!$C$6:$C$15,MATCH($G750,Settings!$A$6:$A$15,0)),0)))))</f>
        <v/>
      </c>
      <c r="L750" s="13" t="str">
        <f aca="false">IF($J750="","",IF($C750="",1,$C750)*IF($Q750&lt;&gt;"",$Q750,IFERROR(INDEX(Products!$D$5:$D$54,MATCH($B750,Products!$A$5:$A$54,0)),0)))</f>
        <v/>
      </c>
      <c r="M750" s="14" t="str">
        <f aca="false">IF($J750="","",$J750-$K750-N($H750)-$L750)</f>
        <v/>
      </c>
      <c r="N750" s="15" t="str">
        <f aca="false">IF($J750="","",IF($J750&gt;0,$M750/$J750,""))</f>
        <v/>
      </c>
      <c r="O750" s="12"/>
      <c r="P750" s="12"/>
      <c r="Q750" s="11"/>
      <c r="R750" s="11"/>
      <c r="S750" s="12"/>
      <c r="T750" s="16" t="str">
        <f aca="false">IF($J750="","",IF($C750="",1,$C750))</f>
        <v/>
      </c>
    </row>
    <row r="751" customFormat="false" ht="15" hidden="false" customHeight="false" outlineLevel="0" collapsed="false">
      <c r="A751" s="7"/>
      <c r="B751" s="8"/>
      <c r="C751" s="9"/>
      <c r="D751" s="10"/>
      <c r="E751" s="11"/>
      <c r="F751" s="11"/>
      <c r="G751" s="8"/>
      <c r="H751" s="11"/>
      <c r="I751" s="12"/>
      <c r="J751" s="13" t="str">
        <f aca="false">IF(OR($A751="",$D751=""),"",IF($C751="",1,$C751)*$D751+N($E751)-N($F751))</f>
        <v/>
      </c>
      <c r="K751" s="13" t="str">
        <f aca="false">IF($J751="","",IF($R751&lt;&gt;"",$R751,IF($G751="",0,MAX(IFERROR(INDEX(Settings!$D$6:$D$15,MATCH($G751,Settings!$A$6:$A$15,0)),0),$J751*IFERROR(INDEX(Settings!$B$6:$B$15,MATCH($G751,Settings!$A$6:$A$15,0)),0)+IFERROR(INDEX(Settings!$C$6:$C$15,MATCH($G751,Settings!$A$6:$A$15,0)),0)))))</f>
        <v/>
      </c>
      <c r="L751" s="13" t="str">
        <f aca="false">IF($J751="","",IF($C751="",1,$C751)*IF($Q751&lt;&gt;"",$Q751,IFERROR(INDEX(Products!$D$5:$D$54,MATCH($B751,Products!$A$5:$A$54,0)),0)))</f>
        <v/>
      </c>
      <c r="M751" s="14" t="str">
        <f aca="false">IF($J751="","",$J751-$K751-N($H751)-$L751)</f>
        <v/>
      </c>
      <c r="N751" s="15" t="str">
        <f aca="false">IF($J751="","",IF($J751&gt;0,$M751/$J751,""))</f>
        <v/>
      </c>
      <c r="O751" s="12"/>
      <c r="P751" s="12"/>
      <c r="Q751" s="11"/>
      <c r="R751" s="11"/>
      <c r="S751" s="12"/>
      <c r="T751" s="16" t="str">
        <f aca="false">IF($J751="","",IF($C751="",1,$C751))</f>
        <v/>
      </c>
    </row>
    <row r="752" customFormat="false" ht="15" hidden="false" customHeight="false" outlineLevel="0" collapsed="false">
      <c r="A752" s="7"/>
      <c r="B752" s="8"/>
      <c r="C752" s="9"/>
      <c r="D752" s="10"/>
      <c r="E752" s="11"/>
      <c r="F752" s="11"/>
      <c r="G752" s="8"/>
      <c r="H752" s="11"/>
      <c r="I752" s="12"/>
      <c r="J752" s="13" t="str">
        <f aca="false">IF(OR($A752="",$D752=""),"",IF($C752="",1,$C752)*$D752+N($E752)-N($F752))</f>
        <v/>
      </c>
      <c r="K752" s="13" t="str">
        <f aca="false">IF($J752="","",IF($R752&lt;&gt;"",$R752,IF($G752="",0,MAX(IFERROR(INDEX(Settings!$D$6:$D$15,MATCH($G752,Settings!$A$6:$A$15,0)),0),$J752*IFERROR(INDEX(Settings!$B$6:$B$15,MATCH($G752,Settings!$A$6:$A$15,0)),0)+IFERROR(INDEX(Settings!$C$6:$C$15,MATCH($G752,Settings!$A$6:$A$15,0)),0)))))</f>
        <v/>
      </c>
      <c r="L752" s="13" t="str">
        <f aca="false">IF($J752="","",IF($C752="",1,$C752)*IF($Q752&lt;&gt;"",$Q752,IFERROR(INDEX(Products!$D$5:$D$54,MATCH($B752,Products!$A$5:$A$54,0)),0)))</f>
        <v/>
      </c>
      <c r="M752" s="14" t="str">
        <f aca="false">IF($J752="","",$J752-$K752-N($H752)-$L752)</f>
        <v/>
      </c>
      <c r="N752" s="15" t="str">
        <f aca="false">IF($J752="","",IF($J752&gt;0,$M752/$J752,""))</f>
        <v/>
      </c>
      <c r="O752" s="12"/>
      <c r="P752" s="12"/>
      <c r="Q752" s="11"/>
      <c r="R752" s="11"/>
      <c r="S752" s="12"/>
      <c r="T752" s="16" t="str">
        <f aca="false">IF($J752="","",IF($C752="",1,$C752))</f>
        <v/>
      </c>
    </row>
    <row r="753" customFormat="false" ht="15" hidden="false" customHeight="false" outlineLevel="0" collapsed="false">
      <c r="A753" s="7"/>
      <c r="B753" s="8"/>
      <c r="C753" s="9"/>
      <c r="D753" s="10"/>
      <c r="E753" s="11"/>
      <c r="F753" s="11"/>
      <c r="G753" s="8"/>
      <c r="H753" s="11"/>
      <c r="I753" s="12"/>
      <c r="J753" s="13" t="str">
        <f aca="false">IF(OR($A753="",$D753=""),"",IF($C753="",1,$C753)*$D753+N($E753)-N($F753))</f>
        <v/>
      </c>
      <c r="K753" s="13" t="str">
        <f aca="false">IF($J753="","",IF($R753&lt;&gt;"",$R753,IF($G753="",0,MAX(IFERROR(INDEX(Settings!$D$6:$D$15,MATCH($G753,Settings!$A$6:$A$15,0)),0),$J753*IFERROR(INDEX(Settings!$B$6:$B$15,MATCH($G753,Settings!$A$6:$A$15,0)),0)+IFERROR(INDEX(Settings!$C$6:$C$15,MATCH($G753,Settings!$A$6:$A$15,0)),0)))))</f>
        <v/>
      </c>
      <c r="L753" s="13" t="str">
        <f aca="false">IF($J753="","",IF($C753="",1,$C753)*IF($Q753&lt;&gt;"",$Q753,IFERROR(INDEX(Products!$D$5:$D$54,MATCH($B753,Products!$A$5:$A$54,0)),0)))</f>
        <v/>
      </c>
      <c r="M753" s="14" t="str">
        <f aca="false">IF($J753="","",$J753-$K753-N($H753)-$L753)</f>
        <v/>
      </c>
      <c r="N753" s="15" t="str">
        <f aca="false">IF($J753="","",IF($J753&gt;0,$M753/$J753,""))</f>
        <v/>
      </c>
      <c r="O753" s="12"/>
      <c r="P753" s="12"/>
      <c r="Q753" s="11"/>
      <c r="R753" s="11"/>
      <c r="S753" s="12"/>
      <c r="T753" s="16" t="str">
        <f aca="false">IF($J753="","",IF($C753="",1,$C753))</f>
        <v/>
      </c>
    </row>
    <row r="754" customFormat="false" ht="15" hidden="false" customHeight="false" outlineLevel="0" collapsed="false">
      <c r="A754" s="7"/>
      <c r="B754" s="8"/>
      <c r="C754" s="9"/>
      <c r="D754" s="10"/>
      <c r="E754" s="11"/>
      <c r="F754" s="11"/>
      <c r="G754" s="8"/>
      <c r="H754" s="11"/>
      <c r="I754" s="12"/>
      <c r="J754" s="13" t="str">
        <f aca="false">IF(OR($A754="",$D754=""),"",IF($C754="",1,$C754)*$D754+N($E754)-N($F754))</f>
        <v/>
      </c>
      <c r="K754" s="13" t="str">
        <f aca="false">IF($J754="","",IF($R754&lt;&gt;"",$R754,IF($G754="",0,MAX(IFERROR(INDEX(Settings!$D$6:$D$15,MATCH($G754,Settings!$A$6:$A$15,0)),0),$J754*IFERROR(INDEX(Settings!$B$6:$B$15,MATCH($G754,Settings!$A$6:$A$15,0)),0)+IFERROR(INDEX(Settings!$C$6:$C$15,MATCH($G754,Settings!$A$6:$A$15,0)),0)))))</f>
        <v/>
      </c>
      <c r="L754" s="13" t="str">
        <f aca="false">IF($J754="","",IF($C754="",1,$C754)*IF($Q754&lt;&gt;"",$Q754,IFERROR(INDEX(Products!$D$5:$D$54,MATCH($B754,Products!$A$5:$A$54,0)),0)))</f>
        <v/>
      </c>
      <c r="M754" s="14" t="str">
        <f aca="false">IF($J754="","",$J754-$K754-N($H754)-$L754)</f>
        <v/>
      </c>
      <c r="N754" s="15" t="str">
        <f aca="false">IF($J754="","",IF($J754&gt;0,$M754/$J754,""))</f>
        <v/>
      </c>
      <c r="O754" s="12"/>
      <c r="P754" s="12"/>
      <c r="Q754" s="11"/>
      <c r="R754" s="11"/>
      <c r="S754" s="12"/>
      <c r="T754" s="16" t="str">
        <f aca="false">IF($J754="","",IF($C754="",1,$C754))</f>
        <v/>
      </c>
    </row>
    <row r="755" customFormat="false" ht="15" hidden="false" customHeight="false" outlineLevel="0" collapsed="false">
      <c r="A755" s="7"/>
      <c r="B755" s="8"/>
      <c r="C755" s="9"/>
      <c r="D755" s="10"/>
      <c r="E755" s="11"/>
      <c r="F755" s="11"/>
      <c r="G755" s="8"/>
      <c r="H755" s="11"/>
      <c r="I755" s="12"/>
      <c r="J755" s="13" t="str">
        <f aca="false">IF(OR($A755="",$D755=""),"",IF($C755="",1,$C755)*$D755+N($E755)-N($F755))</f>
        <v/>
      </c>
      <c r="K755" s="13" t="str">
        <f aca="false">IF($J755="","",IF($R755&lt;&gt;"",$R755,IF($G755="",0,MAX(IFERROR(INDEX(Settings!$D$6:$D$15,MATCH($G755,Settings!$A$6:$A$15,0)),0),$J755*IFERROR(INDEX(Settings!$B$6:$B$15,MATCH($G755,Settings!$A$6:$A$15,0)),0)+IFERROR(INDEX(Settings!$C$6:$C$15,MATCH($G755,Settings!$A$6:$A$15,0)),0)))))</f>
        <v/>
      </c>
      <c r="L755" s="13" t="str">
        <f aca="false">IF($J755="","",IF($C755="",1,$C755)*IF($Q755&lt;&gt;"",$Q755,IFERROR(INDEX(Products!$D$5:$D$54,MATCH($B755,Products!$A$5:$A$54,0)),0)))</f>
        <v/>
      </c>
      <c r="M755" s="14" t="str">
        <f aca="false">IF($J755="","",$J755-$K755-N($H755)-$L755)</f>
        <v/>
      </c>
      <c r="N755" s="15" t="str">
        <f aca="false">IF($J755="","",IF($J755&gt;0,$M755/$J755,""))</f>
        <v/>
      </c>
      <c r="O755" s="12"/>
      <c r="P755" s="12"/>
      <c r="Q755" s="11"/>
      <c r="R755" s="11"/>
      <c r="S755" s="12"/>
      <c r="T755" s="16" t="str">
        <f aca="false">IF($J755="","",IF($C755="",1,$C755))</f>
        <v/>
      </c>
    </row>
    <row r="756" customFormat="false" ht="15" hidden="false" customHeight="false" outlineLevel="0" collapsed="false">
      <c r="A756" s="7"/>
      <c r="B756" s="8"/>
      <c r="C756" s="9"/>
      <c r="D756" s="10"/>
      <c r="E756" s="11"/>
      <c r="F756" s="11"/>
      <c r="G756" s="8"/>
      <c r="H756" s="11"/>
      <c r="I756" s="12"/>
      <c r="J756" s="13" t="str">
        <f aca="false">IF(OR($A756="",$D756=""),"",IF($C756="",1,$C756)*$D756+N($E756)-N($F756))</f>
        <v/>
      </c>
      <c r="K756" s="13" t="str">
        <f aca="false">IF($J756="","",IF($R756&lt;&gt;"",$R756,IF($G756="",0,MAX(IFERROR(INDEX(Settings!$D$6:$D$15,MATCH($G756,Settings!$A$6:$A$15,0)),0),$J756*IFERROR(INDEX(Settings!$B$6:$B$15,MATCH($G756,Settings!$A$6:$A$15,0)),0)+IFERROR(INDEX(Settings!$C$6:$C$15,MATCH($G756,Settings!$A$6:$A$15,0)),0)))))</f>
        <v/>
      </c>
      <c r="L756" s="13" t="str">
        <f aca="false">IF($J756="","",IF($C756="",1,$C756)*IF($Q756&lt;&gt;"",$Q756,IFERROR(INDEX(Products!$D$5:$D$54,MATCH($B756,Products!$A$5:$A$54,0)),0)))</f>
        <v/>
      </c>
      <c r="M756" s="14" t="str">
        <f aca="false">IF($J756="","",$J756-$K756-N($H756)-$L756)</f>
        <v/>
      </c>
      <c r="N756" s="15" t="str">
        <f aca="false">IF($J756="","",IF($J756&gt;0,$M756/$J756,""))</f>
        <v/>
      </c>
      <c r="O756" s="12"/>
      <c r="P756" s="12"/>
      <c r="Q756" s="11"/>
      <c r="R756" s="11"/>
      <c r="S756" s="12"/>
      <c r="T756" s="16" t="str">
        <f aca="false">IF($J756="","",IF($C756="",1,$C756))</f>
        <v/>
      </c>
    </row>
    <row r="757" customFormat="false" ht="15" hidden="false" customHeight="false" outlineLevel="0" collapsed="false">
      <c r="A757" s="7"/>
      <c r="B757" s="8"/>
      <c r="C757" s="9"/>
      <c r="D757" s="10"/>
      <c r="E757" s="11"/>
      <c r="F757" s="11"/>
      <c r="G757" s="8"/>
      <c r="H757" s="11"/>
      <c r="I757" s="12"/>
      <c r="J757" s="13" t="str">
        <f aca="false">IF(OR($A757="",$D757=""),"",IF($C757="",1,$C757)*$D757+N($E757)-N($F757))</f>
        <v/>
      </c>
      <c r="K757" s="13" t="str">
        <f aca="false">IF($J757="","",IF($R757&lt;&gt;"",$R757,IF($G757="",0,MAX(IFERROR(INDEX(Settings!$D$6:$D$15,MATCH($G757,Settings!$A$6:$A$15,0)),0),$J757*IFERROR(INDEX(Settings!$B$6:$B$15,MATCH($G757,Settings!$A$6:$A$15,0)),0)+IFERROR(INDEX(Settings!$C$6:$C$15,MATCH($G757,Settings!$A$6:$A$15,0)),0)))))</f>
        <v/>
      </c>
      <c r="L757" s="13" t="str">
        <f aca="false">IF($J757="","",IF($C757="",1,$C757)*IF($Q757&lt;&gt;"",$Q757,IFERROR(INDEX(Products!$D$5:$D$54,MATCH($B757,Products!$A$5:$A$54,0)),0)))</f>
        <v/>
      </c>
      <c r="M757" s="14" t="str">
        <f aca="false">IF($J757="","",$J757-$K757-N($H757)-$L757)</f>
        <v/>
      </c>
      <c r="N757" s="15" t="str">
        <f aca="false">IF($J757="","",IF($J757&gt;0,$M757/$J757,""))</f>
        <v/>
      </c>
      <c r="O757" s="12"/>
      <c r="P757" s="12"/>
      <c r="Q757" s="11"/>
      <c r="R757" s="11"/>
      <c r="S757" s="12"/>
      <c r="T757" s="16" t="str">
        <f aca="false">IF($J757="","",IF($C757="",1,$C757))</f>
        <v/>
      </c>
    </row>
    <row r="758" customFormat="false" ht="15" hidden="false" customHeight="false" outlineLevel="0" collapsed="false">
      <c r="A758" s="7"/>
      <c r="B758" s="8"/>
      <c r="C758" s="9"/>
      <c r="D758" s="10"/>
      <c r="E758" s="11"/>
      <c r="F758" s="11"/>
      <c r="G758" s="8"/>
      <c r="H758" s="11"/>
      <c r="I758" s="12"/>
      <c r="J758" s="13" t="str">
        <f aca="false">IF(OR($A758="",$D758=""),"",IF($C758="",1,$C758)*$D758+N($E758)-N($F758))</f>
        <v/>
      </c>
      <c r="K758" s="13" t="str">
        <f aca="false">IF($J758="","",IF($R758&lt;&gt;"",$R758,IF($G758="",0,MAX(IFERROR(INDEX(Settings!$D$6:$D$15,MATCH($G758,Settings!$A$6:$A$15,0)),0),$J758*IFERROR(INDEX(Settings!$B$6:$B$15,MATCH($G758,Settings!$A$6:$A$15,0)),0)+IFERROR(INDEX(Settings!$C$6:$C$15,MATCH($G758,Settings!$A$6:$A$15,0)),0)))))</f>
        <v/>
      </c>
      <c r="L758" s="13" t="str">
        <f aca="false">IF($J758="","",IF($C758="",1,$C758)*IF($Q758&lt;&gt;"",$Q758,IFERROR(INDEX(Products!$D$5:$D$54,MATCH($B758,Products!$A$5:$A$54,0)),0)))</f>
        <v/>
      </c>
      <c r="M758" s="14" t="str">
        <f aca="false">IF($J758="","",$J758-$K758-N($H758)-$L758)</f>
        <v/>
      </c>
      <c r="N758" s="15" t="str">
        <f aca="false">IF($J758="","",IF($J758&gt;0,$M758/$J758,""))</f>
        <v/>
      </c>
      <c r="O758" s="12"/>
      <c r="P758" s="12"/>
      <c r="Q758" s="11"/>
      <c r="R758" s="11"/>
      <c r="S758" s="12"/>
      <c r="T758" s="16" t="str">
        <f aca="false">IF($J758="","",IF($C758="",1,$C758))</f>
        <v/>
      </c>
    </row>
    <row r="759" customFormat="false" ht="15" hidden="false" customHeight="false" outlineLevel="0" collapsed="false">
      <c r="A759" s="7"/>
      <c r="B759" s="8"/>
      <c r="C759" s="9"/>
      <c r="D759" s="10"/>
      <c r="E759" s="11"/>
      <c r="F759" s="11"/>
      <c r="G759" s="8"/>
      <c r="H759" s="11"/>
      <c r="I759" s="12"/>
      <c r="J759" s="13" t="str">
        <f aca="false">IF(OR($A759="",$D759=""),"",IF($C759="",1,$C759)*$D759+N($E759)-N($F759))</f>
        <v/>
      </c>
      <c r="K759" s="13" t="str">
        <f aca="false">IF($J759="","",IF($R759&lt;&gt;"",$R759,IF($G759="",0,MAX(IFERROR(INDEX(Settings!$D$6:$D$15,MATCH($G759,Settings!$A$6:$A$15,0)),0),$J759*IFERROR(INDEX(Settings!$B$6:$B$15,MATCH($G759,Settings!$A$6:$A$15,0)),0)+IFERROR(INDEX(Settings!$C$6:$C$15,MATCH($G759,Settings!$A$6:$A$15,0)),0)))))</f>
        <v/>
      </c>
      <c r="L759" s="13" t="str">
        <f aca="false">IF($J759="","",IF($C759="",1,$C759)*IF($Q759&lt;&gt;"",$Q759,IFERROR(INDEX(Products!$D$5:$D$54,MATCH($B759,Products!$A$5:$A$54,0)),0)))</f>
        <v/>
      </c>
      <c r="M759" s="14" t="str">
        <f aca="false">IF($J759="","",$J759-$K759-N($H759)-$L759)</f>
        <v/>
      </c>
      <c r="N759" s="15" t="str">
        <f aca="false">IF($J759="","",IF($J759&gt;0,$M759/$J759,""))</f>
        <v/>
      </c>
      <c r="O759" s="12"/>
      <c r="P759" s="12"/>
      <c r="Q759" s="11"/>
      <c r="R759" s="11"/>
      <c r="S759" s="12"/>
      <c r="T759" s="16" t="str">
        <f aca="false">IF($J759="","",IF($C759="",1,$C759))</f>
        <v/>
      </c>
    </row>
    <row r="760" customFormat="false" ht="15" hidden="false" customHeight="false" outlineLevel="0" collapsed="false">
      <c r="A760" s="7"/>
      <c r="B760" s="8"/>
      <c r="C760" s="9"/>
      <c r="D760" s="10"/>
      <c r="E760" s="11"/>
      <c r="F760" s="11"/>
      <c r="G760" s="8"/>
      <c r="H760" s="11"/>
      <c r="I760" s="12"/>
      <c r="J760" s="13" t="str">
        <f aca="false">IF(OR($A760="",$D760=""),"",IF($C760="",1,$C760)*$D760+N($E760)-N($F760))</f>
        <v/>
      </c>
      <c r="K760" s="13" t="str">
        <f aca="false">IF($J760="","",IF($R760&lt;&gt;"",$R760,IF($G760="",0,MAX(IFERROR(INDEX(Settings!$D$6:$D$15,MATCH($G760,Settings!$A$6:$A$15,0)),0),$J760*IFERROR(INDEX(Settings!$B$6:$B$15,MATCH($G760,Settings!$A$6:$A$15,0)),0)+IFERROR(INDEX(Settings!$C$6:$C$15,MATCH($G760,Settings!$A$6:$A$15,0)),0)))))</f>
        <v/>
      </c>
      <c r="L760" s="13" t="str">
        <f aca="false">IF($J760="","",IF($C760="",1,$C760)*IF($Q760&lt;&gt;"",$Q760,IFERROR(INDEX(Products!$D$5:$D$54,MATCH($B760,Products!$A$5:$A$54,0)),0)))</f>
        <v/>
      </c>
      <c r="M760" s="14" t="str">
        <f aca="false">IF($J760="","",$J760-$K760-N($H760)-$L760)</f>
        <v/>
      </c>
      <c r="N760" s="15" t="str">
        <f aca="false">IF($J760="","",IF($J760&gt;0,$M760/$J760,""))</f>
        <v/>
      </c>
      <c r="O760" s="12"/>
      <c r="P760" s="12"/>
      <c r="Q760" s="11"/>
      <c r="R760" s="11"/>
      <c r="S760" s="12"/>
      <c r="T760" s="16" t="str">
        <f aca="false">IF($J760="","",IF($C760="",1,$C760))</f>
        <v/>
      </c>
    </row>
    <row r="761" customFormat="false" ht="15" hidden="false" customHeight="false" outlineLevel="0" collapsed="false">
      <c r="A761" s="7"/>
      <c r="B761" s="8"/>
      <c r="C761" s="9"/>
      <c r="D761" s="10"/>
      <c r="E761" s="11"/>
      <c r="F761" s="11"/>
      <c r="G761" s="8"/>
      <c r="H761" s="11"/>
      <c r="I761" s="12"/>
      <c r="J761" s="13" t="str">
        <f aca="false">IF(OR($A761="",$D761=""),"",IF($C761="",1,$C761)*$D761+N($E761)-N($F761))</f>
        <v/>
      </c>
      <c r="K761" s="13" t="str">
        <f aca="false">IF($J761="","",IF($R761&lt;&gt;"",$R761,IF($G761="",0,MAX(IFERROR(INDEX(Settings!$D$6:$D$15,MATCH($G761,Settings!$A$6:$A$15,0)),0),$J761*IFERROR(INDEX(Settings!$B$6:$B$15,MATCH($G761,Settings!$A$6:$A$15,0)),0)+IFERROR(INDEX(Settings!$C$6:$C$15,MATCH($G761,Settings!$A$6:$A$15,0)),0)))))</f>
        <v/>
      </c>
      <c r="L761" s="13" t="str">
        <f aca="false">IF($J761="","",IF($C761="",1,$C761)*IF($Q761&lt;&gt;"",$Q761,IFERROR(INDEX(Products!$D$5:$D$54,MATCH($B761,Products!$A$5:$A$54,0)),0)))</f>
        <v/>
      </c>
      <c r="M761" s="14" t="str">
        <f aca="false">IF($J761="","",$J761-$K761-N($H761)-$L761)</f>
        <v/>
      </c>
      <c r="N761" s="15" t="str">
        <f aca="false">IF($J761="","",IF($J761&gt;0,$M761/$J761,""))</f>
        <v/>
      </c>
      <c r="O761" s="12"/>
      <c r="P761" s="12"/>
      <c r="Q761" s="11"/>
      <c r="R761" s="11"/>
      <c r="S761" s="12"/>
      <c r="T761" s="16" t="str">
        <f aca="false">IF($J761="","",IF($C761="",1,$C761))</f>
        <v/>
      </c>
    </row>
    <row r="762" customFormat="false" ht="15" hidden="false" customHeight="false" outlineLevel="0" collapsed="false">
      <c r="A762" s="7"/>
      <c r="B762" s="8"/>
      <c r="C762" s="9"/>
      <c r="D762" s="10"/>
      <c r="E762" s="11"/>
      <c r="F762" s="11"/>
      <c r="G762" s="8"/>
      <c r="H762" s="11"/>
      <c r="I762" s="12"/>
      <c r="J762" s="13" t="str">
        <f aca="false">IF(OR($A762="",$D762=""),"",IF($C762="",1,$C762)*$D762+N($E762)-N($F762))</f>
        <v/>
      </c>
      <c r="K762" s="13" t="str">
        <f aca="false">IF($J762="","",IF($R762&lt;&gt;"",$R762,IF($G762="",0,MAX(IFERROR(INDEX(Settings!$D$6:$D$15,MATCH($G762,Settings!$A$6:$A$15,0)),0),$J762*IFERROR(INDEX(Settings!$B$6:$B$15,MATCH($G762,Settings!$A$6:$A$15,0)),0)+IFERROR(INDEX(Settings!$C$6:$C$15,MATCH($G762,Settings!$A$6:$A$15,0)),0)))))</f>
        <v/>
      </c>
      <c r="L762" s="13" t="str">
        <f aca="false">IF($J762="","",IF($C762="",1,$C762)*IF($Q762&lt;&gt;"",$Q762,IFERROR(INDEX(Products!$D$5:$D$54,MATCH($B762,Products!$A$5:$A$54,0)),0)))</f>
        <v/>
      </c>
      <c r="M762" s="14" t="str">
        <f aca="false">IF($J762="","",$J762-$K762-N($H762)-$L762)</f>
        <v/>
      </c>
      <c r="N762" s="15" t="str">
        <f aca="false">IF($J762="","",IF($J762&gt;0,$M762/$J762,""))</f>
        <v/>
      </c>
      <c r="O762" s="12"/>
      <c r="P762" s="12"/>
      <c r="Q762" s="11"/>
      <c r="R762" s="11"/>
      <c r="S762" s="12"/>
      <c r="T762" s="16" t="str">
        <f aca="false">IF($J762="","",IF($C762="",1,$C762))</f>
        <v/>
      </c>
    </row>
    <row r="763" customFormat="false" ht="15" hidden="false" customHeight="false" outlineLevel="0" collapsed="false">
      <c r="A763" s="7"/>
      <c r="B763" s="8"/>
      <c r="C763" s="9"/>
      <c r="D763" s="10"/>
      <c r="E763" s="11"/>
      <c r="F763" s="11"/>
      <c r="G763" s="8"/>
      <c r="H763" s="11"/>
      <c r="I763" s="12"/>
      <c r="J763" s="13" t="str">
        <f aca="false">IF(OR($A763="",$D763=""),"",IF($C763="",1,$C763)*$D763+N($E763)-N($F763))</f>
        <v/>
      </c>
      <c r="K763" s="13" t="str">
        <f aca="false">IF($J763="","",IF($R763&lt;&gt;"",$R763,IF($G763="",0,MAX(IFERROR(INDEX(Settings!$D$6:$D$15,MATCH($G763,Settings!$A$6:$A$15,0)),0),$J763*IFERROR(INDEX(Settings!$B$6:$B$15,MATCH($G763,Settings!$A$6:$A$15,0)),0)+IFERROR(INDEX(Settings!$C$6:$C$15,MATCH($G763,Settings!$A$6:$A$15,0)),0)))))</f>
        <v/>
      </c>
      <c r="L763" s="13" t="str">
        <f aca="false">IF($J763="","",IF($C763="",1,$C763)*IF($Q763&lt;&gt;"",$Q763,IFERROR(INDEX(Products!$D$5:$D$54,MATCH($B763,Products!$A$5:$A$54,0)),0)))</f>
        <v/>
      </c>
      <c r="M763" s="14" t="str">
        <f aca="false">IF($J763="","",$J763-$K763-N($H763)-$L763)</f>
        <v/>
      </c>
      <c r="N763" s="15" t="str">
        <f aca="false">IF($J763="","",IF($J763&gt;0,$M763/$J763,""))</f>
        <v/>
      </c>
      <c r="O763" s="12"/>
      <c r="P763" s="12"/>
      <c r="Q763" s="11"/>
      <c r="R763" s="11"/>
      <c r="S763" s="12"/>
      <c r="T763" s="16" t="str">
        <f aca="false">IF($J763="","",IF($C763="",1,$C763))</f>
        <v/>
      </c>
    </row>
    <row r="764" customFormat="false" ht="15" hidden="false" customHeight="false" outlineLevel="0" collapsed="false">
      <c r="A764" s="7"/>
      <c r="B764" s="8"/>
      <c r="C764" s="9"/>
      <c r="D764" s="10"/>
      <c r="E764" s="11"/>
      <c r="F764" s="11"/>
      <c r="G764" s="8"/>
      <c r="H764" s="11"/>
      <c r="I764" s="12"/>
      <c r="J764" s="13" t="str">
        <f aca="false">IF(OR($A764="",$D764=""),"",IF($C764="",1,$C764)*$D764+N($E764)-N($F764))</f>
        <v/>
      </c>
      <c r="K764" s="13" t="str">
        <f aca="false">IF($J764="","",IF($R764&lt;&gt;"",$R764,IF($G764="",0,MAX(IFERROR(INDEX(Settings!$D$6:$D$15,MATCH($G764,Settings!$A$6:$A$15,0)),0),$J764*IFERROR(INDEX(Settings!$B$6:$B$15,MATCH($G764,Settings!$A$6:$A$15,0)),0)+IFERROR(INDEX(Settings!$C$6:$C$15,MATCH($G764,Settings!$A$6:$A$15,0)),0)))))</f>
        <v/>
      </c>
      <c r="L764" s="13" t="str">
        <f aca="false">IF($J764="","",IF($C764="",1,$C764)*IF($Q764&lt;&gt;"",$Q764,IFERROR(INDEX(Products!$D$5:$D$54,MATCH($B764,Products!$A$5:$A$54,0)),0)))</f>
        <v/>
      </c>
      <c r="M764" s="14" t="str">
        <f aca="false">IF($J764="","",$J764-$K764-N($H764)-$L764)</f>
        <v/>
      </c>
      <c r="N764" s="15" t="str">
        <f aca="false">IF($J764="","",IF($J764&gt;0,$M764/$J764,""))</f>
        <v/>
      </c>
      <c r="O764" s="12"/>
      <c r="P764" s="12"/>
      <c r="Q764" s="11"/>
      <c r="R764" s="11"/>
      <c r="S764" s="12"/>
      <c r="T764" s="16" t="str">
        <f aca="false">IF($J764="","",IF($C764="",1,$C764))</f>
        <v/>
      </c>
    </row>
    <row r="765" customFormat="false" ht="15" hidden="false" customHeight="false" outlineLevel="0" collapsed="false">
      <c r="A765" s="7"/>
      <c r="B765" s="8"/>
      <c r="C765" s="9"/>
      <c r="D765" s="10"/>
      <c r="E765" s="11"/>
      <c r="F765" s="11"/>
      <c r="G765" s="8"/>
      <c r="H765" s="11"/>
      <c r="I765" s="12"/>
      <c r="J765" s="13" t="str">
        <f aca="false">IF(OR($A765="",$D765=""),"",IF($C765="",1,$C765)*$D765+N($E765)-N($F765))</f>
        <v/>
      </c>
      <c r="K765" s="13" t="str">
        <f aca="false">IF($J765="","",IF($R765&lt;&gt;"",$R765,IF($G765="",0,MAX(IFERROR(INDEX(Settings!$D$6:$D$15,MATCH($G765,Settings!$A$6:$A$15,0)),0),$J765*IFERROR(INDEX(Settings!$B$6:$B$15,MATCH($G765,Settings!$A$6:$A$15,0)),0)+IFERROR(INDEX(Settings!$C$6:$C$15,MATCH($G765,Settings!$A$6:$A$15,0)),0)))))</f>
        <v/>
      </c>
      <c r="L765" s="13" t="str">
        <f aca="false">IF($J765="","",IF($C765="",1,$C765)*IF($Q765&lt;&gt;"",$Q765,IFERROR(INDEX(Products!$D$5:$D$54,MATCH($B765,Products!$A$5:$A$54,0)),0)))</f>
        <v/>
      </c>
      <c r="M765" s="14" t="str">
        <f aca="false">IF($J765="","",$J765-$K765-N($H765)-$L765)</f>
        <v/>
      </c>
      <c r="N765" s="15" t="str">
        <f aca="false">IF($J765="","",IF($J765&gt;0,$M765/$J765,""))</f>
        <v/>
      </c>
      <c r="O765" s="12"/>
      <c r="P765" s="12"/>
      <c r="Q765" s="11"/>
      <c r="R765" s="11"/>
      <c r="S765" s="12"/>
      <c r="T765" s="16" t="str">
        <f aca="false">IF($J765="","",IF($C765="",1,$C765))</f>
        <v/>
      </c>
    </row>
    <row r="766" customFormat="false" ht="15" hidden="false" customHeight="false" outlineLevel="0" collapsed="false">
      <c r="A766" s="7"/>
      <c r="B766" s="8"/>
      <c r="C766" s="9"/>
      <c r="D766" s="10"/>
      <c r="E766" s="11"/>
      <c r="F766" s="11"/>
      <c r="G766" s="8"/>
      <c r="H766" s="11"/>
      <c r="I766" s="12"/>
      <c r="J766" s="13" t="str">
        <f aca="false">IF(OR($A766="",$D766=""),"",IF($C766="",1,$C766)*$D766+N($E766)-N($F766))</f>
        <v/>
      </c>
      <c r="K766" s="13" t="str">
        <f aca="false">IF($J766="","",IF($R766&lt;&gt;"",$R766,IF($G766="",0,MAX(IFERROR(INDEX(Settings!$D$6:$D$15,MATCH($G766,Settings!$A$6:$A$15,0)),0),$J766*IFERROR(INDEX(Settings!$B$6:$B$15,MATCH($G766,Settings!$A$6:$A$15,0)),0)+IFERROR(INDEX(Settings!$C$6:$C$15,MATCH($G766,Settings!$A$6:$A$15,0)),0)))))</f>
        <v/>
      </c>
      <c r="L766" s="13" t="str">
        <f aca="false">IF($J766="","",IF($C766="",1,$C766)*IF($Q766&lt;&gt;"",$Q766,IFERROR(INDEX(Products!$D$5:$D$54,MATCH($B766,Products!$A$5:$A$54,0)),0)))</f>
        <v/>
      </c>
      <c r="M766" s="14" t="str">
        <f aca="false">IF($J766="","",$J766-$K766-N($H766)-$L766)</f>
        <v/>
      </c>
      <c r="N766" s="15" t="str">
        <f aca="false">IF($J766="","",IF($J766&gt;0,$M766/$J766,""))</f>
        <v/>
      </c>
      <c r="O766" s="12"/>
      <c r="P766" s="12"/>
      <c r="Q766" s="11"/>
      <c r="R766" s="11"/>
      <c r="S766" s="12"/>
      <c r="T766" s="16" t="str">
        <f aca="false">IF($J766="","",IF($C766="",1,$C766))</f>
        <v/>
      </c>
    </row>
    <row r="767" customFormat="false" ht="15" hidden="false" customHeight="false" outlineLevel="0" collapsed="false">
      <c r="A767" s="7"/>
      <c r="B767" s="8"/>
      <c r="C767" s="9"/>
      <c r="D767" s="10"/>
      <c r="E767" s="11"/>
      <c r="F767" s="11"/>
      <c r="G767" s="8"/>
      <c r="H767" s="11"/>
      <c r="I767" s="12"/>
      <c r="J767" s="13" t="str">
        <f aca="false">IF(OR($A767="",$D767=""),"",IF($C767="",1,$C767)*$D767+N($E767)-N($F767))</f>
        <v/>
      </c>
      <c r="K767" s="13" t="str">
        <f aca="false">IF($J767="","",IF($R767&lt;&gt;"",$R767,IF($G767="",0,MAX(IFERROR(INDEX(Settings!$D$6:$D$15,MATCH($G767,Settings!$A$6:$A$15,0)),0),$J767*IFERROR(INDEX(Settings!$B$6:$B$15,MATCH($G767,Settings!$A$6:$A$15,0)),0)+IFERROR(INDEX(Settings!$C$6:$C$15,MATCH($G767,Settings!$A$6:$A$15,0)),0)))))</f>
        <v/>
      </c>
      <c r="L767" s="13" t="str">
        <f aca="false">IF($J767="","",IF($C767="",1,$C767)*IF($Q767&lt;&gt;"",$Q767,IFERROR(INDEX(Products!$D$5:$D$54,MATCH($B767,Products!$A$5:$A$54,0)),0)))</f>
        <v/>
      </c>
      <c r="M767" s="14" t="str">
        <f aca="false">IF($J767="","",$J767-$K767-N($H767)-$L767)</f>
        <v/>
      </c>
      <c r="N767" s="15" t="str">
        <f aca="false">IF($J767="","",IF($J767&gt;0,$M767/$J767,""))</f>
        <v/>
      </c>
      <c r="O767" s="12"/>
      <c r="P767" s="12"/>
      <c r="Q767" s="11"/>
      <c r="R767" s="11"/>
      <c r="S767" s="12"/>
      <c r="T767" s="16" t="str">
        <f aca="false">IF($J767="","",IF($C767="",1,$C767))</f>
        <v/>
      </c>
    </row>
    <row r="768" customFormat="false" ht="15" hidden="false" customHeight="false" outlineLevel="0" collapsed="false">
      <c r="A768" s="7"/>
      <c r="B768" s="8"/>
      <c r="C768" s="9"/>
      <c r="D768" s="10"/>
      <c r="E768" s="11"/>
      <c r="F768" s="11"/>
      <c r="G768" s="8"/>
      <c r="H768" s="11"/>
      <c r="I768" s="12"/>
      <c r="J768" s="13" t="str">
        <f aca="false">IF(OR($A768="",$D768=""),"",IF($C768="",1,$C768)*$D768+N($E768)-N($F768))</f>
        <v/>
      </c>
      <c r="K768" s="13" t="str">
        <f aca="false">IF($J768="","",IF($R768&lt;&gt;"",$R768,IF($G768="",0,MAX(IFERROR(INDEX(Settings!$D$6:$D$15,MATCH($G768,Settings!$A$6:$A$15,0)),0),$J768*IFERROR(INDEX(Settings!$B$6:$B$15,MATCH($G768,Settings!$A$6:$A$15,0)),0)+IFERROR(INDEX(Settings!$C$6:$C$15,MATCH($G768,Settings!$A$6:$A$15,0)),0)))))</f>
        <v/>
      </c>
      <c r="L768" s="13" t="str">
        <f aca="false">IF($J768="","",IF($C768="",1,$C768)*IF($Q768&lt;&gt;"",$Q768,IFERROR(INDEX(Products!$D$5:$D$54,MATCH($B768,Products!$A$5:$A$54,0)),0)))</f>
        <v/>
      </c>
      <c r="M768" s="14" t="str">
        <f aca="false">IF($J768="","",$J768-$K768-N($H768)-$L768)</f>
        <v/>
      </c>
      <c r="N768" s="15" t="str">
        <f aca="false">IF($J768="","",IF($J768&gt;0,$M768/$J768,""))</f>
        <v/>
      </c>
      <c r="O768" s="12"/>
      <c r="P768" s="12"/>
      <c r="Q768" s="11"/>
      <c r="R768" s="11"/>
      <c r="S768" s="12"/>
      <c r="T768" s="16" t="str">
        <f aca="false">IF($J768="","",IF($C768="",1,$C768))</f>
        <v/>
      </c>
    </row>
    <row r="769" customFormat="false" ht="15" hidden="false" customHeight="false" outlineLevel="0" collapsed="false">
      <c r="A769" s="7"/>
      <c r="B769" s="8"/>
      <c r="C769" s="9"/>
      <c r="D769" s="10"/>
      <c r="E769" s="11"/>
      <c r="F769" s="11"/>
      <c r="G769" s="8"/>
      <c r="H769" s="11"/>
      <c r="I769" s="12"/>
      <c r="J769" s="13" t="str">
        <f aca="false">IF(OR($A769="",$D769=""),"",IF($C769="",1,$C769)*$D769+N($E769)-N($F769))</f>
        <v/>
      </c>
      <c r="K769" s="13" t="str">
        <f aca="false">IF($J769="","",IF($R769&lt;&gt;"",$R769,IF($G769="",0,MAX(IFERROR(INDEX(Settings!$D$6:$D$15,MATCH($G769,Settings!$A$6:$A$15,0)),0),$J769*IFERROR(INDEX(Settings!$B$6:$B$15,MATCH($G769,Settings!$A$6:$A$15,0)),0)+IFERROR(INDEX(Settings!$C$6:$C$15,MATCH($G769,Settings!$A$6:$A$15,0)),0)))))</f>
        <v/>
      </c>
      <c r="L769" s="13" t="str">
        <f aca="false">IF($J769="","",IF($C769="",1,$C769)*IF($Q769&lt;&gt;"",$Q769,IFERROR(INDEX(Products!$D$5:$D$54,MATCH($B769,Products!$A$5:$A$54,0)),0)))</f>
        <v/>
      </c>
      <c r="M769" s="14" t="str">
        <f aca="false">IF($J769="","",$J769-$K769-N($H769)-$L769)</f>
        <v/>
      </c>
      <c r="N769" s="15" t="str">
        <f aca="false">IF($J769="","",IF($J769&gt;0,$M769/$J769,""))</f>
        <v/>
      </c>
      <c r="O769" s="12"/>
      <c r="P769" s="12"/>
      <c r="Q769" s="11"/>
      <c r="R769" s="11"/>
      <c r="S769" s="12"/>
      <c r="T769" s="16" t="str">
        <f aca="false">IF($J769="","",IF($C769="",1,$C769))</f>
        <v/>
      </c>
    </row>
    <row r="770" customFormat="false" ht="15" hidden="false" customHeight="false" outlineLevel="0" collapsed="false">
      <c r="A770" s="7"/>
      <c r="B770" s="8"/>
      <c r="C770" s="9"/>
      <c r="D770" s="10"/>
      <c r="E770" s="11"/>
      <c r="F770" s="11"/>
      <c r="G770" s="8"/>
      <c r="H770" s="11"/>
      <c r="I770" s="12"/>
      <c r="J770" s="13" t="str">
        <f aca="false">IF(OR($A770="",$D770=""),"",IF($C770="",1,$C770)*$D770+N($E770)-N($F770))</f>
        <v/>
      </c>
      <c r="K770" s="13" t="str">
        <f aca="false">IF($J770="","",IF($R770&lt;&gt;"",$R770,IF($G770="",0,MAX(IFERROR(INDEX(Settings!$D$6:$D$15,MATCH($G770,Settings!$A$6:$A$15,0)),0),$J770*IFERROR(INDEX(Settings!$B$6:$B$15,MATCH($G770,Settings!$A$6:$A$15,0)),0)+IFERROR(INDEX(Settings!$C$6:$C$15,MATCH($G770,Settings!$A$6:$A$15,0)),0)))))</f>
        <v/>
      </c>
      <c r="L770" s="13" t="str">
        <f aca="false">IF($J770="","",IF($C770="",1,$C770)*IF($Q770&lt;&gt;"",$Q770,IFERROR(INDEX(Products!$D$5:$D$54,MATCH($B770,Products!$A$5:$A$54,0)),0)))</f>
        <v/>
      </c>
      <c r="M770" s="14" t="str">
        <f aca="false">IF($J770="","",$J770-$K770-N($H770)-$L770)</f>
        <v/>
      </c>
      <c r="N770" s="15" t="str">
        <f aca="false">IF($J770="","",IF($J770&gt;0,$M770/$J770,""))</f>
        <v/>
      </c>
      <c r="O770" s="12"/>
      <c r="P770" s="12"/>
      <c r="Q770" s="11"/>
      <c r="R770" s="11"/>
      <c r="S770" s="12"/>
      <c r="T770" s="16" t="str">
        <f aca="false">IF($J770="","",IF($C770="",1,$C770))</f>
        <v/>
      </c>
    </row>
    <row r="771" customFormat="false" ht="15" hidden="false" customHeight="false" outlineLevel="0" collapsed="false">
      <c r="A771" s="7"/>
      <c r="B771" s="8"/>
      <c r="C771" s="9"/>
      <c r="D771" s="10"/>
      <c r="E771" s="11"/>
      <c r="F771" s="11"/>
      <c r="G771" s="8"/>
      <c r="H771" s="11"/>
      <c r="I771" s="12"/>
      <c r="J771" s="13" t="str">
        <f aca="false">IF(OR($A771="",$D771=""),"",IF($C771="",1,$C771)*$D771+N($E771)-N($F771))</f>
        <v/>
      </c>
      <c r="K771" s="13" t="str">
        <f aca="false">IF($J771="","",IF($R771&lt;&gt;"",$R771,IF($G771="",0,MAX(IFERROR(INDEX(Settings!$D$6:$D$15,MATCH($G771,Settings!$A$6:$A$15,0)),0),$J771*IFERROR(INDEX(Settings!$B$6:$B$15,MATCH($G771,Settings!$A$6:$A$15,0)),0)+IFERROR(INDEX(Settings!$C$6:$C$15,MATCH($G771,Settings!$A$6:$A$15,0)),0)))))</f>
        <v/>
      </c>
      <c r="L771" s="13" t="str">
        <f aca="false">IF($J771="","",IF($C771="",1,$C771)*IF($Q771&lt;&gt;"",$Q771,IFERROR(INDEX(Products!$D$5:$D$54,MATCH($B771,Products!$A$5:$A$54,0)),0)))</f>
        <v/>
      </c>
      <c r="M771" s="14" t="str">
        <f aca="false">IF($J771="","",$J771-$K771-N($H771)-$L771)</f>
        <v/>
      </c>
      <c r="N771" s="15" t="str">
        <f aca="false">IF($J771="","",IF($J771&gt;0,$M771/$J771,""))</f>
        <v/>
      </c>
      <c r="O771" s="12"/>
      <c r="P771" s="12"/>
      <c r="Q771" s="11"/>
      <c r="R771" s="11"/>
      <c r="S771" s="12"/>
      <c r="T771" s="16" t="str">
        <f aca="false">IF($J771="","",IF($C771="",1,$C771))</f>
        <v/>
      </c>
    </row>
    <row r="772" customFormat="false" ht="15" hidden="false" customHeight="false" outlineLevel="0" collapsed="false">
      <c r="A772" s="7"/>
      <c r="B772" s="8"/>
      <c r="C772" s="9"/>
      <c r="D772" s="10"/>
      <c r="E772" s="11"/>
      <c r="F772" s="11"/>
      <c r="G772" s="8"/>
      <c r="H772" s="11"/>
      <c r="I772" s="12"/>
      <c r="J772" s="13" t="str">
        <f aca="false">IF(OR($A772="",$D772=""),"",IF($C772="",1,$C772)*$D772+N($E772)-N($F772))</f>
        <v/>
      </c>
      <c r="K772" s="13" t="str">
        <f aca="false">IF($J772="","",IF($R772&lt;&gt;"",$R772,IF($G772="",0,MAX(IFERROR(INDEX(Settings!$D$6:$D$15,MATCH($G772,Settings!$A$6:$A$15,0)),0),$J772*IFERROR(INDEX(Settings!$B$6:$B$15,MATCH($G772,Settings!$A$6:$A$15,0)),0)+IFERROR(INDEX(Settings!$C$6:$C$15,MATCH($G772,Settings!$A$6:$A$15,0)),0)))))</f>
        <v/>
      </c>
      <c r="L772" s="13" t="str">
        <f aca="false">IF($J772="","",IF($C772="",1,$C772)*IF($Q772&lt;&gt;"",$Q772,IFERROR(INDEX(Products!$D$5:$D$54,MATCH($B772,Products!$A$5:$A$54,0)),0)))</f>
        <v/>
      </c>
      <c r="M772" s="14" t="str">
        <f aca="false">IF($J772="","",$J772-$K772-N($H772)-$L772)</f>
        <v/>
      </c>
      <c r="N772" s="15" t="str">
        <f aca="false">IF($J772="","",IF($J772&gt;0,$M772/$J772,""))</f>
        <v/>
      </c>
      <c r="O772" s="12"/>
      <c r="P772" s="12"/>
      <c r="Q772" s="11"/>
      <c r="R772" s="11"/>
      <c r="S772" s="12"/>
      <c r="T772" s="16" t="str">
        <f aca="false">IF($J772="","",IF($C772="",1,$C772))</f>
        <v/>
      </c>
    </row>
    <row r="773" customFormat="false" ht="15" hidden="false" customHeight="false" outlineLevel="0" collapsed="false">
      <c r="A773" s="7"/>
      <c r="B773" s="8"/>
      <c r="C773" s="9"/>
      <c r="D773" s="10"/>
      <c r="E773" s="11"/>
      <c r="F773" s="11"/>
      <c r="G773" s="8"/>
      <c r="H773" s="11"/>
      <c r="I773" s="12"/>
      <c r="J773" s="13" t="str">
        <f aca="false">IF(OR($A773="",$D773=""),"",IF($C773="",1,$C773)*$D773+N($E773)-N($F773))</f>
        <v/>
      </c>
      <c r="K773" s="13" t="str">
        <f aca="false">IF($J773="","",IF($R773&lt;&gt;"",$R773,IF($G773="",0,MAX(IFERROR(INDEX(Settings!$D$6:$D$15,MATCH($G773,Settings!$A$6:$A$15,0)),0),$J773*IFERROR(INDEX(Settings!$B$6:$B$15,MATCH($G773,Settings!$A$6:$A$15,0)),0)+IFERROR(INDEX(Settings!$C$6:$C$15,MATCH($G773,Settings!$A$6:$A$15,0)),0)))))</f>
        <v/>
      </c>
      <c r="L773" s="13" t="str">
        <f aca="false">IF($J773="","",IF($C773="",1,$C773)*IF($Q773&lt;&gt;"",$Q773,IFERROR(INDEX(Products!$D$5:$D$54,MATCH($B773,Products!$A$5:$A$54,0)),0)))</f>
        <v/>
      </c>
      <c r="M773" s="14" t="str">
        <f aca="false">IF($J773="","",$J773-$K773-N($H773)-$L773)</f>
        <v/>
      </c>
      <c r="N773" s="15" t="str">
        <f aca="false">IF($J773="","",IF($J773&gt;0,$M773/$J773,""))</f>
        <v/>
      </c>
      <c r="O773" s="12"/>
      <c r="P773" s="12"/>
      <c r="Q773" s="11"/>
      <c r="R773" s="11"/>
      <c r="S773" s="12"/>
      <c r="T773" s="16" t="str">
        <f aca="false">IF($J773="","",IF($C773="",1,$C773))</f>
        <v/>
      </c>
    </row>
    <row r="774" customFormat="false" ht="15" hidden="false" customHeight="false" outlineLevel="0" collapsed="false">
      <c r="A774" s="7"/>
      <c r="B774" s="8"/>
      <c r="C774" s="9"/>
      <c r="D774" s="10"/>
      <c r="E774" s="11"/>
      <c r="F774" s="11"/>
      <c r="G774" s="8"/>
      <c r="H774" s="11"/>
      <c r="I774" s="12"/>
      <c r="J774" s="13" t="str">
        <f aca="false">IF(OR($A774="",$D774=""),"",IF($C774="",1,$C774)*$D774+N($E774)-N($F774))</f>
        <v/>
      </c>
      <c r="K774" s="13" t="str">
        <f aca="false">IF($J774="","",IF($R774&lt;&gt;"",$R774,IF($G774="",0,MAX(IFERROR(INDEX(Settings!$D$6:$D$15,MATCH($G774,Settings!$A$6:$A$15,0)),0),$J774*IFERROR(INDEX(Settings!$B$6:$B$15,MATCH($G774,Settings!$A$6:$A$15,0)),0)+IFERROR(INDEX(Settings!$C$6:$C$15,MATCH($G774,Settings!$A$6:$A$15,0)),0)))))</f>
        <v/>
      </c>
      <c r="L774" s="13" t="str">
        <f aca="false">IF($J774="","",IF($C774="",1,$C774)*IF($Q774&lt;&gt;"",$Q774,IFERROR(INDEX(Products!$D$5:$D$54,MATCH($B774,Products!$A$5:$A$54,0)),0)))</f>
        <v/>
      </c>
      <c r="M774" s="14" t="str">
        <f aca="false">IF($J774="","",$J774-$K774-N($H774)-$L774)</f>
        <v/>
      </c>
      <c r="N774" s="15" t="str">
        <f aca="false">IF($J774="","",IF($J774&gt;0,$M774/$J774,""))</f>
        <v/>
      </c>
      <c r="O774" s="12"/>
      <c r="P774" s="12"/>
      <c r="Q774" s="11"/>
      <c r="R774" s="11"/>
      <c r="S774" s="12"/>
      <c r="T774" s="16" t="str">
        <f aca="false">IF($J774="","",IF($C774="",1,$C774))</f>
        <v/>
      </c>
    </row>
    <row r="775" customFormat="false" ht="15" hidden="false" customHeight="false" outlineLevel="0" collapsed="false">
      <c r="A775" s="7"/>
      <c r="B775" s="8"/>
      <c r="C775" s="9"/>
      <c r="D775" s="10"/>
      <c r="E775" s="11"/>
      <c r="F775" s="11"/>
      <c r="G775" s="8"/>
      <c r="H775" s="11"/>
      <c r="I775" s="12"/>
      <c r="J775" s="13" t="str">
        <f aca="false">IF(OR($A775="",$D775=""),"",IF($C775="",1,$C775)*$D775+N($E775)-N($F775))</f>
        <v/>
      </c>
      <c r="K775" s="13" t="str">
        <f aca="false">IF($J775="","",IF($R775&lt;&gt;"",$R775,IF($G775="",0,MAX(IFERROR(INDEX(Settings!$D$6:$D$15,MATCH($G775,Settings!$A$6:$A$15,0)),0),$J775*IFERROR(INDEX(Settings!$B$6:$B$15,MATCH($G775,Settings!$A$6:$A$15,0)),0)+IFERROR(INDEX(Settings!$C$6:$C$15,MATCH($G775,Settings!$A$6:$A$15,0)),0)))))</f>
        <v/>
      </c>
      <c r="L775" s="13" t="str">
        <f aca="false">IF($J775="","",IF($C775="",1,$C775)*IF($Q775&lt;&gt;"",$Q775,IFERROR(INDEX(Products!$D$5:$D$54,MATCH($B775,Products!$A$5:$A$54,0)),0)))</f>
        <v/>
      </c>
      <c r="M775" s="14" t="str">
        <f aca="false">IF($J775="","",$J775-$K775-N($H775)-$L775)</f>
        <v/>
      </c>
      <c r="N775" s="15" t="str">
        <f aca="false">IF($J775="","",IF($J775&gt;0,$M775/$J775,""))</f>
        <v/>
      </c>
      <c r="O775" s="12"/>
      <c r="P775" s="12"/>
      <c r="Q775" s="11"/>
      <c r="R775" s="11"/>
      <c r="S775" s="12"/>
      <c r="T775" s="16" t="str">
        <f aca="false">IF($J775="","",IF($C775="",1,$C775))</f>
        <v/>
      </c>
    </row>
    <row r="776" customFormat="false" ht="15" hidden="false" customHeight="false" outlineLevel="0" collapsed="false">
      <c r="A776" s="7"/>
      <c r="B776" s="8"/>
      <c r="C776" s="9"/>
      <c r="D776" s="10"/>
      <c r="E776" s="11"/>
      <c r="F776" s="11"/>
      <c r="G776" s="8"/>
      <c r="H776" s="11"/>
      <c r="I776" s="12"/>
      <c r="J776" s="13" t="str">
        <f aca="false">IF(OR($A776="",$D776=""),"",IF($C776="",1,$C776)*$D776+N($E776)-N($F776))</f>
        <v/>
      </c>
      <c r="K776" s="13" t="str">
        <f aca="false">IF($J776="","",IF($R776&lt;&gt;"",$R776,IF($G776="",0,MAX(IFERROR(INDEX(Settings!$D$6:$D$15,MATCH($G776,Settings!$A$6:$A$15,0)),0),$J776*IFERROR(INDEX(Settings!$B$6:$B$15,MATCH($G776,Settings!$A$6:$A$15,0)),0)+IFERROR(INDEX(Settings!$C$6:$C$15,MATCH($G776,Settings!$A$6:$A$15,0)),0)))))</f>
        <v/>
      </c>
      <c r="L776" s="13" t="str">
        <f aca="false">IF($J776="","",IF($C776="",1,$C776)*IF($Q776&lt;&gt;"",$Q776,IFERROR(INDEX(Products!$D$5:$D$54,MATCH($B776,Products!$A$5:$A$54,0)),0)))</f>
        <v/>
      </c>
      <c r="M776" s="14" t="str">
        <f aca="false">IF($J776="","",$J776-$K776-N($H776)-$L776)</f>
        <v/>
      </c>
      <c r="N776" s="15" t="str">
        <f aca="false">IF($J776="","",IF($J776&gt;0,$M776/$J776,""))</f>
        <v/>
      </c>
      <c r="O776" s="12"/>
      <c r="P776" s="12"/>
      <c r="Q776" s="11"/>
      <c r="R776" s="11"/>
      <c r="S776" s="12"/>
      <c r="T776" s="16" t="str">
        <f aca="false">IF($J776="","",IF($C776="",1,$C776))</f>
        <v/>
      </c>
    </row>
    <row r="777" customFormat="false" ht="15" hidden="false" customHeight="false" outlineLevel="0" collapsed="false">
      <c r="A777" s="7"/>
      <c r="B777" s="8"/>
      <c r="C777" s="9"/>
      <c r="D777" s="10"/>
      <c r="E777" s="11"/>
      <c r="F777" s="11"/>
      <c r="G777" s="8"/>
      <c r="H777" s="11"/>
      <c r="I777" s="12"/>
      <c r="J777" s="13" t="str">
        <f aca="false">IF(OR($A777="",$D777=""),"",IF($C777="",1,$C777)*$D777+N($E777)-N($F777))</f>
        <v/>
      </c>
      <c r="K777" s="13" t="str">
        <f aca="false">IF($J777="","",IF($R777&lt;&gt;"",$R777,IF($G777="",0,MAX(IFERROR(INDEX(Settings!$D$6:$D$15,MATCH($G777,Settings!$A$6:$A$15,0)),0),$J777*IFERROR(INDEX(Settings!$B$6:$B$15,MATCH($G777,Settings!$A$6:$A$15,0)),0)+IFERROR(INDEX(Settings!$C$6:$C$15,MATCH($G777,Settings!$A$6:$A$15,0)),0)))))</f>
        <v/>
      </c>
      <c r="L777" s="13" t="str">
        <f aca="false">IF($J777="","",IF($C777="",1,$C777)*IF($Q777&lt;&gt;"",$Q777,IFERROR(INDEX(Products!$D$5:$D$54,MATCH($B777,Products!$A$5:$A$54,0)),0)))</f>
        <v/>
      </c>
      <c r="M777" s="14" t="str">
        <f aca="false">IF($J777="","",$J777-$K777-N($H777)-$L777)</f>
        <v/>
      </c>
      <c r="N777" s="15" t="str">
        <f aca="false">IF($J777="","",IF($J777&gt;0,$M777/$J777,""))</f>
        <v/>
      </c>
      <c r="O777" s="12"/>
      <c r="P777" s="12"/>
      <c r="Q777" s="11"/>
      <c r="R777" s="11"/>
      <c r="S777" s="12"/>
      <c r="T777" s="16" t="str">
        <f aca="false">IF($J777="","",IF($C777="",1,$C777))</f>
        <v/>
      </c>
    </row>
    <row r="778" customFormat="false" ht="15" hidden="false" customHeight="false" outlineLevel="0" collapsed="false">
      <c r="A778" s="7"/>
      <c r="B778" s="8"/>
      <c r="C778" s="9"/>
      <c r="D778" s="10"/>
      <c r="E778" s="11"/>
      <c r="F778" s="11"/>
      <c r="G778" s="8"/>
      <c r="H778" s="11"/>
      <c r="I778" s="12"/>
      <c r="J778" s="13" t="str">
        <f aca="false">IF(OR($A778="",$D778=""),"",IF($C778="",1,$C778)*$D778+N($E778)-N($F778))</f>
        <v/>
      </c>
      <c r="K778" s="13" t="str">
        <f aca="false">IF($J778="","",IF($R778&lt;&gt;"",$R778,IF($G778="",0,MAX(IFERROR(INDEX(Settings!$D$6:$D$15,MATCH($G778,Settings!$A$6:$A$15,0)),0),$J778*IFERROR(INDEX(Settings!$B$6:$B$15,MATCH($G778,Settings!$A$6:$A$15,0)),0)+IFERROR(INDEX(Settings!$C$6:$C$15,MATCH($G778,Settings!$A$6:$A$15,0)),0)))))</f>
        <v/>
      </c>
      <c r="L778" s="13" t="str">
        <f aca="false">IF($J778="","",IF($C778="",1,$C778)*IF($Q778&lt;&gt;"",$Q778,IFERROR(INDEX(Products!$D$5:$D$54,MATCH($B778,Products!$A$5:$A$54,0)),0)))</f>
        <v/>
      </c>
      <c r="M778" s="14" t="str">
        <f aca="false">IF($J778="","",$J778-$K778-N($H778)-$L778)</f>
        <v/>
      </c>
      <c r="N778" s="15" t="str">
        <f aca="false">IF($J778="","",IF($J778&gt;0,$M778/$J778,""))</f>
        <v/>
      </c>
      <c r="O778" s="12"/>
      <c r="P778" s="12"/>
      <c r="Q778" s="11"/>
      <c r="R778" s="11"/>
      <c r="S778" s="12"/>
      <c r="T778" s="16" t="str">
        <f aca="false">IF($J778="","",IF($C778="",1,$C778))</f>
        <v/>
      </c>
    </row>
    <row r="779" customFormat="false" ht="15" hidden="false" customHeight="false" outlineLevel="0" collapsed="false">
      <c r="A779" s="7"/>
      <c r="B779" s="8"/>
      <c r="C779" s="9"/>
      <c r="D779" s="10"/>
      <c r="E779" s="11"/>
      <c r="F779" s="11"/>
      <c r="G779" s="8"/>
      <c r="H779" s="11"/>
      <c r="I779" s="12"/>
      <c r="J779" s="13" t="str">
        <f aca="false">IF(OR($A779="",$D779=""),"",IF($C779="",1,$C779)*$D779+N($E779)-N($F779))</f>
        <v/>
      </c>
      <c r="K779" s="13" t="str">
        <f aca="false">IF($J779="","",IF($R779&lt;&gt;"",$R779,IF($G779="",0,MAX(IFERROR(INDEX(Settings!$D$6:$D$15,MATCH($G779,Settings!$A$6:$A$15,0)),0),$J779*IFERROR(INDEX(Settings!$B$6:$B$15,MATCH($G779,Settings!$A$6:$A$15,0)),0)+IFERROR(INDEX(Settings!$C$6:$C$15,MATCH($G779,Settings!$A$6:$A$15,0)),0)))))</f>
        <v/>
      </c>
      <c r="L779" s="13" t="str">
        <f aca="false">IF($J779="","",IF($C779="",1,$C779)*IF($Q779&lt;&gt;"",$Q779,IFERROR(INDEX(Products!$D$5:$D$54,MATCH($B779,Products!$A$5:$A$54,0)),0)))</f>
        <v/>
      </c>
      <c r="M779" s="14" t="str">
        <f aca="false">IF($J779="","",$J779-$K779-N($H779)-$L779)</f>
        <v/>
      </c>
      <c r="N779" s="15" t="str">
        <f aca="false">IF($J779="","",IF($J779&gt;0,$M779/$J779,""))</f>
        <v/>
      </c>
      <c r="O779" s="12"/>
      <c r="P779" s="12"/>
      <c r="Q779" s="11"/>
      <c r="R779" s="11"/>
      <c r="S779" s="12"/>
      <c r="T779" s="16" t="str">
        <f aca="false">IF($J779="","",IF($C779="",1,$C779))</f>
        <v/>
      </c>
    </row>
    <row r="780" customFormat="false" ht="15" hidden="false" customHeight="false" outlineLevel="0" collapsed="false">
      <c r="A780" s="7"/>
      <c r="B780" s="8"/>
      <c r="C780" s="9"/>
      <c r="D780" s="10"/>
      <c r="E780" s="11"/>
      <c r="F780" s="11"/>
      <c r="G780" s="8"/>
      <c r="H780" s="11"/>
      <c r="I780" s="12"/>
      <c r="J780" s="13" t="str">
        <f aca="false">IF(OR($A780="",$D780=""),"",IF($C780="",1,$C780)*$D780+N($E780)-N($F780))</f>
        <v/>
      </c>
      <c r="K780" s="13" t="str">
        <f aca="false">IF($J780="","",IF($R780&lt;&gt;"",$R780,IF($G780="",0,MAX(IFERROR(INDEX(Settings!$D$6:$D$15,MATCH($G780,Settings!$A$6:$A$15,0)),0),$J780*IFERROR(INDEX(Settings!$B$6:$B$15,MATCH($G780,Settings!$A$6:$A$15,0)),0)+IFERROR(INDEX(Settings!$C$6:$C$15,MATCH($G780,Settings!$A$6:$A$15,0)),0)))))</f>
        <v/>
      </c>
      <c r="L780" s="13" t="str">
        <f aca="false">IF($J780="","",IF($C780="",1,$C780)*IF($Q780&lt;&gt;"",$Q780,IFERROR(INDEX(Products!$D$5:$D$54,MATCH($B780,Products!$A$5:$A$54,0)),0)))</f>
        <v/>
      </c>
      <c r="M780" s="14" t="str">
        <f aca="false">IF($J780="","",$J780-$K780-N($H780)-$L780)</f>
        <v/>
      </c>
      <c r="N780" s="15" t="str">
        <f aca="false">IF($J780="","",IF($J780&gt;0,$M780/$J780,""))</f>
        <v/>
      </c>
      <c r="O780" s="12"/>
      <c r="P780" s="12"/>
      <c r="Q780" s="11"/>
      <c r="R780" s="11"/>
      <c r="S780" s="12"/>
      <c r="T780" s="16" t="str">
        <f aca="false">IF($J780="","",IF($C780="",1,$C780))</f>
        <v/>
      </c>
    </row>
    <row r="781" customFormat="false" ht="15" hidden="false" customHeight="false" outlineLevel="0" collapsed="false">
      <c r="A781" s="7"/>
      <c r="B781" s="8"/>
      <c r="C781" s="9"/>
      <c r="D781" s="10"/>
      <c r="E781" s="11"/>
      <c r="F781" s="11"/>
      <c r="G781" s="8"/>
      <c r="H781" s="11"/>
      <c r="I781" s="12"/>
      <c r="J781" s="13" t="str">
        <f aca="false">IF(OR($A781="",$D781=""),"",IF($C781="",1,$C781)*$D781+N($E781)-N($F781))</f>
        <v/>
      </c>
      <c r="K781" s="13" t="str">
        <f aca="false">IF($J781="","",IF($R781&lt;&gt;"",$R781,IF($G781="",0,MAX(IFERROR(INDEX(Settings!$D$6:$D$15,MATCH($G781,Settings!$A$6:$A$15,0)),0),$J781*IFERROR(INDEX(Settings!$B$6:$B$15,MATCH($G781,Settings!$A$6:$A$15,0)),0)+IFERROR(INDEX(Settings!$C$6:$C$15,MATCH($G781,Settings!$A$6:$A$15,0)),0)))))</f>
        <v/>
      </c>
      <c r="L781" s="13" t="str">
        <f aca="false">IF($J781="","",IF($C781="",1,$C781)*IF($Q781&lt;&gt;"",$Q781,IFERROR(INDEX(Products!$D$5:$D$54,MATCH($B781,Products!$A$5:$A$54,0)),0)))</f>
        <v/>
      </c>
      <c r="M781" s="14" t="str">
        <f aca="false">IF($J781="","",$J781-$K781-N($H781)-$L781)</f>
        <v/>
      </c>
      <c r="N781" s="15" t="str">
        <f aca="false">IF($J781="","",IF($J781&gt;0,$M781/$J781,""))</f>
        <v/>
      </c>
      <c r="O781" s="12"/>
      <c r="P781" s="12"/>
      <c r="Q781" s="11"/>
      <c r="R781" s="11"/>
      <c r="S781" s="12"/>
      <c r="T781" s="16" t="str">
        <f aca="false">IF($J781="","",IF($C781="",1,$C781))</f>
        <v/>
      </c>
    </row>
    <row r="782" customFormat="false" ht="15" hidden="false" customHeight="false" outlineLevel="0" collapsed="false">
      <c r="A782" s="7"/>
      <c r="B782" s="8"/>
      <c r="C782" s="9"/>
      <c r="D782" s="10"/>
      <c r="E782" s="11"/>
      <c r="F782" s="11"/>
      <c r="G782" s="8"/>
      <c r="H782" s="11"/>
      <c r="I782" s="12"/>
      <c r="J782" s="13" t="str">
        <f aca="false">IF(OR($A782="",$D782=""),"",IF($C782="",1,$C782)*$D782+N($E782)-N($F782))</f>
        <v/>
      </c>
      <c r="K782" s="13" t="str">
        <f aca="false">IF($J782="","",IF($R782&lt;&gt;"",$R782,IF($G782="",0,MAX(IFERROR(INDEX(Settings!$D$6:$D$15,MATCH($G782,Settings!$A$6:$A$15,0)),0),$J782*IFERROR(INDEX(Settings!$B$6:$B$15,MATCH($G782,Settings!$A$6:$A$15,0)),0)+IFERROR(INDEX(Settings!$C$6:$C$15,MATCH($G782,Settings!$A$6:$A$15,0)),0)))))</f>
        <v/>
      </c>
      <c r="L782" s="13" t="str">
        <f aca="false">IF($J782="","",IF($C782="",1,$C782)*IF($Q782&lt;&gt;"",$Q782,IFERROR(INDEX(Products!$D$5:$D$54,MATCH($B782,Products!$A$5:$A$54,0)),0)))</f>
        <v/>
      </c>
      <c r="M782" s="14" t="str">
        <f aca="false">IF($J782="","",$J782-$K782-N($H782)-$L782)</f>
        <v/>
      </c>
      <c r="N782" s="15" t="str">
        <f aca="false">IF($J782="","",IF($J782&gt;0,$M782/$J782,""))</f>
        <v/>
      </c>
      <c r="O782" s="12"/>
      <c r="P782" s="12"/>
      <c r="Q782" s="11"/>
      <c r="R782" s="11"/>
      <c r="S782" s="12"/>
      <c r="T782" s="16" t="str">
        <f aca="false">IF($J782="","",IF($C782="",1,$C782))</f>
        <v/>
      </c>
    </row>
    <row r="783" customFormat="false" ht="15" hidden="false" customHeight="false" outlineLevel="0" collapsed="false">
      <c r="A783" s="7"/>
      <c r="B783" s="8"/>
      <c r="C783" s="9"/>
      <c r="D783" s="10"/>
      <c r="E783" s="11"/>
      <c r="F783" s="11"/>
      <c r="G783" s="8"/>
      <c r="H783" s="11"/>
      <c r="I783" s="12"/>
      <c r="J783" s="13" t="str">
        <f aca="false">IF(OR($A783="",$D783=""),"",IF($C783="",1,$C783)*$D783+N($E783)-N($F783))</f>
        <v/>
      </c>
      <c r="K783" s="13" t="str">
        <f aca="false">IF($J783="","",IF($R783&lt;&gt;"",$R783,IF($G783="",0,MAX(IFERROR(INDEX(Settings!$D$6:$D$15,MATCH($G783,Settings!$A$6:$A$15,0)),0),$J783*IFERROR(INDEX(Settings!$B$6:$B$15,MATCH($G783,Settings!$A$6:$A$15,0)),0)+IFERROR(INDEX(Settings!$C$6:$C$15,MATCH($G783,Settings!$A$6:$A$15,0)),0)))))</f>
        <v/>
      </c>
      <c r="L783" s="13" t="str">
        <f aca="false">IF($J783="","",IF($C783="",1,$C783)*IF($Q783&lt;&gt;"",$Q783,IFERROR(INDEX(Products!$D$5:$D$54,MATCH($B783,Products!$A$5:$A$54,0)),0)))</f>
        <v/>
      </c>
      <c r="M783" s="14" t="str">
        <f aca="false">IF($J783="","",$J783-$K783-N($H783)-$L783)</f>
        <v/>
      </c>
      <c r="N783" s="15" t="str">
        <f aca="false">IF($J783="","",IF($J783&gt;0,$M783/$J783,""))</f>
        <v/>
      </c>
      <c r="O783" s="12"/>
      <c r="P783" s="12"/>
      <c r="Q783" s="11"/>
      <c r="R783" s="11"/>
      <c r="S783" s="12"/>
      <c r="T783" s="16" t="str">
        <f aca="false">IF($J783="","",IF($C783="",1,$C783))</f>
        <v/>
      </c>
    </row>
    <row r="784" customFormat="false" ht="15" hidden="false" customHeight="false" outlineLevel="0" collapsed="false">
      <c r="A784" s="7"/>
      <c r="B784" s="8"/>
      <c r="C784" s="9"/>
      <c r="D784" s="10"/>
      <c r="E784" s="11"/>
      <c r="F784" s="11"/>
      <c r="G784" s="8"/>
      <c r="H784" s="11"/>
      <c r="I784" s="12"/>
      <c r="J784" s="13" t="str">
        <f aca="false">IF(OR($A784="",$D784=""),"",IF($C784="",1,$C784)*$D784+N($E784)-N($F784))</f>
        <v/>
      </c>
      <c r="K784" s="13" t="str">
        <f aca="false">IF($J784="","",IF($R784&lt;&gt;"",$R784,IF($G784="",0,MAX(IFERROR(INDEX(Settings!$D$6:$D$15,MATCH($G784,Settings!$A$6:$A$15,0)),0),$J784*IFERROR(INDEX(Settings!$B$6:$B$15,MATCH($G784,Settings!$A$6:$A$15,0)),0)+IFERROR(INDEX(Settings!$C$6:$C$15,MATCH($G784,Settings!$A$6:$A$15,0)),0)))))</f>
        <v/>
      </c>
      <c r="L784" s="13" t="str">
        <f aca="false">IF($J784="","",IF($C784="",1,$C784)*IF($Q784&lt;&gt;"",$Q784,IFERROR(INDEX(Products!$D$5:$D$54,MATCH($B784,Products!$A$5:$A$54,0)),0)))</f>
        <v/>
      </c>
      <c r="M784" s="14" t="str">
        <f aca="false">IF($J784="","",$J784-$K784-N($H784)-$L784)</f>
        <v/>
      </c>
      <c r="N784" s="15" t="str">
        <f aca="false">IF($J784="","",IF($J784&gt;0,$M784/$J784,""))</f>
        <v/>
      </c>
      <c r="O784" s="12"/>
      <c r="P784" s="12"/>
      <c r="Q784" s="11"/>
      <c r="R784" s="11"/>
      <c r="S784" s="12"/>
      <c r="T784" s="16" t="str">
        <f aca="false">IF($J784="","",IF($C784="",1,$C784))</f>
        <v/>
      </c>
    </row>
    <row r="785" customFormat="false" ht="15" hidden="false" customHeight="false" outlineLevel="0" collapsed="false">
      <c r="A785" s="7"/>
      <c r="B785" s="8"/>
      <c r="C785" s="9"/>
      <c r="D785" s="10"/>
      <c r="E785" s="11"/>
      <c r="F785" s="11"/>
      <c r="G785" s="8"/>
      <c r="H785" s="11"/>
      <c r="I785" s="12"/>
      <c r="J785" s="13" t="str">
        <f aca="false">IF(OR($A785="",$D785=""),"",IF($C785="",1,$C785)*$D785+N($E785)-N($F785))</f>
        <v/>
      </c>
      <c r="K785" s="13" t="str">
        <f aca="false">IF($J785="","",IF($R785&lt;&gt;"",$R785,IF($G785="",0,MAX(IFERROR(INDEX(Settings!$D$6:$D$15,MATCH($G785,Settings!$A$6:$A$15,0)),0),$J785*IFERROR(INDEX(Settings!$B$6:$B$15,MATCH($G785,Settings!$A$6:$A$15,0)),0)+IFERROR(INDEX(Settings!$C$6:$C$15,MATCH($G785,Settings!$A$6:$A$15,0)),0)))))</f>
        <v/>
      </c>
      <c r="L785" s="13" t="str">
        <f aca="false">IF($J785="","",IF($C785="",1,$C785)*IF($Q785&lt;&gt;"",$Q785,IFERROR(INDEX(Products!$D$5:$D$54,MATCH($B785,Products!$A$5:$A$54,0)),0)))</f>
        <v/>
      </c>
      <c r="M785" s="14" t="str">
        <f aca="false">IF($J785="","",$J785-$K785-N($H785)-$L785)</f>
        <v/>
      </c>
      <c r="N785" s="15" t="str">
        <f aca="false">IF($J785="","",IF($J785&gt;0,$M785/$J785,""))</f>
        <v/>
      </c>
      <c r="O785" s="12"/>
      <c r="P785" s="12"/>
      <c r="Q785" s="11"/>
      <c r="R785" s="11"/>
      <c r="S785" s="12"/>
      <c r="T785" s="16" t="str">
        <f aca="false">IF($J785="","",IF($C785="",1,$C785))</f>
        <v/>
      </c>
    </row>
    <row r="786" customFormat="false" ht="15" hidden="false" customHeight="false" outlineLevel="0" collapsed="false">
      <c r="A786" s="7"/>
      <c r="B786" s="8"/>
      <c r="C786" s="9"/>
      <c r="D786" s="10"/>
      <c r="E786" s="11"/>
      <c r="F786" s="11"/>
      <c r="G786" s="8"/>
      <c r="H786" s="11"/>
      <c r="I786" s="12"/>
      <c r="J786" s="13" t="str">
        <f aca="false">IF(OR($A786="",$D786=""),"",IF($C786="",1,$C786)*$D786+N($E786)-N($F786))</f>
        <v/>
      </c>
      <c r="K786" s="13" t="str">
        <f aca="false">IF($J786="","",IF($R786&lt;&gt;"",$R786,IF($G786="",0,MAX(IFERROR(INDEX(Settings!$D$6:$D$15,MATCH($G786,Settings!$A$6:$A$15,0)),0),$J786*IFERROR(INDEX(Settings!$B$6:$B$15,MATCH($G786,Settings!$A$6:$A$15,0)),0)+IFERROR(INDEX(Settings!$C$6:$C$15,MATCH($G786,Settings!$A$6:$A$15,0)),0)))))</f>
        <v/>
      </c>
      <c r="L786" s="13" t="str">
        <f aca="false">IF($J786="","",IF($C786="",1,$C786)*IF($Q786&lt;&gt;"",$Q786,IFERROR(INDEX(Products!$D$5:$D$54,MATCH($B786,Products!$A$5:$A$54,0)),0)))</f>
        <v/>
      </c>
      <c r="M786" s="14" t="str">
        <f aca="false">IF($J786="","",$J786-$K786-N($H786)-$L786)</f>
        <v/>
      </c>
      <c r="N786" s="15" t="str">
        <f aca="false">IF($J786="","",IF($J786&gt;0,$M786/$J786,""))</f>
        <v/>
      </c>
      <c r="O786" s="12"/>
      <c r="P786" s="12"/>
      <c r="Q786" s="11"/>
      <c r="R786" s="11"/>
      <c r="S786" s="12"/>
      <c r="T786" s="16" t="str">
        <f aca="false">IF($J786="","",IF($C786="",1,$C786))</f>
        <v/>
      </c>
    </row>
    <row r="787" customFormat="false" ht="15" hidden="false" customHeight="false" outlineLevel="0" collapsed="false">
      <c r="A787" s="7"/>
      <c r="B787" s="8"/>
      <c r="C787" s="9"/>
      <c r="D787" s="10"/>
      <c r="E787" s="11"/>
      <c r="F787" s="11"/>
      <c r="G787" s="8"/>
      <c r="H787" s="11"/>
      <c r="I787" s="12"/>
      <c r="J787" s="13" t="str">
        <f aca="false">IF(OR($A787="",$D787=""),"",IF($C787="",1,$C787)*$D787+N($E787)-N($F787))</f>
        <v/>
      </c>
      <c r="K787" s="13" t="str">
        <f aca="false">IF($J787="","",IF($R787&lt;&gt;"",$R787,IF($G787="",0,MAX(IFERROR(INDEX(Settings!$D$6:$D$15,MATCH($G787,Settings!$A$6:$A$15,0)),0),$J787*IFERROR(INDEX(Settings!$B$6:$B$15,MATCH($G787,Settings!$A$6:$A$15,0)),0)+IFERROR(INDEX(Settings!$C$6:$C$15,MATCH($G787,Settings!$A$6:$A$15,0)),0)))))</f>
        <v/>
      </c>
      <c r="L787" s="13" t="str">
        <f aca="false">IF($J787="","",IF($C787="",1,$C787)*IF($Q787&lt;&gt;"",$Q787,IFERROR(INDEX(Products!$D$5:$D$54,MATCH($B787,Products!$A$5:$A$54,0)),0)))</f>
        <v/>
      </c>
      <c r="M787" s="14" t="str">
        <f aca="false">IF($J787="","",$J787-$K787-N($H787)-$L787)</f>
        <v/>
      </c>
      <c r="N787" s="15" t="str">
        <f aca="false">IF($J787="","",IF($J787&gt;0,$M787/$J787,""))</f>
        <v/>
      </c>
      <c r="O787" s="12"/>
      <c r="P787" s="12"/>
      <c r="Q787" s="11"/>
      <c r="R787" s="11"/>
      <c r="S787" s="12"/>
      <c r="T787" s="16" t="str">
        <f aca="false">IF($J787="","",IF($C787="",1,$C787))</f>
        <v/>
      </c>
    </row>
    <row r="788" customFormat="false" ht="15" hidden="false" customHeight="false" outlineLevel="0" collapsed="false">
      <c r="A788" s="7"/>
      <c r="B788" s="8"/>
      <c r="C788" s="9"/>
      <c r="D788" s="10"/>
      <c r="E788" s="11"/>
      <c r="F788" s="11"/>
      <c r="G788" s="8"/>
      <c r="H788" s="11"/>
      <c r="I788" s="12"/>
      <c r="J788" s="13" t="str">
        <f aca="false">IF(OR($A788="",$D788=""),"",IF($C788="",1,$C788)*$D788+N($E788)-N($F788))</f>
        <v/>
      </c>
      <c r="K788" s="13" t="str">
        <f aca="false">IF($J788="","",IF($R788&lt;&gt;"",$R788,IF($G788="",0,MAX(IFERROR(INDEX(Settings!$D$6:$D$15,MATCH($G788,Settings!$A$6:$A$15,0)),0),$J788*IFERROR(INDEX(Settings!$B$6:$B$15,MATCH($G788,Settings!$A$6:$A$15,0)),0)+IFERROR(INDEX(Settings!$C$6:$C$15,MATCH($G788,Settings!$A$6:$A$15,0)),0)))))</f>
        <v/>
      </c>
      <c r="L788" s="13" t="str">
        <f aca="false">IF($J788="","",IF($C788="",1,$C788)*IF($Q788&lt;&gt;"",$Q788,IFERROR(INDEX(Products!$D$5:$D$54,MATCH($B788,Products!$A$5:$A$54,0)),0)))</f>
        <v/>
      </c>
      <c r="M788" s="14" t="str">
        <f aca="false">IF($J788="","",$J788-$K788-N($H788)-$L788)</f>
        <v/>
      </c>
      <c r="N788" s="15" t="str">
        <f aca="false">IF($J788="","",IF($J788&gt;0,$M788/$J788,""))</f>
        <v/>
      </c>
      <c r="O788" s="12"/>
      <c r="P788" s="12"/>
      <c r="Q788" s="11"/>
      <c r="R788" s="11"/>
      <c r="S788" s="12"/>
      <c r="T788" s="16" t="str">
        <f aca="false">IF($J788="","",IF($C788="",1,$C788))</f>
        <v/>
      </c>
    </row>
    <row r="789" customFormat="false" ht="15" hidden="false" customHeight="false" outlineLevel="0" collapsed="false">
      <c r="A789" s="7"/>
      <c r="B789" s="8"/>
      <c r="C789" s="9"/>
      <c r="D789" s="10"/>
      <c r="E789" s="11"/>
      <c r="F789" s="11"/>
      <c r="G789" s="8"/>
      <c r="H789" s="11"/>
      <c r="I789" s="12"/>
      <c r="J789" s="13" t="str">
        <f aca="false">IF(OR($A789="",$D789=""),"",IF($C789="",1,$C789)*$D789+N($E789)-N($F789))</f>
        <v/>
      </c>
      <c r="K789" s="13" t="str">
        <f aca="false">IF($J789="","",IF($R789&lt;&gt;"",$R789,IF($G789="",0,MAX(IFERROR(INDEX(Settings!$D$6:$D$15,MATCH($G789,Settings!$A$6:$A$15,0)),0),$J789*IFERROR(INDEX(Settings!$B$6:$B$15,MATCH($G789,Settings!$A$6:$A$15,0)),0)+IFERROR(INDEX(Settings!$C$6:$C$15,MATCH($G789,Settings!$A$6:$A$15,0)),0)))))</f>
        <v/>
      </c>
      <c r="L789" s="13" t="str">
        <f aca="false">IF($J789="","",IF($C789="",1,$C789)*IF($Q789&lt;&gt;"",$Q789,IFERROR(INDEX(Products!$D$5:$D$54,MATCH($B789,Products!$A$5:$A$54,0)),0)))</f>
        <v/>
      </c>
      <c r="M789" s="14" t="str">
        <f aca="false">IF($J789="","",$J789-$K789-N($H789)-$L789)</f>
        <v/>
      </c>
      <c r="N789" s="15" t="str">
        <f aca="false">IF($J789="","",IF($J789&gt;0,$M789/$J789,""))</f>
        <v/>
      </c>
      <c r="O789" s="12"/>
      <c r="P789" s="12"/>
      <c r="Q789" s="11"/>
      <c r="R789" s="11"/>
      <c r="S789" s="12"/>
      <c r="T789" s="16" t="str">
        <f aca="false">IF($J789="","",IF($C789="",1,$C789))</f>
        <v/>
      </c>
    </row>
    <row r="790" customFormat="false" ht="15" hidden="false" customHeight="false" outlineLevel="0" collapsed="false">
      <c r="A790" s="7"/>
      <c r="B790" s="8"/>
      <c r="C790" s="9"/>
      <c r="D790" s="10"/>
      <c r="E790" s="11"/>
      <c r="F790" s="11"/>
      <c r="G790" s="8"/>
      <c r="H790" s="11"/>
      <c r="I790" s="12"/>
      <c r="J790" s="13" t="str">
        <f aca="false">IF(OR($A790="",$D790=""),"",IF($C790="",1,$C790)*$D790+N($E790)-N($F790))</f>
        <v/>
      </c>
      <c r="K790" s="13" t="str">
        <f aca="false">IF($J790="","",IF($R790&lt;&gt;"",$R790,IF($G790="",0,MAX(IFERROR(INDEX(Settings!$D$6:$D$15,MATCH($G790,Settings!$A$6:$A$15,0)),0),$J790*IFERROR(INDEX(Settings!$B$6:$B$15,MATCH($G790,Settings!$A$6:$A$15,0)),0)+IFERROR(INDEX(Settings!$C$6:$C$15,MATCH($G790,Settings!$A$6:$A$15,0)),0)))))</f>
        <v/>
      </c>
      <c r="L790" s="13" t="str">
        <f aca="false">IF($J790="","",IF($C790="",1,$C790)*IF($Q790&lt;&gt;"",$Q790,IFERROR(INDEX(Products!$D$5:$D$54,MATCH($B790,Products!$A$5:$A$54,0)),0)))</f>
        <v/>
      </c>
      <c r="M790" s="14" t="str">
        <f aca="false">IF($J790="","",$J790-$K790-N($H790)-$L790)</f>
        <v/>
      </c>
      <c r="N790" s="15" t="str">
        <f aca="false">IF($J790="","",IF($J790&gt;0,$M790/$J790,""))</f>
        <v/>
      </c>
      <c r="O790" s="12"/>
      <c r="P790" s="12"/>
      <c r="Q790" s="11"/>
      <c r="R790" s="11"/>
      <c r="S790" s="12"/>
      <c r="T790" s="16" t="str">
        <f aca="false">IF($J790="","",IF($C790="",1,$C790))</f>
        <v/>
      </c>
    </row>
    <row r="791" customFormat="false" ht="15" hidden="false" customHeight="false" outlineLevel="0" collapsed="false">
      <c r="A791" s="7"/>
      <c r="B791" s="8"/>
      <c r="C791" s="9"/>
      <c r="D791" s="10"/>
      <c r="E791" s="11"/>
      <c r="F791" s="11"/>
      <c r="G791" s="8"/>
      <c r="H791" s="11"/>
      <c r="I791" s="12"/>
      <c r="J791" s="13" t="str">
        <f aca="false">IF(OR($A791="",$D791=""),"",IF($C791="",1,$C791)*$D791+N($E791)-N($F791))</f>
        <v/>
      </c>
      <c r="K791" s="13" t="str">
        <f aca="false">IF($J791="","",IF($R791&lt;&gt;"",$R791,IF($G791="",0,MAX(IFERROR(INDEX(Settings!$D$6:$D$15,MATCH($G791,Settings!$A$6:$A$15,0)),0),$J791*IFERROR(INDEX(Settings!$B$6:$B$15,MATCH($G791,Settings!$A$6:$A$15,0)),0)+IFERROR(INDEX(Settings!$C$6:$C$15,MATCH($G791,Settings!$A$6:$A$15,0)),0)))))</f>
        <v/>
      </c>
      <c r="L791" s="13" t="str">
        <f aca="false">IF($J791="","",IF($C791="",1,$C791)*IF($Q791&lt;&gt;"",$Q791,IFERROR(INDEX(Products!$D$5:$D$54,MATCH($B791,Products!$A$5:$A$54,0)),0)))</f>
        <v/>
      </c>
      <c r="M791" s="14" t="str">
        <f aca="false">IF($J791="","",$J791-$K791-N($H791)-$L791)</f>
        <v/>
      </c>
      <c r="N791" s="15" t="str">
        <f aca="false">IF($J791="","",IF($J791&gt;0,$M791/$J791,""))</f>
        <v/>
      </c>
      <c r="O791" s="12"/>
      <c r="P791" s="12"/>
      <c r="Q791" s="11"/>
      <c r="R791" s="11"/>
      <c r="S791" s="12"/>
      <c r="T791" s="16" t="str">
        <f aca="false">IF($J791="","",IF($C791="",1,$C791))</f>
        <v/>
      </c>
    </row>
    <row r="792" customFormat="false" ht="15" hidden="false" customHeight="false" outlineLevel="0" collapsed="false">
      <c r="A792" s="7"/>
      <c r="B792" s="8"/>
      <c r="C792" s="9"/>
      <c r="D792" s="10"/>
      <c r="E792" s="11"/>
      <c r="F792" s="11"/>
      <c r="G792" s="8"/>
      <c r="H792" s="11"/>
      <c r="I792" s="12"/>
      <c r="J792" s="13" t="str">
        <f aca="false">IF(OR($A792="",$D792=""),"",IF($C792="",1,$C792)*$D792+N($E792)-N($F792))</f>
        <v/>
      </c>
      <c r="K792" s="13" t="str">
        <f aca="false">IF($J792="","",IF($R792&lt;&gt;"",$R792,IF($G792="",0,MAX(IFERROR(INDEX(Settings!$D$6:$D$15,MATCH($G792,Settings!$A$6:$A$15,0)),0),$J792*IFERROR(INDEX(Settings!$B$6:$B$15,MATCH($G792,Settings!$A$6:$A$15,0)),0)+IFERROR(INDEX(Settings!$C$6:$C$15,MATCH($G792,Settings!$A$6:$A$15,0)),0)))))</f>
        <v/>
      </c>
      <c r="L792" s="13" t="str">
        <f aca="false">IF($J792="","",IF($C792="",1,$C792)*IF($Q792&lt;&gt;"",$Q792,IFERROR(INDEX(Products!$D$5:$D$54,MATCH($B792,Products!$A$5:$A$54,0)),0)))</f>
        <v/>
      </c>
      <c r="M792" s="14" t="str">
        <f aca="false">IF($J792="","",$J792-$K792-N($H792)-$L792)</f>
        <v/>
      </c>
      <c r="N792" s="15" t="str">
        <f aca="false">IF($J792="","",IF($J792&gt;0,$M792/$J792,""))</f>
        <v/>
      </c>
      <c r="O792" s="12"/>
      <c r="P792" s="12"/>
      <c r="Q792" s="11"/>
      <c r="R792" s="11"/>
      <c r="S792" s="12"/>
      <c r="T792" s="16" t="str">
        <f aca="false">IF($J792="","",IF($C792="",1,$C792))</f>
        <v/>
      </c>
    </row>
    <row r="793" customFormat="false" ht="15" hidden="false" customHeight="false" outlineLevel="0" collapsed="false">
      <c r="A793" s="7"/>
      <c r="B793" s="8"/>
      <c r="C793" s="9"/>
      <c r="D793" s="10"/>
      <c r="E793" s="11"/>
      <c r="F793" s="11"/>
      <c r="G793" s="8"/>
      <c r="H793" s="11"/>
      <c r="I793" s="12"/>
      <c r="J793" s="13" t="str">
        <f aca="false">IF(OR($A793="",$D793=""),"",IF($C793="",1,$C793)*$D793+N($E793)-N($F793))</f>
        <v/>
      </c>
      <c r="K793" s="13" t="str">
        <f aca="false">IF($J793="","",IF($R793&lt;&gt;"",$R793,IF($G793="",0,MAX(IFERROR(INDEX(Settings!$D$6:$D$15,MATCH($G793,Settings!$A$6:$A$15,0)),0),$J793*IFERROR(INDEX(Settings!$B$6:$B$15,MATCH($G793,Settings!$A$6:$A$15,0)),0)+IFERROR(INDEX(Settings!$C$6:$C$15,MATCH($G793,Settings!$A$6:$A$15,0)),0)))))</f>
        <v/>
      </c>
      <c r="L793" s="13" t="str">
        <f aca="false">IF($J793="","",IF($C793="",1,$C793)*IF($Q793&lt;&gt;"",$Q793,IFERROR(INDEX(Products!$D$5:$D$54,MATCH($B793,Products!$A$5:$A$54,0)),0)))</f>
        <v/>
      </c>
      <c r="M793" s="14" t="str">
        <f aca="false">IF($J793="","",$J793-$K793-N($H793)-$L793)</f>
        <v/>
      </c>
      <c r="N793" s="15" t="str">
        <f aca="false">IF($J793="","",IF($J793&gt;0,$M793/$J793,""))</f>
        <v/>
      </c>
      <c r="O793" s="12"/>
      <c r="P793" s="12"/>
      <c r="Q793" s="11"/>
      <c r="R793" s="11"/>
      <c r="S793" s="12"/>
      <c r="T793" s="16" t="str">
        <f aca="false">IF($J793="","",IF($C793="",1,$C793))</f>
        <v/>
      </c>
    </row>
    <row r="794" customFormat="false" ht="15" hidden="false" customHeight="false" outlineLevel="0" collapsed="false">
      <c r="A794" s="7"/>
      <c r="B794" s="8"/>
      <c r="C794" s="9"/>
      <c r="D794" s="10"/>
      <c r="E794" s="11"/>
      <c r="F794" s="11"/>
      <c r="G794" s="8"/>
      <c r="H794" s="11"/>
      <c r="I794" s="12"/>
      <c r="J794" s="13" t="str">
        <f aca="false">IF(OR($A794="",$D794=""),"",IF($C794="",1,$C794)*$D794+N($E794)-N($F794))</f>
        <v/>
      </c>
      <c r="K794" s="13" t="str">
        <f aca="false">IF($J794="","",IF($R794&lt;&gt;"",$R794,IF($G794="",0,MAX(IFERROR(INDEX(Settings!$D$6:$D$15,MATCH($G794,Settings!$A$6:$A$15,0)),0),$J794*IFERROR(INDEX(Settings!$B$6:$B$15,MATCH($G794,Settings!$A$6:$A$15,0)),0)+IFERROR(INDEX(Settings!$C$6:$C$15,MATCH($G794,Settings!$A$6:$A$15,0)),0)))))</f>
        <v/>
      </c>
      <c r="L794" s="13" t="str">
        <f aca="false">IF($J794="","",IF($C794="",1,$C794)*IF($Q794&lt;&gt;"",$Q794,IFERROR(INDEX(Products!$D$5:$D$54,MATCH($B794,Products!$A$5:$A$54,0)),0)))</f>
        <v/>
      </c>
      <c r="M794" s="14" t="str">
        <f aca="false">IF($J794="","",$J794-$K794-N($H794)-$L794)</f>
        <v/>
      </c>
      <c r="N794" s="15" t="str">
        <f aca="false">IF($J794="","",IF($J794&gt;0,$M794/$J794,""))</f>
        <v/>
      </c>
      <c r="O794" s="12"/>
      <c r="P794" s="12"/>
      <c r="Q794" s="11"/>
      <c r="R794" s="11"/>
      <c r="S794" s="12"/>
      <c r="T794" s="16" t="str">
        <f aca="false">IF($J794="","",IF($C794="",1,$C794))</f>
        <v/>
      </c>
    </row>
    <row r="795" customFormat="false" ht="15" hidden="false" customHeight="false" outlineLevel="0" collapsed="false">
      <c r="A795" s="7"/>
      <c r="B795" s="8"/>
      <c r="C795" s="9"/>
      <c r="D795" s="10"/>
      <c r="E795" s="11"/>
      <c r="F795" s="11"/>
      <c r="G795" s="8"/>
      <c r="H795" s="11"/>
      <c r="I795" s="12"/>
      <c r="J795" s="13" t="str">
        <f aca="false">IF(OR($A795="",$D795=""),"",IF($C795="",1,$C795)*$D795+N($E795)-N($F795))</f>
        <v/>
      </c>
      <c r="K795" s="13" t="str">
        <f aca="false">IF($J795="","",IF($R795&lt;&gt;"",$R795,IF($G795="",0,MAX(IFERROR(INDEX(Settings!$D$6:$D$15,MATCH($G795,Settings!$A$6:$A$15,0)),0),$J795*IFERROR(INDEX(Settings!$B$6:$B$15,MATCH($G795,Settings!$A$6:$A$15,0)),0)+IFERROR(INDEX(Settings!$C$6:$C$15,MATCH($G795,Settings!$A$6:$A$15,0)),0)))))</f>
        <v/>
      </c>
      <c r="L795" s="13" t="str">
        <f aca="false">IF($J795="","",IF($C795="",1,$C795)*IF($Q795&lt;&gt;"",$Q795,IFERROR(INDEX(Products!$D$5:$D$54,MATCH($B795,Products!$A$5:$A$54,0)),0)))</f>
        <v/>
      </c>
      <c r="M795" s="14" t="str">
        <f aca="false">IF($J795="","",$J795-$K795-N($H795)-$L795)</f>
        <v/>
      </c>
      <c r="N795" s="15" t="str">
        <f aca="false">IF($J795="","",IF($J795&gt;0,$M795/$J795,""))</f>
        <v/>
      </c>
      <c r="O795" s="12"/>
      <c r="P795" s="12"/>
      <c r="Q795" s="11"/>
      <c r="R795" s="11"/>
      <c r="S795" s="12"/>
      <c r="T795" s="16" t="str">
        <f aca="false">IF($J795="","",IF($C795="",1,$C795))</f>
        <v/>
      </c>
    </row>
    <row r="796" customFormat="false" ht="15" hidden="false" customHeight="false" outlineLevel="0" collapsed="false">
      <c r="A796" s="7"/>
      <c r="B796" s="8"/>
      <c r="C796" s="9"/>
      <c r="D796" s="10"/>
      <c r="E796" s="11"/>
      <c r="F796" s="11"/>
      <c r="G796" s="8"/>
      <c r="H796" s="11"/>
      <c r="I796" s="12"/>
      <c r="J796" s="13" t="str">
        <f aca="false">IF(OR($A796="",$D796=""),"",IF($C796="",1,$C796)*$D796+N($E796)-N($F796))</f>
        <v/>
      </c>
      <c r="K796" s="13" t="str">
        <f aca="false">IF($J796="","",IF($R796&lt;&gt;"",$R796,IF($G796="",0,MAX(IFERROR(INDEX(Settings!$D$6:$D$15,MATCH($G796,Settings!$A$6:$A$15,0)),0),$J796*IFERROR(INDEX(Settings!$B$6:$B$15,MATCH($G796,Settings!$A$6:$A$15,0)),0)+IFERROR(INDEX(Settings!$C$6:$C$15,MATCH($G796,Settings!$A$6:$A$15,0)),0)))))</f>
        <v/>
      </c>
      <c r="L796" s="13" t="str">
        <f aca="false">IF($J796="","",IF($C796="",1,$C796)*IF($Q796&lt;&gt;"",$Q796,IFERROR(INDEX(Products!$D$5:$D$54,MATCH($B796,Products!$A$5:$A$54,0)),0)))</f>
        <v/>
      </c>
      <c r="M796" s="14" t="str">
        <f aca="false">IF($J796="","",$J796-$K796-N($H796)-$L796)</f>
        <v/>
      </c>
      <c r="N796" s="15" t="str">
        <f aca="false">IF($J796="","",IF($J796&gt;0,$M796/$J796,""))</f>
        <v/>
      </c>
      <c r="O796" s="12"/>
      <c r="P796" s="12"/>
      <c r="Q796" s="11"/>
      <c r="R796" s="11"/>
      <c r="S796" s="12"/>
      <c r="T796" s="16" t="str">
        <f aca="false">IF($J796="","",IF($C796="",1,$C796))</f>
        <v/>
      </c>
    </row>
    <row r="797" customFormat="false" ht="15" hidden="false" customHeight="false" outlineLevel="0" collapsed="false">
      <c r="A797" s="7"/>
      <c r="B797" s="8"/>
      <c r="C797" s="9"/>
      <c r="D797" s="10"/>
      <c r="E797" s="11"/>
      <c r="F797" s="11"/>
      <c r="G797" s="8"/>
      <c r="H797" s="11"/>
      <c r="I797" s="12"/>
      <c r="J797" s="13" t="str">
        <f aca="false">IF(OR($A797="",$D797=""),"",IF($C797="",1,$C797)*$D797+N($E797)-N($F797))</f>
        <v/>
      </c>
      <c r="K797" s="13" t="str">
        <f aca="false">IF($J797="","",IF($R797&lt;&gt;"",$R797,IF($G797="",0,MAX(IFERROR(INDEX(Settings!$D$6:$D$15,MATCH($G797,Settings!$A$6:$A$15,0)),0),$J797*IFERROR(INDEX(Settings!$B$6:$B$15,MATCH($G797,Settings!$A$6:$A$15,0)),0)+IFERROR(INDEX(Settings!$C$6:$C$15,MATCH($G797,Settings!$A$6:$A$15,0)),0)))))</f>
        <v/>
      </c>
      <c r="L797" s="13" t="str">
        <f aca="false">IF($J797="","",IF($C797="",1,$C797)*IF($Q797&lt;&gt;"",$Q797,IFERROR(INDEX(Products!$D$5:$D$54,MATCH($B797,Products!$A$5:$A$54,0)),0)))</f>
        <v/>
      </c>
      <c r="M797" s="14" t="str">
        <f aca="false">IF($J797="","",$J797-$K797-N($H797)-$L797)</f>
        <v/>
      </c>
      <c r="N797" s="15" t="str">
        <f aca="false">IF($J797="","",IF($J797&gt;0,$M797/$J797,""))</f>
        <v/>
      </c>
      <c r="O797" s="12"/>
      <c r="P797" s="12"/>
      <c r="Q797" s="11"/>
      <c r="R797" s="11"/>
      <c r="S797" s="12"/>
      <c r="T797" s="16" t="str">
        <f aca="false">IF($J797="","",IF($C797="",1,$C797))</f>
        <v/>
      </c>
    </row>
    <row r="798" customFormat="false" ht="15" hidden="false" customHeight="false" outlineLevel="0" collapsed="false">
      <c r="A798" s="7"/>
      <c r="B798" s="8"/>
      <c r="C798" s="9"/>
      <c r="D798" s="10"/>
      <c r="E798" s="11"/>
      <c r="F798" s="11"/>
      <c r="G798" s="8"/>
      <c r="H798" s="11"/>
      <c r="I798" s="12"/>
      <c r="J798" s="13" t="str">
        <f aca="false">IF(OR($A798="",$D798=""),"",IF($C798="",1,$C798)*$D798+N($E798)-N($F798))</f>
        <v/>
      </c>
      <c r="K798" s="13" t="str">
        <f aca="false">IF($J798="","",IF($R798&lt;&gt;"",$R798,IF($G798="",0,MAX(IFERROR(INDEX(Settings!$D$6:$D$15,MATCH($G798,Settings!$A$6:$A$15,0)),0),$J798*IFERROR(INDEX(Settings!$B$6:$B$15,MATCH($G798,Settings!$A$6:$A$15,0)),0)+IFERROR(INDEX(Settings!$C$6:$C$15,MATCH($G798,Settings!$A$6:$A$15,0)),0)))))</f>
        <v/>
      </c>
      <c r="L798" s="13" t="str">
        <f aca="false">IF($J798="","",IF($C798="",1,$C798)*IF($Q798&lt;&gt;"",$Q798,IFERROR(INDEX(Products!$D$5:$D$54,MATCH($B798,Products!$A$5:$A$54,0)),0)))</f>
        <v/>
      </c>
      <c r="M798" s="14" t="str">
        <f aca="false">IF($J798="","",$J798-$K798-N($H798)-$L798)</f>
        <v/>
      </c>
      <c r="N798" s="15" t="str">
        <f aca="false">IF($J798="","",IF($J798&gt;0,$M798/$J798,""))</f>
        <v/>
      </c>
      <c r="O798" s="12"/>
      <c r="P798" s="12"/>
      <c r="Q798" s="11"/>
      <c r="R798" s="11"/>
      <c r="S798" s="12"/>
      <c r="T798" s="16" t="str">
        <f aca="false">IF($J798="","",IF($C798="",1,$C798))</f>
        <v/>
      </c>
    </row>
    <row r="799" customFormat="false" ht="15" hidden="false" customHeight="false" outlineLevel="0" collapsed="false">
      <c r="A799" s="7"/>
      <c r="B799" s="8"/>
      <c r="C799" s="9"/>
      <c r="D799" s="10"/>
      <c r="E799" s="11"/>
      <c r="F799" s="11"/>
      <c r="G799" s="8"/>
      <c r="H799" s="11"/>
      <c r="I799" s="12"/>
      <c r="J799" s="13" t="str">
        <f aca="false">IF(OR($A799="",$D799=""),"",IF($C799="",1,$C799)*$D799+N($E799)-N($F799))</f>
        <v/>
      </c>
      <c r="K799" s="13" t="str">
        <f aca="false">IF($J799="","",IF($R799&lt;&gt;"",$R799,IF($G799="",0,MAX(IFERROR(INDEX(Settings!$D$6:$D$15,MATCH($G799,Settings!$A$6:$A$15,0)),0),$J799*IFERROR(INDEX(Settings!$B$6:$B$15,MATCH($G799,Settings!$A$6:$A$15,0)),0)+IFERROR(INDEX(Settings!$C$6:$C$15,MATCH($G799,Settings!$A$6:$A$15,0)),0)))))</f>
        <v/>
      </c>
      <c r="L799" s="13" t="str">
        <f aca="false">IF($J799="","",IF($C799="",1,$C799)*IF($Q799&lt;&gt;"",$Q799,IFERROR(INDEX(Products!$D$5:$D$54,MATCH($B799,Products!$A$5:$A$54,0)),0)))</f>
        <v/>
      </c>
      <c r="M799" s="14" t="str">
        <f aca="false">IF($J799="","",$J799-$K799-N($H799)-$L799)</f>
        <v/>
      </c>
      <c r="N799" s="15" t="str">
        <f aca="false">IF($J799="","",IF($J799&gt;0,$M799/$J799,""))</f>
        <v/>
      </c>
      <c r="O799" s="12"/>
      <c r="P799" s="12"/>
      <c r="Q799" s="11"/>
      <c r="R799" s="11"/>
      <c r="S799" s="12"/>
      <c r="T799" s="16" t="str">
        <f aca="false">IF($J799="","",IF($C799="",1,$C799))</f>
        <v/>
      </c>
    </row>
    <row r="800" customFormat="false" ht="15" hidden="false" customHeight="false" outlineLevel="0" collapsed="false">
      <c r="A800" s="7"/>
      <c r="B800" s="8"/>
      <c r="C800" s="9"/>
      <c r="D800" s="10"/>
      <c r="E800" s="11"/>
      <c r="F800" s="11"/>
      <c r="G800" s="8"/>
      <c r="H800" s="11"/>
      <c r="I800" s="12"/>
      <c r="J800" s="13" t="str">
        <f aca="false">IF(OR($A800="",$D800=""),"",IF($C800="",1,$C800)*$D800+N($E800)-N($F800))</f>
        <v/>
      </c>
      <c r="K800" s="13" t="str">
        <f aca="false">IF($J800="","",IF($R800&lt;&gt;"",$R800,IF($G800="",0,MAX(IFERROR(INDEX(Settings!$D$6:$D$15,MATCH($G800,Settings!$A$6:$A$15,0)),0),$J800*IFERROR(INDEX(Settings!$B$6:$B$15,MATCH($G800,Settings!$A$6:$A$15,0)),0)+IFERROR(INDEX(Settings!$C$6:$C$15,MATCH($G800,Settings!$A$6:$A$15,0)),0)))))</f>
        <v/>
      </c>
      <c r="L800" s="13" t="str">
        <f aca="false">IF($J800="","",IF($C800="",1,$C800)*IF($Q800&lt;&gt;"",$Q800,IFERROR(INDEX(Products!$D$5:$D$54,MATCH($B800,Products!$A$5:$A$54,0)),0)))</f>
        <v/>
      </c>
      <c r="M800" s="14" t="str">
        <f aca="false">IF($J800="","",$J800-$K800-N($H800)-$L800)</f>
        <v/>
      </c>
      <c r="N800" s="15" t="str">
        <f aca="false">IF($J800="","",IF($J800&gt;0,$M800/$J800,""))</f>
        <v/>
      </c>
      <c r="O800" s="12"/>
      <c r="P800" s="12"/>
      <c r="Q800" s="11"/>
      <c r="R800" s="11"/>
      <c r="S800" s="12"/>
      <c r="T800" s="16" t="str">
        <f aca="false">IF($J800="","",IF($C800="",1,$C800))</f>
        <v/>
      </c>
    </row>
    <row r="801" customFormat="false" ht="15" hidden="false" customHeight="false" outlineLevel="0" collapsed="false">
      <c r="A801" s="7"/>
      <c r="B801" s="8"/>
      <c r="C801" s="9"/>
      <c r="D801" s="10"/>
      <c r="E801" s="11"/>
      <c r="F801" s="11"/>
      <c r="G801" s="8"/>
      <c r="H801" s="11"/>
      <c r="I801" s="12"/>
      <c r="J801" s="13" t="str">
        <f aca="false">IF(OR($A801="",$D801=""),"",IF($C801="",1,$C801)*$D801+N($E801)-N($F801))</f>
        <v/>
      </c>
      <c r="K801" s="13" t="str">
        <f aca="false">IF($J801="","",IF($R801&lt;&gt;"",$R801,IF($G801="",0,MAX(IFERROR(INDEX(Settings!$D$6:$D$15,MATCH($G801,Settings!$A$6:$A$15,0)),0),$J801*IFERROR(INDEX(Settings!$B$6:$B$15,MATCH($G801,Settings!$A$6:$A$15,0)),0)+IFERROR(INDEX(Settings!$C$6:$C$15,MATCH($G801,Settings!$A$6:$A$15,0)),0)))))</f>
        <v/>
      </c>
      <c r="L801" s="13" t="str">
        <f aca="false">IF($J801="","",IF($C801="",1,$C801)*IF($Q801&lt;&gt;"",$Q801,IFERROR(INDEX(Products!$D$5:$D$54,MATCH($B801,Products!$A$5:$A$54,0)),0)))</f>
        <v/>
      </c>
      <c r="M801" s="14" t="str">
        <f aca="false">IF($J801="","",$J801-$K801-N($H801)-$L801)</f>
        <v/>
      </c>
      <c r="N801" s="15" t="str">
        <f aca="false">IF($J801="","",IF($J801&gt;0,$M801/$J801,""))</f>
        <v/>
      </c>
      <c r="O801" s="12"/>
      <c r="P801" s="12"/>
      <c r="Q801" s="11"/>
      <c r="R801" s="11"/>
      <c r="S801" s="12"/>
      <c r="T801" s="16" t="str">
        <f aca="false">IF($J801="","",IF($C801="",1,$C801))</f>
        <v/>
      </c>
    </row>
    <row r="802" customFormat="false" ht="15" hidden="false" customHeight="false" outlineLevel="0" collapsed="false">
      <c r="A802" s="7"/>
      <c r="B802" s="8"/>
      <c r="C802" s="9"/>
      <c r="D802" s="10"/>
      <c r="E802" s="11"/>
      <c r="F802" s="11"/>
      <c r="G802" s="8"/>
      <c r="H802" s="11"/>
      <c r="I802" s="12"/>
      <c r="J802" s="13" t="str">
        <f aca="false">IF(OR($A802="",$D802=""),"",IF($C802="",1,$C802)*$D802+N($E802)-N($F802))</f>
        <v/>
      </c>
      <c r="K802" s="13" t="str">
        <f aca="false">IF($J802="","",IF($R802&lt;&gt;"",$R802,IF($G802="",0,MAX(IFERROR(INDEX(Settings!$D$6:$D$15,MATCH($G802,Settings!$A$6:$A$15,0)),0),$J802*IFERROR(INDEX(Settings!$B$6:$B$15,MATCH($G802,Settings!$A$6:$A$15,0)),0)+IFERROR(INDEX(Settings!$C$6:$C$15,MATCH($G802,Settings!$A$6:$A$15,0)),0)))))</f>
        <v/>
      </c>
      <c r="L802" s="13" t="str">
        <f aca="false">IF($J802="","",IF($C802="",1,$C802)*IF($Q802&lt;&gt;"",$Q802,IFERROR(INDEX(Products!$D$5:$D$54,MATCH($B802,Products!$A$5:$A$54,0)),0)))</f>
        <v/>
      </c>
      <c r="M802" s="14" t="str">
        <f aca="false">IF($J802="","",$J802-$K802-N($H802)-$L802)</f>
        <v/>
      </c>
      <c r="N802" s="15" t="str">
        <f aca="false">IF($J802="","",IF($J802&gt;0,$M802/$J802,""))</f>
        <v/>
      </c>
      <c r="O802" s="12"/>
      <c r="P802" s="12"/>
      <c r="Q802" s="11"/>
      <c r="R802" s="11"/>
      <c r="S802" s="12"/>
      <c r="T802" s="16" t="str">
        <f aca="false">IF($J802="","",IF($C802="",1,$C802))</f>
        <v/>
      </c>
    </row>
    <row r="803" customFormat="false" ht="15" hidden="false" customHeight="false" outlineLevel="0" collapsed="false">
      <c r="A803" s="7"/>
      <c r="B803" s="8"/>
      <c r="C803" s="9"/>
      <c r="D803" s="10"/>
      <c r="E803" s="11"/>
      <c r="F803" s="11"/>
      <c r="G803" s="8"/>
      <c r="H803" s="11"/>
      <c r="I803" s="12"/>
      <c r="J803" s="13" t="str">
        <f aca="false">IF(OR($A803="",$D803=""),"",IF($C803="",1,$C803)*$D803+N($E803)-N($F803))</f>
        <v/>
      </c>
      <c r="K803" s="13" t="str">
        <f aca="false">IF($J803="","",IF($R803&lt;&gt;"",$R803,IF($G803="",0,MAX(IFERROR(INDEX(Settings!$D$6:$D$15,MATCH($G803,Settings!$A$6:$A$15,0)),0),$J803*IFERROR(INDEX(Settings!$B$6:$B$15,MATCH($G803,Settings!$A$6:$A$15,0)),0)+IFERROR(INDEX(Settings!$C$6:$C$15,MATCH($G803,Settings!$A$6:$A$15,0)),0)))))</f>
        <v/>
      </c>
      <c r="L803" s="13" t="str">
        <f aca="false">IF($J803="","",IF($C803="",1,$C803)*IF($Q803&lt;&gt;"",$Q803,IFERROR(INDEX(Products!$D$5:$D$54,MATCH($B803,Products!$A$5:$A$54,0)),0)))</f>
        <v/>
      </c>
      <c r="M803" s="14" t="str">
        <f aca="false">IF($J803="","",$J803-$K803-N($H803)-$L803)</f>
        <v/>
      </c>
      <c r="N803" s="15" t="str">
        <f aca="false">IF($J803="","",IF($J803&gt;0,$M803/$J803,""))</f>
        <v/>
      </c>
      <c r="O803" s="12"/>
      <c r="P803" s="12"/>
      <c r="Q803" s="11"/>
      <c r="R803" s="11"/>
      <c r="S803" s="12"/>
      <c r="T803" s="16" t="str">
        <f aca="false">IF($J803="","",IF($C803="",1,$C803))</f>
        <v/>
      </c>
    </row>
    <row r="804" customFormat="false" ht="15" hidden="false" customHeight="false" outlineLevel="0" collapsed="false">
      <c r="A804" s="7"/>
      <c r="B804" s="8"/>
      <c r="C804" s="9"/>
      <c r="D804" s="10"/>
      <c r="E804" s="11"/>
      <c r="F804" s="11"/>
      <c r="G804" s="8"/>
      <c r="H804" s="11"/>
      <c r="I804" s="12"/>
      <c r="J804" s="13" t="str">
        <f aca="false">IF(OR($A804="",$D804=""),"",IF($C804="",1,$C804)*$D804+N($E804)-N($F804))</f>
        <v/>
      </c>
      <c r="K804" s="13" t="str">
        <f aca="false">IF($J804="","",IF($R804&lt;&gt;"",$R804,IF($G804="",0,MAX(IFERROR(INDEX(Settings!$D$6:$D$15,MATCH($G804,Settings!$A$6:$A$15,0)),0),$J804*IFERROR(INDEX(Settings!$B$6:$B$15,MATCH($G804,Settings!$A$6:$A$15,0)),0)+IFERROR(INDEX(Settings!$C$6:$C$15,MATCH($G804,Settings!$A$6:$A$15,0)),0)))))</f>
        <v/>
      </c>
      <c r="L804" s="13" t="str">
        <f aca="false">IF($J804="","",IF($C804="",1,$C804)*IF($Q804&lt;&gt;"",$Q804,IFERROR(INDEX(Products!$D$5:$D$54,MATCH($B804,Products!$A$5:$A$54,0)),0)))</f>
        <v/>
      </c>
      <c r="M804" s="14" t="str">
        <f aca="false">IF($J804="","",$J804-$K804-N($H804)-$L804)</f>
        <v/>
      </c>
      <c r="N804" s="15" t="str">
        <f aca="false">IF($J804="","",IF($J804&gt;0,$M804/$J804,""))</f>
        <v/>
      </c>
      <c r="O804" s="12"/>
      <c r="P804" s="12"/>
      <c r="Q804" s="11"/>
      <c r="R804" s="11"/>
      <c r="S804" s="12"/>
      <c r="T804" s="16" t="str">
        <f aca="false">IF($J804="","",IF($C804="",1,$C804))</f>
        <v/>
      </c>
    </row>
    <row r="805" customFormat="false" ht="15" hidden="false" customHeight="false" outlineLevel="0" collapsed="false">
      <c r="A805" s="7"/>
      <c r="B805" s="8"/>
      <c r="C805" s="9"/>
      <c r="D805" s="10"/>
      <c r="E805" s="11"/>
      <c r="F805" s="11"/>
      <c r="G805" s="8"/>
      <c r="H805" s="11"/>
      <c r="I805" s="12"/>
      <c r="J805" s="13" t="str">
        <f aca="false">IF(OR($A805="",$D805=""),"",IF($C805="",1,$C805)*$D805+N($E805)-N($F805))</f>
        <v/>
      </c>
      <c r="K805" s="13" t="str">
        <f aca="false">IF($J805="","",IF($R805&lt;&gt;"",$R805,IF($G805="",0,MAX(IFERROR(INDEX(Settings!$D$6:$D$15,MATCH($G805,Settings!$A$6:$A$15,0)),0),$J805*IFERROR(INDEX(Settings!$B$6:$B$15,MATCH($G805,Settings!$A$6:$A$15,0)),0)+IFERROR(INDEX(Settings!$C$6:$C$15,MATCH($G805,Settings!$A$6:$A$15,0)),0)))))</f>
        <v/>
      </c>
      <c r="L805" s="13" t="str">
        <f aca="false">IF($J805="","",IF($C805="",1,$C805)*IF($Q805&lt;&gt;"",$Q805,IFERROR(INDEX(Products!$D$5:$D$54,MATCH($B805,Products!$A$5:$A$54,0)),0)))</f>
        <v/>
      </c>
      <c r="M805" s="14" t="str">
        <f aca="false">IF($J805="","",$J805-$K805-N($H805)-$L805)</f>
        <v/>
      </c>
      <c r="N805" s="15" t="str">
        <f aca="false">IF($J805="","",IF($J805&gt;0,$M805/$J805,""))</f>
        <v/>
      </c>
      <c r="O805" s="12"/>
      <c r="P805" s="12"/>
      <c r="Q805" s="11"/>
      <c r="R805" s="11"/>
      <c r="S805" s="12"/>
      <c r="T805" s="16" t="str">
        <f aca="false">IF($J805="","",IF($C805="",1,$C805))</f>
        <v/>
      </c>
    </row>
    <row r="806" customFormat="false" ht="15" hidden="false" customHeight="false" outlineLevel="0" collapsed="false">
      <c r="A806" s="7"/>
      <c r="B806" s="8"/>
      <c r="C806" s="9"/>
      <c r="D806" s="10"/>
      <c r="E806" s="11"/>
      <c r="F806" s="11"/>
      <c r="G806" s="8"/>
      <c r="H806" s="11"/>
      <c r="I806" s="12"/>
      <c r="J806" s="13" t="str">
        <f aca="false">IF(OR($A806="",$D806=""),"",IF($C806="",1,$C806)*$D806+N($E806)-N($F806))</f>
        <v/>
      </c>
      <c r="K806" s="13" t="str">
        <f aca="false">IF($J806="","",IF($R806&lt;&gt;"",$R806,IF($G806="",0,MAX(IFERROR(INDEX(Settings!$D$6:$D$15,MATCH($G806,Settings!$A$6:$A$15,0)),0),$J806*IFERROR(INDEX(Settings!$B$6:$B$15,MATCH($G806,Settings!$A$6:$A$15,0)),0)+IFERROR(INDEX(Settings!$C$6:$C$15,MATCH($G806,Settings!$A$6:$A$15,0)),0)))))</f>
        <v/>
      </c>
      <c r="L806" s="13" t="str">
        <f aca="false">IF($J806="","",IF($C806="",1,$C806)*IF($Q806&lt;&gt;"",$Q806,IFERROR(INDEX(Products!$D$5:$D$54,MATCH($B806,Products!$A$5:$A$54,0)),0)))</f>
        <v/>
      </c>
      <c r="M806" s="14" t="str">
        <f aca="false">IF($J806="","",$J806-$K806-N($H806)-$L806)</f>
        <v/>
      </c>
      <c r="N806" s="15" t="str">
        <f aca="false">IF($J806="","",IF($J806&gt;0,$M806/$J806,""))</f>
        <v/>
      </c>
      <c r="O806" s="12"/>
      <c r="P806" s="12"/>
      <c r="Q806" s="11"/>
      <c r="R806" s="11"/>
      <c r="S806" s="12"/>
      <c r="T806" s="16" t="str">
        <f aca="false">IF($J806="","",IF($C806="",1,$C806))</f>
        <v/>
      </c>
    </row>
    <row r="807" customFormat="false" ht="15" hidden="false" customHeight="false" outlineLevel="0" collapsed="false">
      <c r="A807" s="7"/>
      <c r="B807" s="8"/>
      <c r="C807" s="9"/>
      <c r="D807" s="10"/>
      <c r="E807" s="11"/>
      <c r="F807" s="11"/>
      <c r="G807" s="8"/>
      <c r="H807" s="11"/>
      <c r="I807" s="12"/>
      <c r="J807" s="13" t="str">
        <f aca="false">IF(OR($A807="",$D807=""),"",IF($C807="",1,$C807)*$D807+N($E807)-N($F807))</f>
        <v/>
      </c>
      <c r="K807" s="13" t="str">
        <f aca="false">IF($J807="","",IF($R807&lt;&gt;"",$R807,IF($G807="",0,MAX(IFERROR(INDEX(Settings!$D$6:$D$15,MATCH($G807,Settings!$A$6:$A$15,0)),0),$J807*IFERROR(INDEX(Settings!$B$6:$B$15,MATCH($G807,Settings!$A$6:$A$15,0)),0)+IFERROR(INDEX(Settings!$C$6:$C$15,MATCH($G807,Settings!$A$6:$A$15,0)),0)))))</f>
        <v/>
      </c>
      <c r="L807" s="13" t="str">
        <f aca="false">IF($J807="","",IF($C807="",1,$C807)*IF($Q807&lt;&gt;"",$Q807,IFERROR(INDEX(Products!$D$5:$D$54,MATCH($B807,Products!$A$5:$A$54,0)),0)))</f>
        <v/>
      </c>
      <c r="M807" s="14" t="str">
        <f aca="false">IF($J807="","",$J807-$K807-N($H807)-$L807)</f>
        <v/>
      </c>
      <c r="N807" s="15" t="str">
        <f aca="false">IF($J807="","",IF($J807&gt;0,$M807/$J807,""))</f>
        <v/>
      </c>
      <c r="O807" s="12"/>
      <c r="P807" s="12"/>
      <c r="Q807" s="11"/>
      <c r="R807" s="11"/>
      <c r="S807" s="12"/>
      <c r="T807" s="16" t="str">
        <f aca="false">IF($J807="","",IF($C807="",1,$C807))</f>
        <v/>
      </c>
    </row>
    <row r="808" customFormat="false" ht="15" hidden="false" customHeight="false" outlineLevel="0" collapsed="false">
      <c r="A808" s="7"/>
      <c r="B808" s="8"/>
      <c r="C808" s="9"/>
      <c r="D808" s="10"/>
      <c r="E808" s="11"/>
      <c r="F808" s="11"/>
      <c r="G808" s="8"/>
      <c r="H808" s="11"/>
      <c r="I808" s="12"/>
      <c r="J808" s="13" t="str">
        <f aca="false">IF(OR($A808="",$D808=""),"",IF($C808="",1,$C808)*$D808+N($E808)-N($F808))</f>
        <v/>
      </c>
      <c r="K808" s="13" t="str">
        <f aca="false">IF($J808="","",IF($R808&lt;&gt;"",$R808,IF($G808="",0,MAX(IFERROR(INDEX(Settings!$D$6:$D$15,MATCH($G808,Settings!$A$6:$A$15,0)),0),$J808*IFERROR(INDEX(Settings!$B$6:$B$15,MATCH($G808,Settings!$A$6:$A$15,0)),0)+IFERROR(INDEX(Settings!$C$6:$C$15,MATCH($G808,Settings!$A$6:$A$15,0)),0)))))</f>
        <v/>
      </c>
      <c r="L808" s="13" t="str">
        <f aca="false">IF($J808="","",IF($C808="",1,$C808)*IF($Q808&lt;&gt;"",$Q808,IFERROR(INDEX(Products!$D$5:$D$54,MATCH($B808,Products!$A$5:$A$54,0)),0)))</f>
        <v/>
      </c>
      <c r="M808" s="14" t="str">
        <f aca="false">IF($J808="","",$J808-$K808-N($H808)-$L808)</f>
        <v/>
      </c>
      <c r="N808" s="15" t="str">
        <f aca="false">IF($J808="","",IF($J808&gt;0,$M808/$J808,""))</f>
        <v/>
      </c>
      <c r="O808" s="12"/>
      <c r="P808" s="12"/>
      <c r="Q808" s="11"/>
      <c r="R808" s="11"/>
      <c r="S808" s="12"/>
      <c r="T808" s="16" t="str">
        <f aca="false">IF($J808="","",IF($C808="",1,$C808))</f>
        <v/>
      </c>
    </row>
    <row r="809" customFormat="false" ht="15" hidden="false" customHeight="false" outlineLevel="0" collapsed="false">
      <c r="A809" s="7"/>
      <c r="B809" s="8"/>
      <c r="C809" s="9"/>
      <c r="D809" s="10"/>
      <c r="E809" s="11"/>
      <c r="F809" s="11"/>
      <c r="G809" s="8"/>
      <c r="H809" s="11"/>
      <c r="I809" s="12"/>
      <c r="J809" s="13" t="str">
        <f aca="false">IF(OR($A809="",$D809=""),"",IF($C809="",1,$C809)*$D809+N($E809)-N($F809))</f>
        <v/>
      </c>
      <c r="K809" s="13" t="str">
        <f aca="false">IF($J809="","",IF($R809&lt;&gt;"",$R809,IF($G809="",0,MAX(IFERROR(INDEX(Settings!$D$6:$D$15,MATCH($G809,Settings!$A$6:$A$15,0)),0),$J809*IFERROR(INDEX(Settings!$B$6:$B$15,MATCH($G809,Settings!$A$6:$A$15,0)),0)+IFERROR(INDEX(Settings!$C$6:$C$15,MATCH($G809,Settings!$A$6:$A$15,0)),0)))))</f>
        <v/>
      </c>
      <c r="L809" s="13" t="str">
        <f aca="false">IF($J809="","",IF($C809="",1,$C809)*IF($Q809&lt;&gt;"",$Q809,IFERROR(INDEX(Products!$D$5:$D$54,MATCH($B809,Products!$A$5:$A$54,0)),0)))</f>
        <v/>
      </c>
      <c r="M809" s="14" t="str">
        <f aca="false">IF($J809="","",$J809-$K809-N($H809)-$L809)</f>
        <v/>
      </c>
      <c r="N809" s="15" t="str">
        <f aca="false">IF($J809="","",IF($J809&gt;0,$M809/$J809,""))</f>
        <v/>
      </c>
      <c r="O809" s="12"/>
      <c r="P809" s="12"/>
      <c r="Q809" s="11"/>
      <c r="R809" s="11"/>
      <c r="S809" s="12"/>
      <c r="T809" s="16" t="str">
        <f aca="false">IF($J809="","",IF($C809="",1,$C809))</f>
        <v/>
      </c>
    </row>
    <row r="810" customFormat="false" ht="15" hidden="false" customHeight="false" outlineLevel="0" collapsed="false">
      <c r="A810" s="7"/>
      <c r="B810" s="8"/>
      <c r="C810" s="9"/>
      <c r="D810" s="10"/>
      <c r="E810" s="11"/>
      <c r="F810" s="11"/>
      <c r="G810" s="8"/>
      <c r="H810" s="11"/>
      <c r="I810" s="12"/>
      <c r="J810" s="13" t="str">
        <f aca="false">IF(OR($A810="",$D810=""),"",IF($C810="",1,$C810)*$D810+N($E810)-N($F810))</f>
        <v/>
      </c>
      <c r="K810" s="13" t="str">
        <f aca="false">IF($J810="","",IF($R810&lt;&gt;"",$R810,IF($G810="",0,MAX(IFERROR(INDEX(Settings!$D$6:$D$15,MATCH($G810,Settings!$A$6:$A$15,0)),0),$J810*IFERROR(INDEX(Settings!$B$6:$B$15,MATCH($G810,Settings!$A$6:$A$15,0)),0)+IFERROR(INDEX(Settings!$C$6:$C$15,MATCH($G810,Settings!$A$6:$A$15,0)),0)))))</f>
        <v/>
      </c>
      <c r="L810" s="13" t="str">
        <f aca="false">IF($J810="","",IF($C810="",1,$C810)*IF($Q810&lt;&gt;"",$Q810,IFERROR(INDEX(Products!$D$5:$D$54,MATCH($B810,Products!$A$5:$A$54,0)),0)))</f>
        <v/>
      </c>
      <c r="M810" s="14" t="str">
        <f aca="false">IF($J810="","",$J810-$K810-N($H810)-$L810)</f>
        <v/>
      </c>
      <c r="N810" s="15" t="str">
        <f aca="false">IF($J810="","",IF($J810&gt;0,$M810/$J810,""))</f>
        <v/>
      </c>
      <c r="O810" s="12"/>
      <c r="P810" s="12"/>
      <c r="Q810" s="11"/>
      <c r="R810" s="11"/>
      <c r="S810" s="12"/>
      <c r="T810" s="16" t="str">
        <f aca="false">IF($J810="","",IF($C810="",1,$C810))</f>
        <v/>
      </c>
    </row>
    <row r="811" customFormat="false" ht="15" hidden="false" customHeight="false" outlineLevel="0" collapsed="false">
      <c r="A811" s="7"/>
      <c r="B811" s="8"/>
      <c r="C811" s="9"/>
      <c r="D811" s="10"/>
      <c r="E811" s="11"/>
      <c r="F811" s="11"/>
      <c r="G811" s="8"/>
      <c r="H811" s="11"/>
      <c r="I811" s="12"/>
      <c r="J811" s="13" t="str">
        <f aca="false">IF(OR($A811="",$D811=""),"",IF($C811="",1,$C811)*$D811+N($E811)-N($F811))</f>
        <v/>
      </c>
      <c r="K811" s="13" t="str">
        <f aca="false">IF($J811="","",IF($R811&lt;&gt;"",$R811,IF($G811="",0,MAX(IFERROR(INDEX(Settings!$D$6:$D$15,MATCH($G811,Settings!$A$6:$A$15,0)),0),$J811*IFERROR(INDEX(Settings!$B$6:$B$15,MATCH($G811,Settings!$A$6:$A$15,0)),0)+IFERROR(INDEX(Settings!$C$6:$C$15,MATCH($G811,Settings!$A$6:$A$15,0)),0)))))</f>
        <v/>
      </c>
      <c r="L811" s="13" t="str">
        <f aca="false">IF($J811="","",IF($C811="",1,$C811)*IF($Q811&lt;&gt;"",$Q811,IFERROR(INDEX(Products!$D$5:$D$54,MATCH($B811,Products!$A$5:$A$54,0)),0)))</f>
        <v/>
      </c>
      <c r="M811" s="14" t="str">
        <f aca="false">IF($J811="","",$J811-$K811-N($H811)-$L811)</f>
        <v/>
      </c>
      <c r="N811" s="15" t="str">
        <f aca="false">IF($J811="","",IF($J811&gt;0,$M811/$J811,""))</f>
        <v/>
      </c>
      <c r="O811" s="12"/>
      <c r="P811" s="12"/>
      <c r="Q811" s="11"/>
      <c r="R811" s="11"/>
      <c r="S811" s="12"/>
      <c r="T811" s="16" t="str">
        <f aca="false">IF($J811="","",IF($C811="",1,$C811))</f>
        <v/>
      </c>
    </row>
    <row r="812" customFormat="false" ht="15" hidden="false" customHeight="false" outlineLevel="0" collapsed="false">
      <c r="A812" s="7"/>
      <c r="B812" s="8"/>
      <c r="C812" s="9"/>
      <c r="D812" s="10"/>
      <c r="E812" s="11"/>
      <c r="F812" s="11"/>
      <c r="G812" s="8"/>
      <c r="H812" s="11"/>
      <c r="I812" s="12"/>
      <c r="J812" s="13" t="str">
        <f aca="false">IF(OR($A812="",$D812=""),"",IF($C812="",1,$C812)*$D812+N($E812)-N($F812))</f>
        <v/>
      </c>
      <c r="K812" s="13" t="str">
        <f aca="false">IF($J812="","",IF($R812&lt;&gt;"",$R812,IF($G812="",0,MAX(IFERROR(INDEX(Settings!$D$6:$D$15,MATCH($G812,Settings!$A$6:$A$15,0)),0),$J812*IFERROR(INDEX(Settings!$B$6:$B$15,MATCH($G812,Settings!$A$6:$A$15,0)),0)+IFERROR(INDEX(Settings!$C$6:$C$15,MATCH($G812,Settings!$A$6:$A$15,0)),0)))))</f>
        <v/>
      </c>
      <c r="L812" s="13" t="str">
        <f aca="false">IF($J812="","",IF($C812="",1,$C812)*IF($Q812&lt;&gt;"",$Q812,IFERROR(INDEX(Products!$D$5:$D$54,MATCH($B812,Products!$A$5:$A$54,0)),0)))</f>
        <v/>
      </c>
      <c r="M812" s="14" t="str">
        <f aca="false">IF($J812="","",$J812-$K812-N($H812)-$L812)</f>
        <v/>
      </c>
      <c r="N812" s="15" t="str">
        <f aca="false">IF($J812="","",IF($J812&gt;0,$M812/$J812,""))</f>
        <v/>
      </c>
      <c r="O812" s="12"/>
      <c r="P812" s="12"/>
      <c r="Q812" s="11"/>
      <c r="R812" s="11"/>
      <c r="S812" s="12"/>
      <c r="T812" s="16" t="str">
        <f aca="false">IF($J812="","",IF($C812="",1,$C812))</f>
        <v/>
      </c>
    </row>
    <row r="813" customFormat="false" ht="15" hidden="false" customHeight="false" outlineLevel="0" collapsed="false">
      <c r="A813" s="7"/>
      <c r="B813" s="8"/>
      <c r="C813" s="9"/>
      <c r="D813" s="10"/>
      <c r="E813" s="11"/>
      <c r="F813" s="11"/>
      <c r="G813" s="8"/>
      <c r="H813" s="11"/>
      <c r="I813" s="12"/>
      <c r="J813" s="13" t="str">
        <f aca="false">IF(OR($A813="",$D813=""),"",IF($C813="",1,$C813)*$D813+N($E813)-N($F813))</f>
        <v/>
      </c>
      <c r="K813" s="13" t="str">
        <f aca="false">IF($J813="","",IF($R813&lt;&gt;"",$R813,IF($G813="",0,MAX(IFERROR(INDEX(Settings!$D$6:$D$15,MATCH($G813,Settings!$A$6:$A$15,0)),0),$J813*IFERROR(INDEX(Settings!$B$6:$B$15,MATCH($G813,Settings!$A$6:$A$15,0)),0)+IFERROR(INDEX(Settings!$C$6:$C$15,MATCH($G813,Settings!$A$6:$A$15,0)),0)))))</f>
        <v/>
      </c>
      <c r="L813" s="13" t="str">
        <f aca="false">IF($J813="","",IF($C813="",1,$C813)*IF($Q813&lt;&gt;"",$Q813,IFERROR(INDEX(Products!$D$5:$D$54,MATCH($B813,Products!$A$5:$A$54,0)),0)))</f>
        <v/>
      </c>
      <c r="M813" s="14" t="str">
        <f aca="false">IF($J813="","",$J813-$K813-N($H813)-$L813)</f>
        <v/>
      </c>
      <c r="N813" s="15" t="str">
        <f aca="false">IF($J813="","",IF($J813&gt;0,$M813/$J813,""))</f>
        <v/>
      </c>
      <c r="O813" s="12"/>
      <c r="P813" s="12"/>
      <c r="Q813" s="11"/>
      <c r="R813" s="11"/>
      <c r="S813" s="12"/>
      <c r="T813" s="16" t="str">
        <f aca="false">IF($J813="","",IF($C813="",1,$C813))</f>
        <v/>
      </c>
    </row>
    <row r="814" customFormat="false" ht="15" hidden="false" customHeight="false" outlineLevel="0" collapsed="false">
      <c r="A814" s="7"/>
      <c r="B814" s="8"/>
      <c r="C814" s="9"/>
      <c r="D814" s="10"/>
      <c r="E814" s="11"/>
      <c r="F814" s="11"/>
      <c r="G814" s="8"/>
      <c r="H814" s="11"/>
      <c r="I814" s="12"/>
      <c r="J814" s="13" t="str">
        <f aca="false">IF(OR($A814="",$D814=""),"",IF($C814="",1,$C814)*$D814+N($E814)-N($F814))</f>
        <v/>
      </c>
      <c r="K814" s="13" t="str">
        <f aca="false">IF($J814="","",IF($R814&lt;&gt;"",$R814,IF($G814="",0,MAX(IFERROR(INDEX(Settings!$D$6:$D$15,MATCH($G814,Settings!$A$6:$A$15,0)),0),$J814*IFERROR(INDEX(Settings!$B$6:$B$15,MATCH($G814,Settings!$A$6:$A$15,0)),0)+IFERROR(INDEX(Settings!$C$6:$C$15,MATCH($G814,Settings!$A$6:$A$15,0)),0)))))</f>
        <v/>
      </c>
      <c r="L814" s="13" t="str">
        <f aca="false">IF($J814="","",IF($C814="",1,$C814)*IF($Q814&lt;&gt;"",$Q814,IFERROR(INDEX(Products!$D$5:$D$54,MATCH($B814,Products!$A$5:$A$54,0)),0)))</f>
        <v/>
      </c>
      <c r="M814" s="14" t="str">
        <f aca="false">IF($J814="","",$J814-$K814-N($H814)-$L814)</f>
        <v/>
      </c>
      <c r="N814" s="15" t="str">
        <f aca="false">IF($J814="","",IF($J814&gt;0,$M814/$J814,""))</f>
        <v/>
      </c>
      <c r="O814" s="12"/>
      <c r="P814" s="12"/>
      <c r="Q814" s="11"/>
      <c r="R814" s="11"/>
      <c r="S814" s="12"/>
      <c r="T814" s="16" t="str">
        <f aca="false">IF($J814="","",IF($C814="",1,$C814))</f>
        <v/>
      </c>
    </row>
    <row r="815" customFormat="false" ht="15" hidden="false" customHeight="false" outlineLevel="0" collapsed="false">
      <c r="A815" s="7"/>
      <c r="B815" s="8"/>
      <c r="C815" s="9"/>
      <c r="D815" s="10"/>
      <c r="E815" s="11"/>
      <c r="F815" s="11"/>
      <c r="G815" s="8"/>
      <c r="H815" s="11"/>
      <c r="I815" s="12"/>
      <c r="J815" s="13" t="str">
        <f aca="false">IF(OR($A815="",$D815=""),"",IF($C815="",1,$C815)*$D815+N($E815)-N($F815))</f>
        <v/>
      </c>
      <c r="K815" s="13" t="str">
        <f aca="false">IF($J815="","",IF($R815&lt;&gt;"",$R815,IF($G815="",0,MAX(IFERROR(INDEX(Settings!$D$6:$D$15,MATCH($G815,Settings!$A$6:$A$15,0)),0),$J815*IFERROR(INDEX(Settings!$B$6:$B$15,MATCH($G815,Settings!$A$6:$A$15,0)),0)+IFERROR(INDEX(Settings!$C$6:$C$15,MATCH($G815,Settings!$A$6:$A$15,0)),0)))))</f>
        <v/>
      </c>
      <c r="L815" s="13" t="str">
        <f aca="false">IF($J815="","",IF($C815="",1,$C815)*IF($Q815&lt;&gt;"",$Q815,IFERROR(INDEX(Products!$D$5:$D$54,MATCH($B815,Products!$A$5:$A$54,0)),0)))</f>
        <v/>
      </c>
      <c r="M815" s="14" t="str">
        <f aca="false">IF($J815="","",$J815-$K815-N($H815)-$L815)</f>
        <v/>
      </c>
      <c r="N815" s="15" t="str">
        <f aca="false">IF($J815="","",IF($J815&gt;0,$M815/$J815,""))</f>
        <v/>
      </c>
      <c r="O815" s="12"/>
      <c r="P815" s="12"/>
      <c r="Q815" s="11"/>
      <c r="R815" s="11"/>
      <c r="S815" s="12"/>
      <c r="T815" s="16" t="str">
        <f aca="false">IF($J815="","",IF($C815="",1,$C815))</f>
        <v/>
      </c>
    </row>
    <row r="816" customFormat="false" ht="15" hidden="false" customHeight="false" outlineLevel="0" collapsed="false">
      <c r="A816" s="7"/>
      <c r="B816" s="8"/>
      <c r="C816" s="9"/>
      <c r="D816" s="10"/>
      <c r="E816" s="11"/>
      <c r="F816" s="11"/>
      <c r="G816" s="8"/>
      <c r="H816" s="11"/>
      <c r="I816" s="12"/>
      <c r="J816" s="13" t="str">
        <f aca="false">IF(OR($A816="",$D816=""),"",IF($C816="",1,$C816)*$D816+N($E816)-N($F816))</f>
        <v/>
      </c>
      <c r="K816" s="13" t="str">
        <f aca="false">IF($J816="","",IF($R816&lt;&gt;"",$R816,IF($G816="",0,MAX(IFERROR(INDEX(Settings!$D$6:$D$15,MATCH($G816,Settings!$A$6:$A$15,0)),0),$J816*IFERROR(INDEX(Settings!$B$6:$B$15,MATCH($G816,Settings!$A$6:$A$15,0)),0)+IFERROR(INDEX(Settings!$C$6:$C$15,MATCH($G816,Settings!$A$6:$A$15,0)),0)))))</f>
        <v/>
      </c>
      <c r="L816" s="13" t="str">
        <f aca="false">IF($J816="","",IF($C816="",1,$C816)*IF($Q816&lt;&gt;"",$Q816,IFERROR(INDEX(Products!$D$5:$D$54,MATCH($B816,Products!$A$5:$A$54,0)),0)))</f>
        <v/>
      </c>
      <c r="M816" s="14" t="str">
        <f aca="false">IF($J816="","",$J816-$K816-N($H816)-$L816)</f>
        <v/>
      </c>
      <c r="N816" s="15" t="str">
        <f aca="false">IF($J816="","",IF($J816&gt;0,$M816/$J816,""))</f>
        <v/>
      </c>
      <c r="O816" s="12"/>
      <c r="P816" s="12"/>
      <c r="Q816" s="11"/>
      <c r="R816" s="11"/>
      <c r="S816" s="12"/>
      <c r="T816" s="16" t="str">
        <f aca="false">IF($J816="","",IF($C816="",1,$C816))</f>
        <v/>
      </c>
    </row>
    <row r="817" customFormat="false" ht="15" hidden="false" customHeight="false" outlineLevel="0" collapsed="false">
      <c r="A817" s="7"/>
      <c r="B817" s="8"/>
      <c r="C817" s="9"/>
      <c r="D817" s="10"/>
      <c r="E817" s="11"/>
      <c r="F817" s="11"/>
      <c r="G817" s="8"/>
      <c r="H817" s="11"/>
      <c r="I817" s="12"/>
      <c r="J817" s="13" t="str">
        <f aca="false">IF(OR($A817="",$D817=""),"",IF($C817="",1,$C817)*$D817+N($E817)-N($F817))</f>
        <v/>
      </c>
      <c r="K817" s="13" t="str">
        <f aca="false">IF($J817="","",IF($R817&lt;&gt;"",$R817,IF($G817="",0,MAX(IFERROR(INDEX(Settings!$D$6:$D$15,MATCH($G817,Settings!$A$6:$A$15,0)),0),$J817*IFERROR(INDEX(Settings!$B$6:$B$15,MATCH($G817,Settings!$A$6:$A$15,0)),0)+IFERROR(INDEX(Settings!$C$6:$C$15,MATCH($G817,Settings!$A$6:$A$15,0)),0)))))</f>
        <v/>
      </c>
      <c r="L817" s="13" t="str">
        <f aca="false">IF($J817="","",IF($C817="",1,$C817)*IF($Q817&lt;&gt;"",$Q817,IFERROR(INDEX(Products!$D$5:$D$54,MATCH($B817,Products!$A$5:$A$54,0)),0)))</f>
        <v/>
      </c>
      <c r="M817" s="14" t="str">
        <f aca="false">IF($J817="","",$J817-$K817-N($H817)-$L817)</f>
        <v/>
      </c>
      <c r="N817" s="15" t="str">
        <f aca="false">IF($J817="","",IF($J817&gt;0,$M817/$J817,""))</f>
        <v/>
      </c>
      <c r="O817" s="12"/>
      <c r="P817" s="12"/>
      <c r="Q817" s="11"/>
      <c r="R817" s="11"/>
      <c r="S817" s="12"/>
      <c r="T817" s="16" t="str">
        <f aca="false">IF($J817="","",IF($C817="",1,$C817))</f>
        <v/>
      </c>
    </row>
    <row r="818" customFormat="false" ht="15" hidden="false" customHeight="false" outlineLevel="0" collapsed="false">
      <c r="A818" s="7"/>
      <c r="B818" s="8"/>
      <c r="C818" s="9"/>
      <c r="D818" s="10"/>
      <c r="E818" s="11"/>
      <c r="F818" s="11"/>
      <c r="G818" s="8"/>
      <c r="H818" s="11"/>
      <c r="I818" s="12"/>
      <c r="J818" s="13" t="str">
        <f aca="false">IF(OR($A818="",$D818=""),"",IF($C818="",1,$C818)*$D818+N($E818)-N($F818))</f>
        <v/>
      </c>
      <c r="K818" s="13" t="str">
        <f aca="false">IF($J818="","",IF($R818&lt;&gt;"",$R818,IF($G818="",0,MAX(IFERROR(INDEX(Settings!$D$6:$D$15,MATCH($G818,Settings!$A$6:$A$15,0)),0),$J818*IFERROR(INDEX(Settings!$B$6:$B$15,MATCH($G818,Settings!$A$6:$A$15,0)),0)+IFERROR(INDEX(Settings!$C$6:$C$15,MATCH($G818,Settings!$A$6:$A$15,0)),0)))))</f>
        <v/>
      </c>
      <c r="L818" s="13" t="str">
        <f aca="false">IF($J818="","",IF($C818="",1,$C818)*IF($Q818&lt;&gt;"",$Q818,IFERROR(INDEX(Products!$D$5:$D$54,MATCH($B818,Products!$A$5:$A$54,0)),0)))</f>
        <v/>
      </c>
      <c r="M818" s="14" t="str">
        <f aca="false">IF($J818="","",$J818-$K818-N($H818)-$L818)</f>
        <v/>
      </c>
      <c r="N818" s="15" t="str">
        <f aca="false">IF($J818="","",IF($J818&gt;0,$M818/$J818,""))</f>
        <v/>
      </c>
      <c r="O818" s="12"/>
      <c r="P818" s="12"/>
      <c r="Q818" s="11"/>
      <c r="R818" s="11"/>
      <c r="S818" s="12"/>
      <c r="T818" s="16" t="str">
        <f aca="false">IF($J818="","",IF($C818="",1,$C818))</f>
        <v/>
      </c>
    </row>
    <row r="819" customFormat="false" ht="15" hidden="false" customHeight="false" outlineLevel="0" collapsed="false">
      <c r="A819" s="7"/>
      <c r="B819" s="8"/>
      <c r="C819" s="9"/>
      <c r="D819" s="10"/>
      <c r="E819" s="11"/>
      <c r="F819" s="11"/>
      <c r="G819" s="8"/>
      <c r="H819" s="11"/>
      <c r="I819" s="12"/>
      <c r="J819" s="13" t="str">
        <f aca="false">IF(OR($A819="",$D819=""),"",IF($C819="",1,$C819)*$D819+N($E819)-N($F819))</f>
        <v/>
      </c>
      <c r="K819" s="13" t="str">
        <f aca="false">IF($J819="","",IF($R819&lt;&gt;"",$R819,IF($G819="",0,MAX(IFERROR(INDEX(Settings!$D$6:$D$15,MATCH($G819,Settings!$A$6:$A$15,0)),0),$J819*IFERROR(INDEX(Settings!$B$6:$B$15,MATCH($G819,Settings!$A$6:$A$15,0)),0)+IFERROR(INDEX(Settings!$C$6:$C$15,MATCH($G819,Settings!$A$6:$A$15,0)),0)))))</f>
        <v/>
      </c>
      <c r="L819" s="13" t="str">
        <f aca="false">IF($J819="","",IF($C819="",1,$C819)*IF($Q819&lt;&gt;"",$Q819,IFERROR(INDEX(Products!$D$5:$D$54,MATCH($B819,Products!$A$5:$A$54,0)),0)))</f>
        <v/>
      </c>
      <c r="M819" s="14" t="str">
        <f aca="false">IF($J819="","",$J819-$K819-N($H819)-$L819)</f>
        <v/>
      </c>
      <c r="N819" s="15" t="str">
        <f aca="false">IF($J819="","",IF($J819&gt;0,$M819/$J819,""))</f>
        <v/>
      </c>
      <c r="O819" s="12"/>
      <c r="P819" s="12"/>
      <c r="Q819" s="11"/>
      <c r="R819" s="11"/>
      <c r="S819" s="12"/>
      <c r="T819" s="16" t="str">
        <f aca="false">IF($J819="","",IF($C819="",1,$C819))</f>
        <v/>
      </c>
    </row>
    <row r="820" customFormat="false" ht="15" hidden="false" customHeight="false" outlineLevel="0" collapsed="false">
      <c r="A820" s="7"/>
      <c r="B820" s="8"/>
      <c r="C820" s="9"/>
      <c r="D820" s="10"/>
      <c r="E820" s="11"/>
      <c r="F820" s="11"/>
      <c r="G820" s="8"/>
      <c r="H820" s="11"/>
      <c r="I820" s="12"/>
      <c r="J820" s="13" t="str">
        <f aca="false">IF(OR($A820="",$D820=""),"",IF($C820="",1,$C820)*$D820+N($E820)-N($F820))</f>
        <v/>
      </c>
      <c r="K820" s="13" t="str">
        <f aca="false">IF($J820="","",IF($R820&lt;&gt;"",$R820,IF($G820="",0,MAX(IFERROR(INDEX(Settings!$D$6:$D$15,MATCH($G820,Settings!$A$6:$A$15,0)),0),$J820*IFERROR(INDEX(Settings!$B$6:$B$15,MATCH($G820,Settings!$A$6:$A$15,0)),0)+IFERROR(INDEX(Settings!$C$6:$C$15,MATCH($G820,Settings!$A$6:$A$15,0)),0)))))</f>
        <v/>
      </c>
      <c r="L820" s="13" t="str">
        <f aca="false">IF($J820="","",IF($C820="",1,$C820)*IF($Q820&lt;&gt;"",$Q820,IFERROR(INDEX(Products!$D$5:$D$54,MATCH($B820,Products!$A$5:$A$54,0)),0)))</f>
        <v/>
      </c>
      <c r="M820" s="14" t="str">
        <f aca="false">IF($J820="","",$J820-$K820-N($H820)-$L820)</f>
        <v/>
      </c>
      <c r="N820" s="15" t="str">
        <f aca="false">IF($J820="","",IF($J820&gt;0,$M820/$J820,""))</f>
        <v/>
      </c>
      <c r="O820" s="12"/>
      <c r="P820" s="12"/>
      <c r="Q820" s="11"/>
      <c r="R820" s="11"/>
      <c r="S820" s="12"/>
      <c r="T820" s="16" t="str">
        <f aca="false">IF($J820="","",IF($C820="",1,$C820))</f>
        <v/>
      </c>
    </row>
    <row r="821" customFormat="false" ht="15" hidden="false" customHeight="false" outlineLevel="0" collapsed="false">
      <c r="A821" s="7"/>
      <c r="B821" s="8"/>
      <c r="C821" s="9"/>
      <c r="D821" s="10"/>
      <c r="E821" s="11"/>
      <c r="F821" s="11"/>
      <c r="G821" s="8"/>
      <c r="H821" s="11"/>
      <c r="I821" s="12"/>
      <c r="J821" s="13" t="str">
        <f aca="false">IF(OR($A821="",$D821=""),"",IF($C821="",1,$C821)*$D821+N($E821)-N($F821))</f>
        <v/>
      </c>
      <c r="K821" s="13" t="str">
        <f aca="false">IF($J821="","",IF($R821&lt;&gt;"",$R821,IF($G821="",0,MAX(IFERROR(INDEX(Settings!$D$6:$D$15,MATCH($G821,Settings!$A$6:$A$15,0)),0),$J821*IFERROR(INDEX(Settings!$B$6:$B$15,MATCH($G821,Settings!$A$6:$A$15,0)),0)+IFERROR(INDEX(Settings!$C$6:$C$15,MATCH($G821,Settings!$A$6:$A$15,0)),0)))))</f>
        <v/>
      </c>
      <c r="L821" s="13" t="str">
        <f aca="false">IF($J821="","",IF($C821="",1,$C821)*IF($Q821&lt;&gt;"",$Q821,IFERROR(INDEX(Products!$D$5:$D$54,MATCH($B821,Products!$A$5:$A$54,0)),0)))</f>
        <v/>
      </c>
      <c r="M821" s="14" t="str">
        <f aca="false">IF($J821="","",$J821-$K821-N($H821)-$L821)</f>
        <v/>
      </c>
      <c r="N821" s="15" t="str">
        <f aca="false">IF($J821="","",IF($J821&gt;0,$M821/$J821,""))</f>
        <v/>
      </c>
      <c r="O821" s="12"/>
      <c r="P821" s="12"/>
      <c r="Q821" s="11"/>
      <c r="R821" s="11"/>
      <c r="S821" s="12"/>
      <c r="T821" s="16" t="str">
        <f aca="false">IF($J821="","",IF($C821="",1,$C821))</f>
        <v/>
      </c>
    </row>
    <row r="822" customFormat="false" ht="15" hidden="false" customHeight="false" outlineLevel="0" collapsed="false">
      <c r="A822" s="7"/>
      <c r="B822" s="8"/>
      <c r="C822" s="9"/>
      <c r="D822" s="10"/>
      <c r="E822" s="11"/>
      <c r="F822" s="11"/>
      <c r="G822" s="8"/>
      <c r="H822" s="11"/>
      <c r="I822" s="12"/>
      <c r="J822" s="13" t="str">
        <f aca="false">IF(OR($A822="",$D822=""),"",IF($C822="",1,$C822)*$D822+N($E822)-N($F822))</f>
        <v/>
      </c>
      <c r="K822" s="13" t="str">
        <f aca="false">IF($J822="","",IF($R822&lt;&gt;"",$R822,IF($G822="",0,MAX(IFERROR(INDEX(Settings!$D$6:$D$15,MATCH($G822,Settings!$A$6:$A$15,0)),0),$J822*IFERROR(INDEX(Settings!$B$6:$B$15,MATCH($G822,Settings!$A$6:$A$15,0)),0)+IFERROR(INDEX(Settings!$C$6:$C$15,MATCH($G822,Settings!$A$6:$A$15,0)),0)))))</f>
        <v/>
      </c>
      <c r="L822" s="13" t="str">
        <f aca="false">IF($J822="","",IF($C822="",1,$C822)*IF($Q822&lt;&gt;"",$Q822,IFERROR(INDEX(Products!$D$5:$D$54,MATCH($B822,Products!$A$5:$A$54,0)),0)))</f>
        <v/>
      </c>
      <c r="M822" s="14" t="str">
        <f aca="false">IF($J822="","",$J822-$K822-N($H822)-$L822)</f>
        <v/>
      </c>
      <c r="N822" s="15" t="str">
        <f aca="false">IF($J822="","",IF($J822&gt;0,$M822/$J822,""))</f>
        <v/>
      </c>
      <c r="O822" s="12"/>
      <c r="P822" s="12"/>
      <c r="Q822" s="11"/>
      <c r="R822" s="11"/>
      <c r="S822" s="12"/>
      <c r="T822" s="16" t="str">
        <f aca="false">IF($J822="","",IF($C822="",1,$C822))</f>
        <v/>
      </c>
    </row>
    <row r="823" customFormat="false" ht="15" hidden="false" customHeight="false" outlineLevel="0" collapsed="false">
      <c r="A823" s="7"/>
      <c r="B823" s="8"/>
      <c r="C823" s="9"/>
      <c r="D823" s="10"/>
      <c r="E823" s="11"/>
      <c r="F823" s="11"/>
      <c r="G823" s="8"/>
      <c r="H823" s="11"/>
      <c r="I823" s="12"/>
      <c r="J823" s="13" t="str">
        <f aca="false">IF(OR($A823="",$D823=""),"",IF($C823="",1,$C823)*$D823+N($E823)-N($F823))</f>
        <v/>
      </c>
      <c r="K823" s="13" t="str">
        <f aca="false">IF($J823="","",IF($R823&lt;&gt;"",$R823,IF($G823="",0,MAX(IFERROR(INDEX(Settings!$D$6:$D$15,MATCH($G823,Settings!$A$6:$A$15,0)),0),$J823*IFERROR(INDEX(Settings!$B$6:$B$15,MATCH($G823,Settings!$A$6:$A$15,0)),0)+IFERROR(INDEX(Settings!$C$6:$C$15,MATCH($G823,Settings!$A$6:$A$15,0)),0)))))</f>
        <v/>
      </c>
      <c r="L823" s="13" t="str">
        <f aca="false">IF($J823="","",IF($C823="",1,$C823)*IF($Q823&lt;&gt;"",$Q823,IFERROR(INDEX(Products!$D$5:$D$54,MATCH($B823,Products!$A$5:$A$54,0)),0)))</f>
        <v/>
      </c>
      <c r="M823" s="14" t="str">
        <f aca="false">IF($J823="","",$J823-$K823-N($H823)-$L823)</f>
        <v/>
      </c>
      <c r="N823" s="15" t="str">
        <f aca="false">IF($J823="","",IF($J823&gt;0,$M823/$J823,""))</f>
        <v/>
      </c>
      <c r="O823" s="12"/>
      <c r="P823" s="12"/>
      <c r="Q823" s="11"/>
      <c r="R823" s="11"/>
      <c r="S823" s="12"/>
      <c r="T823" s="16" t="str">
        <f aca="false">IF($J823="","",IF($C823="",1,$C823))</f>
        <v/>
      </c>
    </row>
    <row r="824" customFormat="false" ht="15" hidden="false" customHeight="false" outlineLevel="0" collapsed="false">
      <c r="A824" s="7"/>
      <c r="B824" s="8"/>
      <c r="C824" s="9"/>
      <c r="D824" s="10"/>
      <c r="E824" s="11"/>
      <c r="F824" s="11"/>
      <c r="G824" s="8"/>
      <c r="H824" s="11"/>
      <c r="I824" s="12"/>
      <c r="J824" s="13" t="str">
        <f aca="false">IF(OR($A824="",$D824=""),"",IF($C824="",1,$C824)*$D824+N($E824)-N($F824))</f>
        <v/>
      </c>
      <c r="K824" s="13" t="str">
        <f aca="false">IF($J824="","",IF($R824&lt;&gt;"",$R824,IF($G824="",0,MAX(IFERROR(INDEX(Settings!$D$6:$D$15,MATCH($G824,Settings!$A$6:$A$15,0)),0),$J824*IFERROR(INDEX(Settings!$B$6:$B$15,MATCH($G824,Settings!$A$6:$A$15,0)),0)+IFERROR(INDEX(Settings!$C$6:$C$15,MATCH($G824,Settings!$A$6:$A$15,0)),0)))))</f>
        <v/>
      </c>
      <c r="L824" s="13" t="str">
        <f aca="false">IF($J824="","",IF($C824="",1,$C824)*IF($Q824&lt;&gt;"",$Q824,IFERROR(INDEX(Products!$D$5:$D$54,MATCH($B824,Products!$A$5:$A$54,0)),0)))</f>
        <v/>
      </c>
      <c r="M824" s="14" t="str">
        <f aca="false">IF($J824="","",$J824-$K824-N($H824)-$L824)</f>
        <v/>
      </c>
      <c r="N824" s="15" t="str">
        <f aca="false">IF($J824="","",IF($J824&gt;0,$M824/$J824,""))</f>
        <v/>
      </c>
      <c r="O824" s="12"/>
      <c r="P824" s="12"/>
      <c r="Q824" s="11"/>
      <c r="R824" s="11"/>
      <c r="S824" s="12"/>
      <c r="T824" s="16" t="str">
        <f aca="false">IF($J824="","",IF($C824="",1,$C824))</f>
        <v/>
      </c>
    </row>
    <row r="825" customFormat="false" ht="15" hidden="false" customHeight="false" outlineLevel="0" collapsed="false">
      <c r="A825" s="7"/>
      <c r="B825" s="8"/>
      <c r="C825" s="9"/>
      <c r="D825" s="10"/>
      <c r="E825" s="11"/>
      <c r="F825" s="11"/>
      <c r="G825" s="8"/>
      <c r="H825" s="11"/>
      <c r="I825" s="12"/>
      <c r="J825" s="13" t="str">
        <f aca="false">IF(OR($A825="",$D825=""),"",IF($C825="",1,$C825)*$D825+N($E825)-N($F825))</f>
        <v/>
      </c>
      <c r="K825" s="13" t="str">
        <f aca="false">IF($J825="","",IF($R825&lt;&gt;"",$R825,IF($G825="",0,MAX(IFERROR(INDEX(Settings!$D$6:$D$15,MATCH($G825,Settings!$A$6:$A$15,0)),0),$J825*IFERROR(INDEX(Settings!$B$6:$B$15,MATCH($G825,Settings!$A$6:$A$15,0)),0)+IFERROR(INDEX(Settings!$C$6:$C$15,MATCH($G825,Settings!$A$6:$A$15,0)),0)))))</f>
        <v/>
      </c>
      <c r="L825" s="13" t="str">
        <f aca="false">IF($J825="","",IF($C825="",1,$C825)*IF($Q825&lt;&gt;"",$Q825,IFERROR(INDEX(Products!$D$5:$D$54,MATCH($B825,Products!$A$5:$A$54,0)),0)))</f>
        <v/>
      </c>
      <c r="M825" s="14" t="str">
        <f aca="false">IF($J825="","",$J825-$K825-N($H825)-$L825)</f>
        <v/>
      </c>
      <c r="N825" s="15" t="str">
        <f aca="false">IF($J825="","",IF($J825&gt;0,$M825/$J825,""))</f>
        <v/>
      </c>
      <c r="O825" s="12"/>
      <c r="P825" s="12"/>
      <c r="Q825" s="11"/>
      <c r="R825" s="11"/>
      <c r="S825" s="12"/>
      <c r="T825" s="16" t="str">
        <f aca="false">IF($J825="","",IF($C825="",1,$C825))</f>
        <v/>
      </c>
    </row>
    <row r="826" customFormat="false" ht="15" hidden="false" customHeight="false" outlineLevel="0" collapsed="false">
      <c r="A826" s="7"/>
      <c r="B826" s="8"/>
      <c r="C826" s="9"/>
      <c r="D826" s="10"/>
      <c r="E826" s="11"/>
      <c r="F826" s="11"/>
      <c r="G826" s="8"/>
      <c r="H826" s="11"/>
      <c r="I826" s="12"/>
      <c r="J826" s="13" t="str">
        <f aca="false">IF(OR($A826="",$D826=""),"",IF($C826="",1,$C826)*$D826+N($E826)-N($F826))</f>
        <v/>
      </c>
      <c r="K826" s="13" t="str">
        <f aca="false">IF($J826="","",IF($R826&lt;&gt;"",$R826,IF($G826="",0,MAX(IFERROR(INDEX(Settings!$D$6:$D$15,MATCH($G826,Settings!$A$6:$A$15,0)),0),$J826*IFERROR(INDEX(Settings!$B$6:$B$15,MATCH($G826,Settings!$A$6:$A$15,0)),0)+IFERROR(INDEX(Settings!$C$6:$C$15,MATCH($G826,Settings!$A$6:$A$15,0)),0)))))</f>
        <v/>
      </c>
      <c r="L826" s="13" t="str">
        <f aca="false">IF($J826="","",IF($C826="",1,$C826)*IF($Q826&lt;&gt;"",$Q826,IFERROR(INDEX(Products!$D$5:$D$54,MATCH($B826,Products!$A$5:$A$54,0)),0)))</f>
        <v/>
      </c>
      <c r="M826" s="14" t="str">
        <f aca="false">IF($J826="","",$J826-$K826-N($H826)-$L826)</f>
        <v/>
      </c>
      <c r="N826" s="15" t="str">
        <f aca="false">IF($J826="","",IF($J826&gt;0,$M826/$J826,""))</f>
        <v/>
      </c>
      <c r="O826" s="12"/>
      <c r="P826" s="12"/>
      <c r="Q826" s="11"/>
      <c r="R826" s="11"/>
      <c r="S826" s="12"/>
      <c r="T826" s="16" t="str">
        <f aca="false">IF($J826="","",IF($C826="",1,$C826))</f>
        <v/>
      </c>
    </row>
    <row r="827" customFormat="false" ht="15" hidden="false" customHeight="false" outlineLevel="0" collapsed="false">
      <c r="A827" s="7"/>
      <c r="B827" s="8"/>
      <c r="C827" s="9"/>
      <c r="D827" s="10"/>
      <c r="E827" s="11"/>
      <c r="F827" s="11"/>
      <c r="G827" s="8"/>
      <c r="H827" s="11"/>
      <c r="I827" s="12"/>
      <c r="J827" s="13" t="str">
        <f aca="false">IF(OR($A827="",$D827=""),"",IF($C827="",1,$C827)*$D827+N($E827)-N($F827))</f>
        <v/>
      </c>
      <c r="K827" s="13" t="str">
        <f aca="false">IF($J827="","",IF($R827&lt;&gt;"",$R827,IF($G827="",0,MAX(IFERROR(INDEX(Settings!$D$6:$D$15,MATCH($G827,Settings!$A$6:$A$15,0)),0),$J827*IFERROR(INDEX(Settings!$B$6:$B$15,MATCH($G827,Settings!$A$6:$A$15,0)),0)+IFERROR(INDEX(Settings!$C$6:$C$15,MATCH($G827,Settings!$A$6:$A$15,0)),0)))))</f>
        <v/>
      </c>
      <c r="L827" s="13" t="str">
        <f aca="false">IF($J827="","",IF($C827="",1,$C827)*IF($Q827&lt;&gt;"",$Q827,IFERROR(INDEX(Products!$D$5:$D$54,MATCH($B827,Products!$A$5:$A$54,0)),0)))</f>
        <v/>
      </c>
      <c r="M827" s="14" t="str">
        <f aca="false">IF($J827="","",$J827-$K827-N($H827)-$L827)</f>
        <v/>
      </c>
      <c r="N827" s="15" t="str">
        <f aca="false">IF($J827="","",IF($J827&gt;0,$M827/$J827,""))</f>
        <v/>
      </c>
      <c r="O827" s="12"/>
      <c r="P827" s="12"/>
      <c r="Q827" s="11"/>
      <c r="R827" s="11"/>
      <c r="S827" s="12"/>
      <c r="T827" s="16" t="str">
        <f aca="false">IF($J827="","",IF($C827="",1,$C827))</f>
        <v/>
      </c>
    </row>
    <row r="828" customFormat="false" ht="15" hidden="false" customHeight="false" outlineLevel="0" collapsed="false">
      <c r="A828" s="7"/>
      <c r="B828" s="8"/>
      <c r="C828" s="9"/>
      <c r="D828" s="10"/>
      <c r="E828" s="11"/>
      <c r="F828" s="11"/>
      <c r="G828" s="8"/>
      <c r="H828" s="11"/>
      <c r="I828" s="12"/>
      <c r="J828" s="13" t="str">
        <f aca="false">IF(OR($A828="",$D828=""),"",IF($C828="",1,$C828)*$D828+N($E828)-N($F828))</f>
        <v/>
      </c>
      <c r="K828" s="13" t="str">
        <f aca="false">IF($J828="","",IF($R828&lt;&gt;"",$R828,IF($G828="",0,MAX(IFERROR(INDEX(Settings!$D$6:$D$15,MATCH($G828,Settings!$A$6:$A$15,0)),0),$J828*IFERROR(INDEX(Settings!$B$6:$B$15,MATCH($G828,Settings!$A$6:$A$15,0)),0)+IFERROR(INDEX(Settings!$C$6:$C$15,MATCH($G828,Settings!$A$6:$A$15,0)),0)))))</f>
        <v/>
      </c>
      <c r="L828" s="13" t="str">
        <f aca="false">IF($J828="","",IF($C828="",1,$C828)*IF($Q828&lt;&gt;"",$Q828,IFERROR(INDEX(Products!$D$5:$D$54,MATCH($B828,Products!$A$5:$A$54,0)),0)))</f>
        <v/>
      </c>
      <c r="M828" s="14" t="str">
        <f aca="false">IF($J828="","",$J828-$K828-N($H828)-$L828)</f>
        <v/>
      </c>
      <c r="N828" s="15" t="str">
        <f aca="false">IF($J828="","",IF($J828&gt;0,$M828/$J828,""))</f>
        <v/>
      </c>
      <c r="O828" s="12"/>
      <c r="P828" s="12"/>
      <c r="Q828" s="11"/>
      <c r="R828" s="11"/>
      <c r="S828" s="12"/>
      <c r="T828" s="16" t="str">
        <f aca="false">IF($J828="","",IF($C828="",1,$C828))</f>
        <v/>
      </c>
    </row>
    <row r="829" customFormat="false" ht="15" hidden="false" customHeight="false" outlineLevel="0" collapsed="false">
      <c r="A829" s="7"/>
      <c r="B829" s="8"/>
      <c r="C829" s="9"/>
      <c r="D829" s="10"/>
      <c r="E829" s="11"/>
      <c r="F829" s="11"/>
      <c r="G829" s="8"/>
      <c r="H829" s="11"/>
      <c r="I829" s="12"/>
      <c r="J829" s="13" t="str">
        <f aca="false">IF(OR($A829="",$D829=""),"",IF($C829="",1,$C829)*$D829+N($E829)-N($F829))</f>
        <v/>
      </c>
      <c r="K829" s="13" t="str">
        <f aca="false">IF($J829="","",IF($R829&lt;&gt;"",$R829,IF($G829="",0,MAX(IFERROR(INDEX(Settings!$D$6:$D$15,MATCH($G829,Settings!$A$6:$A$15,0)),0),$J829*IFERROR(INDEX(Settings!$B$6:$B$15,MATCH($G829,Settings!$A$6:$A$15,0)),0)+IFERROR(INDEX(Settings!$C$6:$C$15,MATCH($G829,Settings!$A$6:$A$15,0)),0)))))</f>
        <v/>
      </c>
      <c r="L829" s="13" t="str">
        <f aca="false">IF($J829="","",IF($C829="",1,$C829)*IF($Q829&lt;&gt;"",$Q829,IFERROR(INDEX(Products!$D$5:$D$54,MATCH($B829,Products!$A$5:$A$54,0)),0)))</f>
        <v/>
      </c>
      <c r="M829" s="14" t="str">
        <f aca="false">IF($J829="","",$J829-$K829-N($H829)-$L829)</f>
        <v/>
      </c>
      <c r="N829" s="15" t="str">
        <f aca="false">IF($J829="","",IF($J829&gt;0,$M829/$J829,""))</f>
        <v/>
      </c>
      <c r="O829" s="12"/>
      <c r="P829" s="12"/>
      <c r="Q829" s="11"/>
      <c r="R829" s="11"/>
      <c r="S829" s="12"/>
      <c r="T829" s="16" t="str">
        <f aca="false">IF($J829="","",IF($C829="",1,$C829))</f>
        <v/>
      </c>
    </row>
    <row r="830" customFormat="false" ht="15" hidden="false" customHeight="false" outlineLevel="0" collapsed="false">
      <c r="A830" s="7"/>
      <c r="B830" s="8"/>
      <c r="C830" s="9"/>
      <c r="D830" s="10"/>
      <c r="E830" s="11"/>
      <c r="F830" s="11"/>
      <c r="G830" s="8"/>
      <c r="H830" s="11"/>
      <c r="I830" s="12"/>
      <c r="J830" s="13" t="str">
        <f aca="false">IF(OR($A830="",$D830=""),"",IF($C830="",1,$C830)*$D830+N($E830)-N($F830))</f>
        <v/>
      </c>
      <c r="K830" s="13" t="str">
        <f aca="false">IF($J830="","",IF($R830&lt;&gt;"",$R830,IF($G830="",0,MAX(IFERROR(INDEX(Settings!$D$6:$D$15,MATCH($G830,Settings!$A$6:$A$15,0)),0),$J830*IFERROR(INDEX(Settings!$B$6:$B$15,MATCH($G830,Settings!$A$6:$A$15,0)),0)+IFERROR(INDEX(Settings!$C$6:$C$15,MATCH($G830,Settings!$A$6:$A$15,0)),0)))))</f>
        <v/>
      </c>
      <c r="L830" s="13" t="str">
        <f aca="false">IF($J830="","",IF($C830="",1,$C830)*IF($Q830&lt;&gt;"",$Q830,IFERROR(INDEX(Products!$D$5:$D$54,MATCH($B830,Products!$A$5:$A$54,0)),0)))</f>
        <v/>
      </c>
      <c r="M830" s="14" t="str">
        <f aca="false">IF($J830="","",$J830-$K830-N($H830)-$L830)</f>
        <v/>
      </c>
      <c r="N830" s="15" t="str">
        <f aca="false">IF($J830="","",IF($J830&gt;0,$M830/$J830,""))</f>
        <v/>
      </c>
      <c r="O830" s="12"/>
      <c r="P830" s="12"/>
      <c r="Q830" s="11"/>
      <c r="R830" s="11"/>
      <c r="S830" s="12"/>
      <c r="T830" s="16" t="str">
        <f aca="false">IF($J830="","",IF($C830="",1,$C830))</f>
        <v/>
      </c>
    </row>
    <row r="831" customFormat="false" ht="15" hidden="false" customHeight="false" outlineLevel="0" collapsed="false">
      <c r="A831" s="7"/>
      <c r="B831" s="8"/>
      <c r="C831" s="9"/>
      <c r="D831" s="10"/>
      <c r="E831" s="11"/>
      <c r="F831" s="11"/>
      <c r="G831" s="8"/>
      <c r="H831" s="11"/>
      <c r="I831" s="12"/>
      <c r="J831" s="13" t="str">
        <f aca="false">IF(OR($A831="",$D831=""),"",IF($C831="",1,$C831)*$D831+N($E831)-N($F831))</f>
        <v/>
      </c>
      <c r="K831" s="13" t="str">
        <f aca="false">IF($J831="","",IF($R831&lt;&gt;"",$R831,IF($G831="",0,MAX(IFERROR(INDEX(Settings!$D$6:$D$15,MATCH($G831,Settings!$A$6:$A$15,0)),0),$J831*IFERROR(INDEX(Settings!$B$6:$B$15,MATCH($G831,Settings!$A$6:$A$15,0)),0)+IFERROR(INDEX(Settings!$C$6:$C$15,MATCH($G831,Settings!$A$6:$A$15,0)),0)))))</f>
        <v/>
      </c>
      <c r="L831" s="13" t="str">
        <f aca="false">IF($J831="","",IF($C831="",1,$C831)*IF($Q831&lt;&gt;"",$Q831,IFERROR(INDEX(Products!$D$5:$D$54,MATCH($B831,Products!$A$5:$A$54,0)),0)))</f>
        <v/>
      </c>
      <c r="M831" s="14" t="str">
        <f aca="false">IF($J831="","",$J831-$K831-N($H831)-$L831)</f>
        <v/>
      </c>
      <c r="N831" s="15" t="str">
        <f aca="false">IF($J831="","",IF($J831&gt;0,$M831/$J831,""))</f>
        <v/>
      </c>
      <c r="O831" s="12"/>
      <c r="P831" s="12"/>
      <c r="Q831" s="11"/>
      <c r="R831" s="11"/>
      <c r="S831" s="12"/>
      <c r="T831" s="16" t="str">
        <f aca="false">IF($J831="","",IF($C831="",1,$C831))</f>
        <v/>
      </c>
    </row>
    <row r="832" customFormat="false" ht="15" hidden="false" customHeight="false" outlineLevel="0" collapsed="false">
      <c r="A832" s="7"/>
      <c r="B832" s="8"/>
      <c r="C832" s="9"/>
      <c r="D832" s="10"/>
      <c r="E832" s="11"/>
      <c r="F832" s="11"/>
      <c r="G832" s="8"/>
      <c r="H832" s="11"/>
      <c r="I832" s="12"/>
      <c r="J832" s="13" t="str">
        <f aca="false">IF(OR($A832="",$D832=""),"",IF($C832="",1,$C832)*$D832+N($E832)-N($F832))</f>
        <v/>
      </c>
      <c r="K832" s="13" t="str">
        <f aca="false">IF($J832="","",IF($R832&lt;&gt;"",$R832,IF($G832="",0,MAX(IFERROR(INDEX(Settings!$D$6:$D$15,MATCH($G832,Settings!$A$6:$A$15,0)),0),$J832*IFERROR(INDEX(Settings!$B$6:$B$15,MATCH($G832,Settings!$A$6:$A$15,0)),0)+IFERROR(INDEX(Settings!$C$6:$C$15,MATCH($G832,Settings!$A$6:$A$15,0)),0)))))</f>
        <v/>
      </c>
      <c r="L832" s="13" t="str">
        <f aca="false">IF($J832="","",IF($C832="",1,$C832)*IF($Q832&lt;&gt;"",$Q832,IFERROR(INDEX(Products!$D$5:$D$54,MATCH($B832,Products!$A$5:$A$54,0)),0)))</f>
        <v/>
      </c>
      <c r="M832" s="14" t="str">
        <f aca="false">IF($J832="","",$J832-$K832-N($H832)-$L832)</f>
        <v/>
      </c>
      <c r="N832" s="15" t="str">
        <f aca="false">IF($J832="","",IF($J832&gt;0,$M832/$J832,""))</f>
        <v/>
      </c>
      <c r="O832" s="12"/>
      <c r="P832" s="12"/>
      <c r="Q832" s="11"/>
      <c r="R832" s="11"/>
      <c r="S832" s="12"/>
      <c r="T832" s="16" t="str">
        <f aca="false">IF($J832="","",IF($C832="",1,$C832))</f>
        <v/>
      </c>
    </row>
    <row r="833" customFormat="false" ht="15" hidden="false" customHeight="false" outlineLevel="0" collapsed="false">
      <c r="A833" s="7"/>
      <c r="B833" s="8"/>
      <c r="C833" s="9"/>
      <c r="D833" s="10"/>
      <c r="E833" s="11"/>
      <c r="F833" s="11"/>
      <c r="G833" s="8"/>
      <c r="H833" s="11"/>
      <c r="I833" s="12"/>
      <c r="J833" s="13" t="str">
        <f aca="false">IF(OR($A833="",$D833=""),"",IF($C833="",1,$C833)*$D833+N($E833)-N($F833))</f>
        <v/>
      </c>
      <c r="K833" s="13" t="str">
        <f aca="false">IF($J833="","",IF($R833&lt;&gt;"",$R833,IF($G833="",0,MAX(IFERROR(INDEX(Settings!$D$6:$D$15,MATCH($G833,Settings!$A$6:$A$15,0)),0),$J833*IFERROR(INDEX(Settings!$B$6:$B$15,MATCH($G833,Settings!$A$6:$A$15,0)),0)+IFERROR(INDEX(Settings!$C$6:$C$15,MATCH($G833,Settings!$A$6:$A$15,0)),0)))))</f>
        <v/>
      </c>
      <c r="L833" s="13" t="str">
        <f aca="false">IF($J833="","",IF($C833="",1,$C833)*IF($Q833&lt;&gt;"",$Q833,IFERROR(INDEX(Products!$D$5:$D$54,MATCH($B833,Products!$A$5:$A$54,0)),0)))</f>
        <v/>
      </c>
      <c r="M833" s="14" t="str">
        <f aca="false">IF($J833="","",$J833-$K833-N($H833)-$L833)</f>
        <v/>
      </c>
      <c r="N833" s="15" t="str">
        <f aca="false">IF($J833="","",IF($J833&gt;0,$M833/$J833,""))</f>
        <v/>
      </c>
      <c r="O833" s="12"/>
      <c r="P833" s="12"/>
      <c r="Q833" s="11"/>
      <c r="R833" s="11"/>
      <c r="S833" s="12"/>
      <c r="T833" s="16" t="str">
        <f aca="false">IF($J833="","",IF($C833="",1,$C833))</f>
        <v/>
      </c>
    </row>
    <row r="834" customFormat="false" ht="15" hidden="false" customHeight="false" outlineLevel="0" collapsed="false">
      <c r="A834" s="7"/>
      <c r="B834" s="8"/>
      <c r="C834" s="9"/>
      <c r="D834" s="10"/>
      <c r="E834" s="11"/>
      <c r="F834" s="11"/>
      <c r="G834" s="8"/>
      <c r="H834" s="11"/>
      <c r="I834" s="12"/>
      <c r="J834" s="13" t="str">
        <f aca="false">IF(OR($A834="",$D834=""),"",IF($C834="",1,$C834)*$D834+N($E834)-N($F834))</f>
        <v/>
      </c>
      <c r="K834" s="13" t="str">
        <f aca="false">IF($J834="","",IF($R834&lt;&gt;"",$R834,IF($G834="",0,MAX(IFERROR(INDEX(Settings!$D$6:$D$15,MATCH($G834,Settings!$A$6:$A$15,0)),0),$J834*IFERROR(INDEX(Settings!$B$6:$B$15,MATCH($G834,Settings!$A$6:$A$15,0)),0)+IFERROR(INDEX(Settings!$C$6:$C$15,MATCH($G834,Settings!$A$6:$A$15,0)),0)))))</f>
        <v/>
      </c>
      <c r="L834" s="13" t="str">
        <f aca="false">IF($J834="","",IF($C834="",1,$C834)*IF($Q834&lt;&gt;"",$Q834,IFERROR(INDEX(Products!$D$5:$D$54,MATCH($B834,Products!$A$5:$A$54,0)),0)))</f>
        <v/>
      </c>
      <c r="M834" s="14" t="str">
        <f aca="false">IF($J834="","",$J834-$K834-N($H834)-$L834)</f>
        <v/>
      </c>
      <c r="N834" s="15" t="str">
        <f aca="false">IF($J834="","",IF($J834&gt;0,$M834/$J834,""))</f>
        <v/>
      </c>
      <c r="O834" s="12"/>
      <c r="P834" s="12"/>
      <c r="Q834" s="11"/>
      <c r="R834" s="11"/>
      <c r="S834" s="12"/>
      <c r="T834" s="16" t="str">
        <f aca="false">IF($J834="","",IF($C834="",1,$C834))</f>
        <v/>
      </c>
    </row>
    <row r="835" customFormat="false" ht="15" hidden="false" customHeight="false" outlineLevel="0" collapsed="false">
      <c r="A835" s="7"/>
      <c r="B835" s="8"/>
      <c r="C835" s="9"/>
      <c r="D835" s="10"/>
      <c r="E835" s="11"/>
      <c r="F835" s="11"/>
      <c r="G835" s="8"/>
      <c r="H835" s="11"/>
      <c r="I835" s="12"/>
      <c r="J835" s="13" t="str">
        <f aca="false">IF(OR($A835="",$D835=""),"",IF($C835="",1,$C835)*$D835+N($E835)-N($F835))</f>
        <v/>
      </c>
      <c r="K835" s="13" t="str">
        <f aca="false">IF($J835="","",IF($R835&lt;&gt;"",$R835,IF($G835="",0,MAX(IFERROR(INDEX(Settings!$D$6:$D$15,MATCH($G835,Settings!$A$6:$A$15,0)),0),$J835*IFERROR(INDEX(Settings!$B$6:$B$15,MATCH($G835,Settings!$A$6:$A$15,0)),0)+IFERROR(INDEX(Settings!$C$6:$C$15,MATCH($G835,Settings!$A$6:$A$15,0)),0)))))</f>
        <v/>
      </c>
      <c r="L835" s="13" t="str">
        <f aca="false">IF($J835="","",IF($C835="",1,$C835)*IF($Q835&lt;&gt;"",$Q835,IFERROR(INDEX(Products!$D$5:$D$54,MATCH($B835,Products!$A$5:$A$54,0)),0)))</f>
        <v/>
      </c>
      <c r="M835" s="14" t="str">
        <f aca="false">IF($J835="","",$J835-$K835-N($H835)-$L835)</f>
        <v/>
      </c>
      <c r="N835" s="15" t="str">
        <f aca="false">IF($J835="","",IF($J835&gt;0,$M835/$J835,""))</f>
        <v/>
      </c>
      <c r="O835" s="12"/>
      <c r="P835" s="12"/>
      <c r="Q835" s="11"/>
      <c r="R835" s="11"/>
      <c r="S835" s="12"/>
      <c r="T835" s="16" t="str">
        <f aca="false">IF($J835="","",IF($C835="",1,$C835))</f>
        <v/>
      </c>
    </row>
    <row r="836" customFormat="false" ht="15" hidden="false" customHeight="false" outlineLevel="0" collapsed="false">
      <c r="A836" s="7"/>
      <c r="B836" s="8"/>
      <c r="C836" s="9"/>
      <c r="D836" s="10"/>
      <c r="E836" s="11"/>
      <c r="F836" s="11"/>
      <c r="G836" s="8"/>
      <c r="H836" s="11"/>
      <c r="I836" s="12"/>
      <c r="J836" s="13" t="str">
        <f aca="false">IF(OR($A836="",$D836=""),"",IF($C836="",1,$C836)*$D836+N($E836)-N($F836))</f>
        <v/>
      </c>
      <c r="K836" s="13" t="str">
        <f aca="false">IF($J836="","",IF($R836&lt;&gt;"",$R836,IF($G836="",0,MAX(IFERROR(INDEX(Settings!$D$6:$D$15,MATCH($G836,Settings!$A$6:$A$15,0)),0),$J836*IFERROR(INDEX(Settings!$B$6:$B$15,MATCH($G836,Settings!$A$6:$A$15,0)),0)+IFERROR(INDEX(Settings!$C$6:$C$15,MATCH($G836,Settings!$A$6:$A$15,0)),0)))))</f>
        <v/>
      </c>
      <c r="L836" s="13" t="str">
        <f aca="false">IF($J836="","",IF($C836="",1,$C836)*IF($Q836&lt;&gt;"",$Q836,IFERROR(INDEX(Products!$D$5:$D$54,MATCH($B836,Products!$A$5:$A$54,0)),0)))</f>
        <v/>
      </c>
      <c r="M836" s="14" t="str">
        <f aca="false">IF($J836="","",$J836-$K836-N($H836)-$L836)</f>
        <v/>
      </c>
      <c r="N836" s="15" t="str">
        <f aca="false">IF($J836="","",IF($J836&gt;0,$M836/$J836,""))</f>
        <v/>
      </c>
      <c r="O836" s="12"/>
      <c r="P836" s="12"/>
      <c r="Q836" s="11"/>
      <c r="R836" s="11"/>
      <c r="S836" s="12"/>
      <c r="T836" s="16" t="str">
        <f aca="false">IF($J836="","",IF($C836="",1,$C836))</f>
        <v/>
      </c>
    </row>
    <row r="837" customFormat="false" ht="15" hidden="false" customHeight="false" outlineLevel="0" collapsed="false">
      <c r="A837" s="7"/>
      <c r="B837" s="8"/>
      <c r="C837" s="9"/>
      <c r="D837" s="10"/>
      <c r="E837" s="11"/>
      <c r="F837" s="11"/>
      <c r="G837" s="8"/>
      <c r="H837" s="11"/>
      <c r="I837" s="12"/>
      <c r="J837" s="13" t="str">
        <f aca="false">IF(OR($A837="",$D837=""),"",IF($C837="",1,$C837)*$D837+N($E837)-N($F837))</f>
        <v/>
      </c>
      <c r="K837" s="13" t="str">
        <f aca="false">IF($J837="","",IF($R837&lt;&gt;"",$R837,IF($G837="",0,MAX(IFERROR(INDEX(Settings!$D$6:$D$15,MATCH($G837,Settings!$A$6:$A$15,0)),0),$J837*IFERROR(INDEX(Settings!$B$6:$B$15,MATCH($G837,Settings!$A$6:$A$15,0)),0)+IFERROR(INDEX(Settings!$C$6:$C$15,MATCH($G837,Settings!$A$6:$A$15,0)),0)))))</f>
        <v/>
      </c>
      <c r="L837" s="13" t="str">
        <f aca="false">IF($J837="","",IF($C837="",1,$C837)*IF($Q837&lt;&gt;"",$Q837,IFERROR(INDEX(Products!$D$5:$D$54,MATCH($B837,Products!$A$5:$A$54,0)),0)))</f>
        <v/>
      </c>
      <c r="M837" s="14" t="str">
        <f aca="false">IF($J837="","",$J837-$K837-N($H837)-$L837)</f>
        <v/>
      </c>
      <c r="N837" s="15" t="str">
        <f aca="false">IF($J837="","",IF($J837&gt;0,$M837/$J837,""))</f>
        <v/>
      </c>
      <c r="O837" s="12"/>
      <c r="P837" s="12"/>
      <c r="Q837" s="11"/>
      <c r="R837" s="11"/>
      <c r="S837" s="12"/>
      <c r="T837" s="16" t="str">
        <f aca="false">IF($J837="","",IF($C837="",1,$C837))</f>
        <v/>
      </c>
    </row>
    <row r="838" customFormat="false" ht="15" hidden="false" customHeight="false" outlineLevel="0" collapsed="false">
      <c r="A838" s="7"/>
      <c r="B838" s="8"/>
      <c r="C838" s="9"/>
      <c r="D838" s="10"/>
      <c r="E838" s="11"/>
      <c r="F838" s="11"/>
      <c r="G838" s="8"/>
      <c r="H838" s="11"/>
      <c r="I838" s="12"/>
      <c r="J838" s="13" t="str">
        <f aca="false">IF(OR($A838="",$D838=""),"",IF($C838="",1,$C838)*$D838+N($E838)-N($F838))</f>
        <v/>
      </c>
      <c r="K838" s="13" t="str">
        <f aca="false">IF($J838="","",IF($R838&lt;&gt;"",$R838,IF($G838="",0,MAX(IFERROR(INDEX(Settings!$D$6:$D$15,MATCH($G838,Settings!$A$6:$A$15,0)),0),$J838*IFERROR(INDEX(Settings!$B$6:$B$15,MATCH($G838,Settings!$A$6:$A$15,0)),0)+IFERROR(INDEX(Settings!$C$6:$C$15,MATCH($G838,Settings!$A$6:$A$15,0)),0)))))</f>
        <v/>
      </c>
      <c r="L838" s="13" t="str">
        <f aca="false">IF($J838="","",IF($C838="",1,$C838)*IF($Q838&lt;&gt;"",$Q838,IFERROR(INDEX(Products!$D$5:$D$54,MATCH($B838,Products!$A$5:$A$54,0)),0)))</f>
        <v/>
      </c>
      <c r="M838" s="14" t="str">
        <f aca="false">IF($J838="","",$J838-$K838-N($H838)-$L838)</f>
        <v/>
      </c>
      <c r="N838" s="15" t="str">
        <f aca="false">IF($J838="","",IF($J838&gt;0,$M838/$J838,""))</f>
        <v/>
      </c>
      <c r="O838" s="12"/>
      <c r="P838" s="12"/>
      <c r="Q838" s="11"/>
      <c r="R838" s="11"/>
      <c r="S838" s="12"/>
      <c r="T838" s="16" t="str">
        <f aca="false">IF($J838="","",IF($C838="",1,$C838))</f>
        <v/>
      </c>
    </row>
    <row r="839" customFormat="false" ht="15" hidden="false" customHeight="false" outlineLevel="0" collapsed="false">
      <c r="A839" s="7"/>
      <c r="B839" s="8"/>
      <c r="C839" s="9"/>
      <c r="D839" s="10"/>
      <c r="E839" s="11"/>
      <c r="F839" s="11"/>
      <c r="G839" s="8"/>
      <c r="H839" s="11"/>
      <c r="I839" s="12"/>
      <c r="J839" s="13" t="str">
        <f aca="false">IF(OR($A839="",$D839=""),"",IF($C839="",1,$C839)*$D839+N($E839)-N($F839))</f>
        <v/>
      </c>
      <c r="K839" s="13" t="str">
        <f aca="false">IF($J839="","",IF($R839&lt;&gt;"",$R839,IF($G839="",0,MAX(IFERROR(INDEX(Settings!$D$6:$D$15,MATCH($G839,Settings!$A$6:$A$15,0)),0),$J839*IFERROR(INDEX(Settings!$B$6:$B$15,MATCH($G839,Settings!$A$6:$A$15,0)),0)+IFERROR(INDEX(Settings!$C$6:$C$15,MATCH($G839,Settings!$A$6:$A$15,0)),0)))))</f>
        <v/>
      </c>
      <c r="L839" s="13" t="str">
        <f aca="false">IF($J839="","",IF($C839="",1,$C839)*IF($Q839&lt;&gt;"",$Q839,IFERROR(INDEX(Products!$D$5:$D$54,MATCH($B839,Products!$A$5:$A$54,0)),0)))</f>
        <v/>
      </c>
      <c r="M839" s="14" t="str">
        <f aca="false">IF($J839="","",$J839-$K839-N($H839)-$L839)</f>
        <v/>
      </c>
      <c r="N839" s="15" t="str">
        <f aca="false">IF($J839="","",IF($J839&gt;0,$M839/$J839,""))</f>
        <v/>
      </c>
      <c r="O839" s="12"/>
      <c r="P839" s="12"/>
      <c r="Q839" s="11"/>
      <c r="R839" s="11"/>
      <c r="S839" s="12"/>
      <c r="T839" s="16" t="str">
        <f aca="false">IF($J839="","",IF($C839="",1,$C839))</f>
        <v/>
      </c>
    </row>
    <row r="840" customFormat="false" ht="15" hidden="false" customHeight="false" outlineLevel="0" collapsed="false">
      <c r="A840" s="7"/>
      <c r="B840" s="8"/>
      <c r="C840" s="9"/>
      <c r="D840" s="10"/>
      <c r="E840" s="11"/>
      <c r="F840" s="11"/>
      <c r="G840" s="8"/>
      <c r="H840" s="11"/>
      <c r="I840" s="12"/>
      <c r="J840" s="13" t="str">
        <f aca="false">IF(OR($A840="",$D840=""),"",IF($C840="",1,$C840)*$D840+N($E840)-N($F840))</f>
        <v/>
      </c>
      <c r="K840" s="13" t="str">
        <f aca="false">IF($J840="","",IF($R840&lt;&gt;"",$R840,IF($G840="",0,MAX(IFERROR(INDEX(Settings!$D$6:$D$15,MATCH($G840,Settings!$A$6:$A$15,0)),0),$J840*IFERROR(INDEX(Settings!$B$6:$B$15,MATCH($G840,Settings!$A$6:$A$15,0)),0)+IFERROR(INDEX(Settings!$C$6:$C$15,MATCH($G840,Settings!$A$6:$A$15,0)),0)))))</f>
        <v/>
      </c>
      <c r="L840" s="13" t="str">
        <f aca="false">IF($J840="","",IF($C840="",1,$C840)*IF($Q840&lt;&gt;"",$Q840,IFERROR(INDEX(Products!$D$5:$D$54,MATCH($B840,Products!$A$5:$A$54,0)),0)))</f>
        <v/>
      </c>
      <c r="M840" s="14" t="str">
        <f aca="false">IF($J840="","",$J840-$K840-N($H840)-$L840)</f>
        <v/>
      </c>
      <c r="N840" s="15" t="str">
        <f aca="false">IF($J840="","",IF($J840&gt;0,$M840/$J840,""))</f>
        <v/>
      </c>
      <c r="O840" s="12"/>
      <c r="P840" s="12"/>
      <c r="Q840" s="11"/>
      <c r="R840" s="11"/>
      <c r="S840" s="12"/>
      <c r="T840" s="16" t="str">
        <f aca="false">IF($J840="","",IF($C840="",1,$C840))</f>
        <v/>
      </c>
    </row>
    <row r="841" customFormat="false" ht="15" hidden="false" customHeight="false" outlineLevel="0" collapsed="false">
      <c r="A841" s="7"/>
      <c r="B841" s="8"/>
      <c r="C841" s="9"/>
      <c r="D841" s="10"/>
      <c r="E841" s="11"/>
      <c r="F841" s="11"/>
      <c r="G841" s="8"/>
      <c r="H841" s="11"/>
      <c r="I841" s="12"/>
      <c r="J841" s="13" t="str">
        <f aca="false">IF(OR($A841="",$D841=""),"",IF($C841="",1,$C841)*$D841+N($E841)-N($F841))</f>
        <v/>
      </c>
      <c r="K841" s="13" t="str">
        <f aca="false">IF($J841="","",IF($R841&lt;&gt;"",$R841,IF($G841="",0,MAX(IFERROR(INDEX(Settings!$D$6:$D$15,MATCH($G841,Settings!$A$6:$A$15,0)),0),$J841*IFERROR(INDEX(Settings!$B$6:$B$15,MATCH($G841,Settings!$A$6:$A$15,0)),0)+IFERROR(INDEX(Settings!$C$6:$C$15,MATCH($G841,Settings!$A$6:$A$15,0)),0)))))</f>
        <v/>
      </c>
      <c r="L841" s="13" t="str">
        <f aca="false">IF($J841="","",IF($C841="",1,$C841)*IF($Q841&lt;&gt;"",$Q841,IFERROR(INDEX(Products!$D$5:$D$54,MATCH($B841,Products!$A$5:$A$54,0)),0)))</f>
        <v/>
      </c>
      <c r="M841" s="14" t="str">
        <f aca="false">IF($J841="","",$J841-$K841-N($H841)-$L841)</f>
        <v/>
      </c>
      <c r="N841" s="15" t="str">
        <f aca="false">IF($J841="","",IF($J841&gt;0,$M841/$J841,""))</f>
        <v/>
      </c>
      <c r="O841" s="12"/>
      <c r="P841" s="12"/>
      <c r="Q841" s="11"/>
      <c r="R841" s="11"/>
      <c r="S841" s="12"/>
      <c r="T841" s="16" t="str">
        <f aca="false">IF($J841="","",IF($C841="",1,$C841))</f>
        <v/>
      </c>
    </row>
    <row r="842" customFormat="false" ht="15" hidden="false" customHeight="false" outlineLevel="0" collapsed="false">
      <c r="A842" s="7"/>
      <c r="B842" s="8"/>
      <c r="C842" s="9"/>
      <c r="D842" s="10"/>
      <c r="E842" s="11"/>
      <c r="F842" s="11"/>
      <c r="G842" s="8"/>
      <c r="H842" s="11"/>
      <c r="I842" s="12"/>
      <c r="J842" s="13" t="str">
        <f aca="false">IF(OR($A842="",$D842=""),"",IF($C842="",1,$C842)*$D842+N($E842)-N($F842))</f>
        <v/>
      </c>
      <c r="K842" s="13" t="str">
        <f aca="false">IF($J842="","",IF($R842&lt;&gt;"",$R842,IF($G842="",0,MAX(IFERROR(INDEX(Settings!$D$6:$D$15,MATCH($G842,Settings!$A$6:$A$15,0)),0),$J842*IFERROR(INDEX(Settings!$B$6:$B$15,MATCH($G842,Settings!$A$6:$A$15,0)),0)+IFERROR(INDEX(Settings!$C$6:$C$15,MATCH($G842,Settings!$A$6:$A$15,0)),0)))))</f>
        <v/>
      </c>
      <c r="L842" s="13" t="str">
        <f aca="false">IF($J842="","",IF($C842="",1,$C842)*IF($Q842&lt;&gt;"",$Q842,IFERROR(INDEX(Products!$D$5:$D$54,MATCH($B842,Products!$A$5:$A$54,0)),0)))</f>
        <v/>
      </c>
      <c r="M842" s="14" t="str">
        <f aca="false">IF($J842="","",$J842-$K842-N($H842)-$L842)</f>
        <v/>
      </c>
      <c r="N842" s="15" t="str">
        <f aca="false">IF($J842="","",IF($J842&gt;0,$M842/$J842,""))</f>
        <v/>
      </c>
      <c r="O842" s="12"/>
      <c r="P842" s="12"/>
      <c r="Q842" s="11"/>
      <c r="R842" s="11"/>
      <c r="S842" s="12"/>
      <c r="T842" s="16" t="str">
        <f aca="false">IF($J842="","",IF($C842="",1,$C842))</f>
        <v/>
      </c>
    </row>
    <row r="843" customFormat="false" ht="15" hidden="false" customHeight="false" outlineLevel="0" collapsed="false">
      <c r="A843" s="7"/>
      <c r="B843" s="8"/>
      <c r="C843" s="9"/>
      <c r="D843" s="10"/>
      <c r="E843" s="11"/>
      <c r="F843" s="11"/>
      <c r="G843" s="8"/>
      <c r="H843" s="11"/>
      <c r="I843" s="12"/>
      <c r="J843" s="13" t="str">
        <f aca="false">IF(OR($A843="",$D843=""),"",IF($C843="",1,$C843)*$D843+N($E843)-N($F843))</f>
        <v/>
      </c>
      <c r="K843" s="13" t="str">
        <f aca="false">IF($J843="","",IF($R843&lt;&gt;"",$R843,IF($G843="",0,MAX(IFERROR(INDEX(Settings!$D$6:$D$15,MATCH($G843,Settings!$A$6:$A$15,0)),0),$J843*IFERROR(INDEX(Settings!$B$6:$B$15,MATCH($G843,Settings!$A$6:$A$15,0)),0)+IFERROR(INDEX(Settings!$C$6:$C$15,MATCH($G843,Settings!$A$6:$A$15,0)),0)))))</f>
        <v/>
      </c>
      <c r="L843" s="13" t="str">
        <f aca="false">IF($J843="","",IF($C843="",1,$C843)*IF($Q843&lt;&gt;"",$Q843,IFERROR(INDEX(Products!$D$5:$D$54,MATCH($B843,Products!$A$5:$A$54,0)),0)))</f>
        <v/>
      </c>
      <c r="M843" s="14" t="str">
        <f aca="false">IF($J843="","",$J843-$K843-N($H843)-$L843)</f>
        <v/>
      </c>
      <c r="N843" s="15" t="str">
        <f aca="false">IF($J843="","",IF($J843&gt;0,$M843/$J843,""))</f>
        <v/>
      </c>
      <c r="O843" s="12"/>
      <c r="P843" s="12"/>
      <c r="Q843" s="11"/>
      <c r="R843" s="11"/>
      <c r="S843" s="12"/>
      <c r="T843" s="16" t="str">
        <f aca="false">IF($J843="","",IF($C843="",1,$C843))</f>
        <v/>
      </c>
    </row>
    <row r="844" customFormat="false" ht="15" hidden="false" customHeight="false" outlineLevel="0" collapsed="false">
      <c r="A844" s="7"/>
      <c r="B844" s="8"/>
      <c r="C844" s="9"/>
      <c r="D844" s="10"/>
      <c r="E844" s="11"/>
      <c r="F844" s="11"/>
      <c r="G844" s="8"/>
      <c r="H844" s="11"/>
      <c r="I844" s="12"/>
      <c r="J844" s="13" t="str">
        <f aca="false">IF(OR($A844="",$D844=""),"",IF($C844="",1,$C844)*$D844+N($E844)-N($F844))</f>
        <v/>
      </c>
      <c r="K844" s="13" t="str">
        <f aca="false">IF($J844="","",IF($R844&lt;&gt;"",$R844,IF($G844="",0,MAX(IFERROR(INDEX(Settings!$D$6:$D$15,MATCH($G844,Settings!$A$6:$A$15,0)),0),$J844*IFERROR(INDEX(Settings!$B$6:$B$15,MATCH($G844,Settings!$A$6:$A$15,0)),0)+IFERROR(INDEX(Settings!$C$6:$C$15,MATCH($G844,Settings!$A$6:$A$15,0)),0)))))</f>
        <v/>
      </c>
      <c r="L844" s="13" t="str">
        <f aca="false">IF($J844="","",IF($C844="",1,$C844)*IF($Q844&lt;&gt;"",$Q844,IFERROR(INDEX(Products!$D$5:$D$54,MATCH($B844,Products!$A$5:$A$54,0)),0)))</f>
        <v/>
      </c>
      <c r="M844" s="14" t="str">
        <f aca="false">IF($J844="","",$J844-$K844-N($H844)-$L844)</f>
        <v/>
      </c>
      <c r="N844" s="15" t="str">
        <f aca="false">IF($J844="","",IF($J844&gt;0,$M844/$J844,""))</f>
        <v/>
      </c>
      <c r="O844" s="12"/>
      <c r="P844" s="12"/>
      <c r="Q844" s="11"/>
      <c r="R844" s="11"/>
      <c r="S844" s="12"/>
      <c r="T844" s="16" t="str">
        <f aca="false">IF($J844="","",IF($C844="",1,$C844))</f>
        <v/>
      </c>
    </row>
    <row r="845" customFormat="false" ht="15" hidden="false" customHeight="false" outlineLevel="0" collapsed="false">
      <c r="A845" s="7"/>
      <c r="B845" s="8"/>
      <c r="C845" s="9"/>
      <c r="D845" s="10"/>
      <c r="E845" s="11"/>
      <c r="F845" s="11"/>
      <c r="G845" s="8"/>
      <c r="H845" s="11"/>
      <c r="I845" s="12"/>
      <c r="J845" s="13" t="str">
        <f aca="false">IF(OR($A845="",$D845=""),"",IF($C845="",1,$C845)*$D845+N($E845)-N($F845))</f>
        <v/>
      </c>
      <c r="K845" s="13" t="str">
        <f aca="false">IF($J845="","",IF($R845&lt;&gt;"",$R845,IF($G845="",0,MAX(IFERROR(INDEX(Settings!$D$6:$D$15,MATCH($G845,Settings!$A$6:$A$15,0)),0),$J845*IFERROR(INDEX(Settings!$B$6:$B$15,MATCH($G845,Settings!$A$6:$A$15,0)),0)+IFERROR(INDEX(Settings!$C$6:$C$15,MATCH($G845,Settings!$A$6:$A$15,0)),0)))))</f>
        <v/>
      </c>
      <c r="L845" s="13" t="str">
        <f aca="false">IF($J845="","",IF($C845="",1,$C845)*IF($Q845&lt;&gt;"",$Q845,IFERROR(INDEX(Products!$D$5:$D$54,MATCH($B845,Products!$A$5:$A$54,0)),0)))</f>
        <v/>
      </c>
      <c r="M845" s="14" t="str">
        <f aca="false">IF($J845="","",$J845-$K845-N($H845)-$L845)</f>
        <v/>
      </c>
      <c r="N845" s="15" t="str">
        <f aca="false">IF($J845="","",IF($J845&gt;0,$M845/$J845,""))</f>
        <v/>
      </c>
      <c r="O845" s="12"/>
      <c r="P845" s="12"/>
      <c r="Q845" s="11"/>
      <c r="R845" s="11"/>
      <c r="S845" s="12"/>
      <c r="T845" s="16" t="str">
        <f aca="false">IF($J845="","",IF($C845="",1,$C845))</f>
        <v/>
      </c>
    </row>
    <row r="846" customFormat="false" ht="15" hidden="false" customHeight="false" outlineLevel="0" collapsed="false">
      <c r="A846" s="7"/>
      <c r="B846" s="8"/>
      <c r="C846" s="9"/>
      <c r="D846" s="10"/>
      <c r="E846" s="11"/>
      <c r="F846" s="11"/>
      <c r="G846" s="8"/>
      <c r="H846" s="11"/>
      <c r="I846" s="12"/>
      <c r="J846" s="13" t="str">
        <f aca="false">IF(OR($A846="",$D846=""),"",IF($C846="",1,$C846)*$D846+N($E846)-N($F846))</f>
        <v/>
      </c>
      <c r="K846" s="13" t="str">
        <f aca="false">IF($J846="","",IF($R846&lt;&gt;"",$R846,IF($G846="",0,MAX(IFERROR(INDEX(Settings!$D$6:$D$15,MATCH($G846,Settings!$A$6:$A$15,0)),0),$J846*IFERROR(INDEX(Settings!$B$6:$B$15,MATCH($G846,Settings!$A$6:$A$15,0)),0)+IFERROR(INDEX(Settings!$C$6:$C$15,MATCH($G846,Settings!$A$6:$A$15,0)),0)))))</f>
        <v/>
      </c>
      <c r="L846" s="13" t="str">
        <f aca="false">IF($J846="","",IF($C846="",1,$C846)*IF($Q846&lt;&gt;"",$Q846,IFERROR(INDEX(Products!$D$5:$D$54,MATCH($B846,Products!$A$5:$A$54,0)),0)))</f>
        <v/>
      </c>
      <c r="M846" s="14" t="str">
        <f aca="false">IF($J846="","",$J846-$K846-N($H846)-$L846)</f>
        <v/>
      </c>
      <c r="N846" s="15" t="str">
        <f aca="false">IF($J846="","",IF($J846&gt;0,$M846/$J846,""))</f>
        <v/>
      </c>
      <c r="O846" s="12"/>
      <c r="P846" s="12"/>
      <c r="Q846" s="11"/>
      <c r="R846" s="11"/>
      <c r="S846" s="12"/>
      <c r="T846" s="16" t="str">
        <f aca="false">IF($J846="","",IF($C846="",1,$C846))</f>
        <v/>
      </c>
    </row>
    <row r="847" customFormat="false" ht="15" hidden="false" customHeight="false" outlineLevel="0" collapsed="false">
      <c r="A847" s="7"/>
      <c r="B847" s="8"/>
      <c r="C847" s="9"/>
      <c r="D847" s="10"/>
      <c r="E847" s="11"/>
      <c r="F847" s="11"/>
      <c r="G847" s="8"/>
      <c r="H847" s="11"/>
      <c r="I847" s="12"/>
      <c r="J847" s="13" t="str">
        <f aca="false">IF(OR($A847="",$D847=""),"",IF($C847="",1,$C847)*$D847+N($E847)-N($F847))</f>
        <v/>
      </c>
      <c r="K847" s="13" t="str">
        <f aca="false">IF($J847="","",IF($R847&lt;&gt;"",$R847,IF($G847="",0,MAX(IFERROR(INDEX(Settings!$D$6:$D$15,MATCH($G847,Settings!$A$6:$A$15,0)),0),$J847*IFERROR(INDEX(Settings!$B$6:$B$15,MATCH($G847,Settings!$A$6:$A$15,0)),0)+IFERROR(INDEX(Settings!$C$6:$C$15,MATCH($G847,Settings!$A$6:$A$15,0)),0)))))</f>
        <v/>
      </c>
      <c r="L847" s="13" t="str">
        <f aca="false">IF($J847="","",IF($C847="",1,$C847)*IF($Q847&lt;&gt;"",$Q847,IFERROR(INDEX(Products!$D$5:$D$54,MATCH($B847,Products!$A$5:$A$54,0)),0)))</f>
        <v/>
      </c>
      <c r="M847" s="14" t="str">
        <f aca="false">IF($J847="","",$J847-$K847-N($H847)-$L847)</f>
        <v/>
      </c>
      <c r="N847" s="15" t="str">
        <f aca="false">IF($J847="","",IF($J847&gt;0,$M847/$J847,""))</f>
        <v/>
      </c>
      <c r="O847" s="12"/>
      <c r="P847" s="12"/>
      <c r="Q847" s="11"/>
      <c r="R847" s="11"/>
      <c r="S847" s="12"/>
      <c r="T847" s="16" t="str">
        <f aca="false">IF($J847="","",IF($C847="",1,$C847))</f>
        <v/>
      </c>
    </row>
    <row r="848" customFormat="false" ht="15" hidden="false" customHeight="false" outlineLevel="0" collapsed="false">
      <c r="A848" s="7"/>
      <c r="B848" s="8"/>
      <c r="C848" s="9"/>
      <c r="D848" s="10"/>
      <c r="E848" s="11"/>
      <c r="F848" s="11"/>
      <c r="G848" s="8"/>
      <c r="H848" s="11"/>
      <c r="I848" s="12"/>
      <c r="J848" s="13" t="str">
        <f aca="false">IF(OR($A848="",$D848=""),"",IF($C848="",1,$C848)*$D848+N($E848)-N($F848))</f>
        <v/>
      </c>
      <c r="K848" s="13" t="str">
        <f aca="false">IF($J848="","",IF($R848&lt;&gt;"",$R848,IF($G848="",0,MAX(IFERROR(INDEX(Settings!$D$6:$D$15,MATCH($G848,Settings!$A$6:$A$15,0)),0),$J848*IFERROR(INDEX(Settings!$B$6:$B$15,MATCH($G848,Settings!$A$6:$A$15,0)),0)+IFERROR(INDEX(Settings!$C$6:$C$15,MATCH($G848,Settings!$A$6:$A$15,0)),0)))))</f>
        <v/>
      </c>
      <c r="L848" s="13" t="str">
        <f aca="false">IF($J848="","",IF($C848="",1,$C848)*IF($Q848&lt;&gt;"",$Q848,IFERROR(INDEX(Products!$D$5:$D$54,MATCH($B848,Products!$A$5:$A$54,0)),0)))</f>
        <v/>
      </c>
      <c r="M848" s="14" t="str">
        <f aca="false">IF($J848="","",$J848-$K848-N($H848)-$L848)</f>
        <v/>
      </c>
      <c r="N848" s="15" t="str">
        <f aca="false">IF($J848="","",IF($J848&gt;0,$M848/$J848,""))</f>
        <v/>
      </c>
      <c r="O848" s="12"/>
      <c r="P848" s="12"/>
      <c r="Q848" s="11"/>
      <c r="R848" s="11"/>
      <c r="S848" s="12"/>
      <c r="T848" s="16" t="str">
        <f aca="false">IF($J848="","",IF($C848="",1,$C848))</f>
        <v/>
      </c>
    </row>
    <row r="849" customFormat="false" ht="15" hidden="false" customHeight="false" outlineLevel="0" collapsed="false">
      <c r="A849" s="7"/>
      <c r="B849" s="8"/>
      <c r="C849" s="9"/>
      <c r="D849" s="10"/>
      <c r="E849" s="11"/>
      <c r="F849" s="11"/>
      <c r="G849" s="8"/>
      <c r="H849" s="11"/>
      <c r="I849" s="12"/>
      <c r="J849" s="13" t="str">
        <f aca="false">IF(OR($A849="",$D849=""),"",IF($C849="",1,$C849)*$D849+N($E849)-N($F849))</f>
        <v/>
      </c>
      <c r="K849" s="13" t="str">
        <f aca="false">IF($J849="","",IF($R849&lt;&gt;"",$R849,IF($G849="",0,MAX(IFERROR(INDEX(Settings!$D$6:$D$15,MATCH($G849,Settings!$A$6:$A$15,0)),0),$J849*IFERROR(INDEX(Settings!$B$6:$B$15,MATCH($G849,Settings!$A$6:$A$15,0)),0)+IFERROR(INDEX(Settings!$C$6:$C$15,MATCH($G849,Settings!$A$6:$A$15,0)),0)))))</f>
        <v/>
      </c>
      <c r="L849" s="13" t="str">
        <f aca="false">IF($J849="","",IF($C849="",1,$C849)*IF($Q849&lt;&gt;"",$Q849,IFERROR(INDEX(Products!$D$5:$D$54,MATCH($B849,Products!$A$5:$A$54,0)),0)))</f>
        <v/>
      </c>
      <c r="M849" s="14" t="str">
        <f aca="false">IF($J849="","",$J849-$K849-N($H849)-$L849)</f>
        <v/>
      </c>
      <c r="N849" s="15" t="str">
        <f aca="false">IF($J849="","",IF($J849&gt;0,$M849/$J849,""))</f>
        <v/>
      </c>
      <c r="O849" s="12"/>
      <c r="P849" s="12"/>
      <c r="Q849" s="11"/>
      <c r="R849" s="11"/>
      <c r="S849" s="12"/>
      <c r="T849" s="16" t="str">
        <f aca="false">IF($J849="","",IF($C849="",1,$C849))</f>
        <v/>
      </c>
    </row>
    <row r="850" customFormat="false" ht="15" hidden="false" customHeight="false" outlineLevel="0" collapsed="false">
      <c r="A850" s="7"/>
      <c r="B850" s="8"/>
      <c r="C850" s="9"/>
      <c r="D850" s="10"/>
      <c r="E850" s="11"/>
      <c r="F850" s="11"/>
      <c r="G850" s="8"/>
      <c r="H850" s="11"/>
      <c r="I850" s="12"/>
      <c r="J850" s="13" t="str">
        <f aca="false">IF(OR($A850="",$D850=""),"",IF($C850="",1,$C850)*$D850+N($E850)-N($F850))</f>
        <v/>
      </c>
      <c r="K850" s="13" t="str">
        <f aca="false">IF($J850="","",IF($R850&lt;&gt;"",$R850,IF($G850="",0,MAX(IFERROR(INDEX(Settings!$D$6:$D$15,MATCH($G850,Settings!$A$6:$A$15,0)),0),$J850*IFERROR(INDEX(Settings!$B$6:$B$15,MATCH($G850,Settings!$A$6:$A$15,0)),0)+IFERROR(INDEX(Settings!$C$6:$C$15,MATCH($G850,Settings!$A$6:$A$15,0)),0)))))</f>
        <v/>
      </c>
      <c r="L850" s="13" t="str">
        <f aca="false">IF($J850="","",IF($C850="",1,$C850)*IF($Q850&lt;&gt;"",$Q850,IFERROR(INDEX(Products!$D$5:$D$54,MATCH($B850,Products!$A$5:$A$54,0)),0)))</f>
        <v/>
      </c>
      <c r="M850" s="14" t="str">
        <f aca="false">IF($J850="","",$J850-$K850-N($H850)-$L850)</f>
        <v/>
      </c>
      <c r="N850" s="15" t="str">
        <f aca="false">IF($J850="","",IF($J850&gt;0,$M850/$J850,""))</f>
        <v/>
      </c>
      <c r="O850" s="12"/>
      <c r="P850" s="12"/>
      <c r="Q850" s="11"/>
      <c r="R850" s="11"/>
      <c r="S850" s="12"/>
      <c r="T850" s="16" t="str">
        <f aca="false">IF($J850="","",IF($C850="",1,$C850))</f>
        <v/>
      </c>
    </row>
    <row r="851" customFormat="false" ht="15" hidden="false" customHeight="false" outlineLevel="0" collapsed="false">
      <c r="A851" s="7"/>
      <c r="B851" s="8"/>
      <c r="C851" s="9"/>
      <c r="D851" s="10"/>
      <c r="E851" s="11"/>
      <c r="F851" s="11"/>
      <c r="G851" s="8"/>
      <c r="H851" s="11"/>
      <c r="I851" s="12"/>
      <c r="J851" s="13" t="str">
        <f aca="false">IF(OR($A851="",$D851=""),"",IF($C851="",1,$C851)*$D851+N($E851)-N($F851))</f>
        <v/>
      </c>
      <c r="K851" s="13" t="str">
        <f aca="false">IF($J851="","",IF($R851&lt;&gt;"",$R851,IF($G851="",0,MAX(IFERROR(INDEX(Settings!$D$6:$D$15,MATCH($G851,Settings!$A$6:$A$15,0)),0),$J851*IFERROR(INDEX(Settings!$B$6:$B$15,MATCH($G851,Settings!$A$6:$A$15,0)),0)+IFERROR(INDEX(Settings!$C$6:$C$15,MATCH($G851,Settings!$A$6:$A$15,0)),0)))))</f>
        <v/>
      </c>
      <c r="L851" s="13" t="str">
        <f aca="false">IF($J851="","",IF($C851="",1,$C851)*IF($Q851&lt;&gt;"",$Q851,IFERROR(INDEX(Products!$D$5:$D$54,MATCH($B851,Products!$A$5:$A$54,0)),0)))</f>
        <v/>
      </c>
      <c r="M851" s="14" t="str">
        <f aca="false">IF($J851="","",$J851-$K851-N($H851)-$L851)</f>
        <v/>
      </c>
      <c r="N851" s="15" t="str">
        <f aca="false">IF($J851="","",IF($J851&gt;0,$M851/$J851,""))</f>
        <v/>
      </c>
      <c r="O851" s="12"/>
      <c r="P851" s="12"/>
      <c r="Q851" s="11"/>
      <c r="R851" s="11"/>
      <c r="S851" s="12"/>
      <c r="T851" s="16" t="str">
        <f aca="false">IF($J851="","",IF($C851="",1,$C851))</f>
        <v/>
      </c>
    </row>
    <row r="852" customFormat="false" ht="15" hidden="false" customHeight="false" outlineLevel="0" collapsed="false">
      <c r="A852" s="7"/>
      <c r="B852" s="8"/>
      <c r="C852" s="9"/>
      <c r="D852" s="10"/>
      <c r="E852" s="11"/>
      <c r="F852" s="11"/>
      <c r="G852" s="8"/>
      <c r="H852" s="11"/>
      <c r="I852" s="12"/>
      <c r="J852" s="13" t="str">
        <f aca="false">IF(OR($A852="",$D852=""),"",IF($C852="",1,$C852)*$D852+N($E852)-N($F852))</f>
        <v/>
      </c>
      <c r="K852" s="13" t="str">
        <f aca="false">IF($J852="","",IF($R852&lt;&gt;"",$R852,IF($G852="",0,MAX(IFERROR(INDEX(Settings!$D$6:$D$15,MATCH($G852,Settings!$A$6:$A$15,0)),0),$J852*IFERROR(INDEX(Settings!$B$6:$B$15,MATCH($G852,Settings!$A$6:$A$15,0)),0)+IFERROR(INDEX(Settings!$C$6:$C$15,MATCH($G852,Settings!$A$6:$A$15,0)),0)))))</f>
        <v/>
      </c>
      <c r="L852" s="13" t="str">
        <f aca="false">IF($J852="","",IF($C852="",1,$C852)*IF($Q852&lt;&gt;"",$Q852,IFERROR(INDEX(Products!$D$5:$D$54,MATCH($B852,Products!$A$5:$A$54,0)),0)))</f>
        <v/>
      </c>
      <c r="M852" s="14" t="str">
        <f aca="false">IF($J852="","",$J852-$K852-N($H852)-$L852)</f>
        <v/>
      </c>
      <c r="N852" s="15" t="str">
        <f aca="false">IF($J852="","",IF($J852&gt;0,$M852/$J852,""))</f>
        <v/>
      </c>
      <c r="O852" s="12"/>
      <c r="P852" s="12"/>
      <c r="Q852" s="11"/>
      <c r="R852" s="11"/>
      <c r="S852" s="12"/>
      <c r="T852" s="16" t="str">
        <f aca="false">IF($J852="","",IF($C852="",1,$C852))</f>
        <v/>
      </c>
    </row>
    <row r="853" customFormat="false" ht="15" hidden="false" customHeight="false" outlineLevel="0" collapsed="false">
      <c r="A853" s="7"/>
      <c r="B853" s="8"/>
      <c r="C853" s="9"/>
      <c r="D853" s="10"/>
      <c r="E853" s="11"/>
      <c r="F853" s="11"/>
      <c r="G853" s="8"/>
      <c r="H853" s="11"/>
      <c r="I853" s="12"/>
      <c r="J853" s="13" t="str">
        <f aca="false">IF(OR($A853="",$D853=""),"",IF($C853="",1,$C853)*$D853+N($E853)-N($F853))</f>
        <v/>
      </c>
      <c r="K853" s="13" t="str">
        <f aca="false">IF($J853="","",IF($R853&lt;&gt;"",$R853,IF($G853="",0,MAX(IFERROR(INDEX(Settings!$D$6:$D$15,MATCH($G853,Settings!$A$6:$A$15,0)),0),$J853*IFERROR(INDEX(Settings!$B$6:$B$15,MATCH($G853,Settings!$A$6:$A$15,0)),0)+IFERROR(INDEX(Settings!$C$6:$C$15,MATCH($G853,Settings!$A$6:$A$15,0)),0)))))</f>
        <v/>
      </c>
      <c r="L853" s="13" t="str">
        <f aca="false">IF($J853="","",IF($C853="",1,$C853)*IF($Q853&lt;&gt;"",$Q853,IFERROR(INDEX(Products!$D$5:$D$54,MATCH($B853,Products!$A$5:$A$54,0)),0)))</f>
        <v/>
      </c>
      <c r="M853" s="14" t="str">
        <f aca="false">IF($J853="","",$J853-$K853-N($H853)-$L853)</f>
        <v/>
      </c>
      <c r="N853" s="15" t="str">
        <f aca="false">IF($J853="","",IF($J853&gt;0,$M853/$J853,""))</f>
        <v/>
      </c>
      <c r="O853" s="12"/>
      <c r="P853" s="12"/>
      <c r="Q853" s="11"/>
      <c r="R853" s="11"/>
      <c r="S853" s="12"/>
      <c r="T853" s="16" t="str">
        <f aca="false">IF($J853="","",IF($C853="",1,$C853))</f>
        <v/>
      </c>
    </row>
    <row r="854" customFormat="false" ht="15" hidden="false" customHeight="false" outlineLevel="0" collapsed="false">
      <c r="A854" s="7"/>
      <c r="B854" s="8"/>
      <c r="C854" s="9"/>
      <c r="D854" s="10"/>
      <c r="E854" s="11"/>
      <c r="F854" s="11"/>
      <c r="G854" s="8"/>
      <c r="H854" s="11"/>
      <c r="I854" s="12"/>
      <c r="J854" s="13" t="str">
        <f aca="false">IF(OR($A854="",$D854=""),"",IF($C854="",1,$C854)*$D854+N($E854)-N($F854))</f>
        <v/>
      </c>
      <c r="K854" s="13" t="str">
        <f aca="false">IF($J854="","",IF($R854&lt;&gt;"",$R854,IF($G854="",0,MAX(IFERROR(INDEX(Settings!$D$6:$D$15,MATCH($G854,Settings!$A$6:$A$15,0)),0),$J854*IFERROR(INDEX(Settings!$B$6:$B$15,MATCH($G854,Settings!$A$6:$A$15,0)),0)+IFERROR(INDEX(Settings!$C$6:$C$15,MATCH($G854,Settings!$A$6:$A$15,0)),0)))))</f>
        <v/>
      </c>
      <c r="L854" s="13" t="str">
        <f aca="false">IF($J854="","",IF($C854="",1,$C854)*IF($Q854&lt;&gt;"",$Q854,IFERROR(INDEX(Products!$D$5:$D$54,MATCH($B854,Products!$A$5:$A$54,0)),0)))</f>
        <v/>
      </c>
      <c r="M854" s="14" t="str">
        <f aca="false">IF($J854="","",$J854-$K854-N($H854)-$L854)</f>
        <v/>
      </c>
      <c r="N854" s="15" t="str">
        <f aca="false">IF($J854="","",IF($J854&gt;0,$M854/$J854,""))</f>
        <v/>
      </c>
      <c r="O854" s="12"/>
      <c r="P854" s="12"/>
      <c r="Q854" s="11"/>
      <c r="R854" s="11"/>
      <c r="S854" s="12"/>
      <c r="T854" s="16" t="str">
        <f aca="false">IF($J854="","",IF($C854="",1,$C854))</f>
        <v/>
      </c>
    </row>
    <row r="855" customFormat="false" ht="15" hidden="false" customHeight="false" outlineLevel="0" collapsed="false">
      <c r="A855" s="7"/>
      <c r="B855" s="8"/>
      <c r="C855" s="9"/>
      <c r="D855" s="10"/>
      <c r="E855" s="11"/>
      <c r="F855" s="11"/>
      <c r="G855" s="8"/>
      <c r="H855" s="11"/>
      <c r="I855" s="12"/>
      <c r="J855" s="13" t="str">
        <f aca="false">IF(OR($A855="",$D855=""),"",IF($C855="",1,$C855)*$D855+N($E855)-N($F855))</f>
        <v/>
      </c>
      <c r="K855" s="13" t="str">
        <f aca="false">IF($J855="","",IF($R855&lt;&gt;"",$R855,IF($G855="",0,MAX(IFERROR(INDEX(Settings!$D$6:$D$15,MATCH($G855,Settings!$A$6:$A$15,0)),0),$J855*IFERROR(INDEX(Settings!$B$6:$B$15,MATCH($G855,Settings!$A$6:$A$15,0)),0)+IFERROR(INDEX(Settings!$C$6:$C$15,MATCH($G855,Settings!$A$6:$A$15,0)),0)))))</f>
        <v/>
      </c>
      <c r="L855" s="13" t="str">
        <f aca="false">IF($J855="","",IF($C855="",1,$C855)*IF($Q855&lt;&gt;"",$Q855,IFERROR(INDEX(Products!$D$5:$D$54,MATCH($B855,Products!$A$5:$A$54,0)),0)))</f>
        <v/>
      </c>
      <c r="M855" s="14" t="str">
        <f aca="false">IF($J855="","",$J855-$K855-N($H855)-$L855)</f>
        <v/>
      </c>
      <c r="N855" s="15" t="str">
        <f aca="false">IF($J855="","",IF($J855&gt;0,$M855/$J855,""))</f>
        <v/>
      </c>
      <c r="O855" s="12"/>
      <c r="P855" s="12"/>
      <c r="Q855" s="11"/>
      <c r="R855" s="11"/>
      <c r="S855" s="12"/>
      <c r="T855" s="16" t="str">
        <f aca="false">IF($J855="","",IF($C855="",1,$C855))</f>
        <v/>
      </c>
    </row>
    <row r="856" customFormat="false" ht="15" hidden="false" customHeight="false" outlineLevel="0" collapsed="false">
      <c r="A856" s="7"/>
      <c r="B856" s="8"/>
      <c r="C856" s="9"/>
      <c r="D856" s="10"/>
      <c r="E856" s="11"/>
      <c r="F856" s="11"/>
      <c r="G856" s="8"/>
      <c r="H856" s="11"/>
      <c r="I856" s="12"/>
      <c r="J856" s="13" t="str">
        <f aca="false">IF(OR($A856="",$D856=""),"",IF($C856="",1,$C856)*$D856+N($E856)-N($F856))</f>
        <v/>
      </c>
      <c r="K856" s="13" t="str">
        <f aca="false">IF($J856="","",IF($R856&lt;&gt;"",$R856,IF($G856="",0,MAX(IFERROR(INDEX(Settings!$D$6:$D$15,MATCH($G856,Settings!$A$6:$A$15,0)),0),$J856*IFERROR(INDEX(Settings!$B$6:$B$15,MATCH($G856,Settings!$A$6:$A$15,0)),0)+IFERROR(INDEX(Settings!$C$6:$C$15,MATCH($G856,Settings!$A$6:$A$15,0)),0)))))</f>
        <v/>
      </c>
      <c r="L856" s="13" t="str">
        <f aca="false">IF($J856="","",IF($C856="",1,$C856)*IF($Q856&lt;&gt;"",$Q856,IFERROR(INDEX(Products!$D$5:$D$54,MATCH($B856,Products!$A$5:$A$54,0)),0)))</f>
        <v/>
      </c>
      <c r="M856" s="14" t="str">
        <f aca="false">IF($J856="","",$J856-$K856-N($H856)-$L856)</f>
        <v/>
      </c>
      <c r="N856" s="15" t="str">
        <f aca="false">IF($J856="","",IF($J856&gt;0,$M856/$J856,""))</f>
        <v/>
      </c>
      <c r="O856" s="12"/>
      <c r="P856" s="12"/>
      <c r="Q856" s="11"/>
      <c r="R856" s="11"/>
      <c r="S856" s="12"/>
      <c r="T856" s="16" t="str">
        <f aca="false">IF($J856="","",IF($C856="",1,$C856))</f>
        <v/>
      </c>
    </row>
    <row r="857" customFormat="false" ht="15" hidden="false" customHeight="false" outlineLevel="0" collapsed="false">
      <c r="A857" s="7"/>
      <c r="B857" s="8"/>
      <c r="C857" s="9"/>
      <c r="D857" s="10"/>
      <c r="E857" s="11"/>
      <c r="F857" s="11"/>
      <c r="G857" s="8"/>
      <c r="H857" s="11"/>
      <c r="I857" s="12"/>
      <c r="J857" s="13" t="str">
        <f aca="false">IF(OR($A857="",$D857=""),"",IF($C857="",1,$C857)*$D857+N($E857)-N($F857))</f>
        <v/>
      </c>
      <c r="K857" s="13" t="str">
        <f aca="false">IF($J857="","",IF($R857&lt;&gt;"",$R857,IF($G857="",0,MAX(IFERROR(INDEX(Settings!$D$6:$D$15,MATCH($G857,Settings!$A$6:$A$15,0)),0),$J857*IFERROR(INDEX(Settings!$B$6:$B$15,MATCH($G857,Settings!$A$6:$A$15,0)),0)+IFERROR(INDEX(Settings!$C$6:$C$15,MATCH($G857,Settings!$A$6:$A$15,0)),0)))))</f>
        <v/>
      </c>
      <c r="L857" s="13" t="str">
        <f aca="false">IF($J857="","",IF($C857="",1,$C857)*IF($Q857&lt;&gt;"",$Q857,IFERROR(INDEX(Products!$D$5:$D$54,MATCH($B857,Products!$A$5:$A$54,0)),0)))</f>
        <v/>
      </c>
      <c r="M857" s="14" t="str">
        <f aca="false">IF($J857="","",$J857-$K857-N($H857)-$L857)</f>
        <v/>
      </c>
      <c r="N857" s="15" t="str">
        <f aca="false">IF($J857="","",IF($J857&gt;0,$M857/$J857,""))</f>
        <v/>
      </c>
      <c r="O857" s="12"/>
      <c r="P857" s="12"/>
      <c r="Q857" s="11"/>
      <c r="R857" s="11"/>
      <c r="S857" s="12"/>
      <c r="T857" s="16" t="str">
        <f aca="false">IF($J857="","",IF($C857="",1,$C857))</f>
        <v/>
      </c>
    </row>
    <row r="858" customFormat="false" ht="15" hidden="false" customHeight="false" outlineLevel="0" collapsed="false">
      <c r="A858" s="7"/>
      <c r="B858" s="8"/>
      <c r="C858" s="9"/>
      <c r="D858" s="10"/>
      <c r="E858" s="11"/>
      <c r="F858" s="11"/>
      <c r="G858" s="8"/>
      <c r="H858" s="11"/>
      <c r="I858" s="12"/>
      <c r="J858" s="13" t="str">
        <f aca="false">IF(OR($A858="",$D858=""),"",IF($C858="",1,$C858)*$D858+N($E858)-N($F858))</f>
        <v/>
      </c>
      <c r="K858" s="13" t="str">
        <f aca="false">IF($J858="","",IF($R858&lt;&gt;"",$R858,IF($G858="",0,MAX(IFERROR(INDEX(Settings!$D$6:$D$15,MATCH($G858,Settings!$A$6:$A$15,0)),0),$J858*IFERROR(INDEX(Settings!$B$6:$B$15,MATCH($G858,Settings!$A$6:$A$15,0)),0)+IFERROR(INDEX(Settings!$C$6:$C$15,MATCH($G858,Settings!$A$6:$A$15,0)),0)))))</f>
        <v/>
      </c>
      <c r="L858" s="13" t="str">
        <f aca="false">IF($J858="","",IF($C858="",1,$C858)*IF($Q858&lt;&gt;"",$Q858,IFERROR(INDEX(Products!$D$5:$D$54,MATCH($B858,Products!$A$5:$A$54,0)),0)))</f>
        <v/>
      </c>
      <c r="M858" s="14" t="str">
        <f aca="false">IF($J858="","",$J858-$K858-N($H858)-$L858)</f>
        <v/>
      </c>
      <c r="N858" s="15" t="str">
        <f aca="false">IF($J858="","",IF($J858&gt;0,$M858/$J858,""))</f>
        <v/>
      </c>
      <c r="O858" s="12"/>
      <c r="P858" s="12"/>
      <c r="Q858" s="11"/>
      <c r="R858" s="11"/>
      <c r="S858" s="12"/>
      <c r="T858" s="16" t="str">
        <f aca="false">IF($J858="","",IF($C858="",1,$C858))</f>
        <v/>
      </c>
    </row>
    <row r="859" customFormat="false" ht="15" hidden="false" customHeight="false" outlineLevel="0" collapsed="false">
      <c r="A859" s="7"/>
      <c r="B859" s="8"/>
      <c r="C859" s="9"/>
      <c r="D859" s="10"/>
      <c r="E859" s="11"/>
      <c r="F859" s="11"/>
      <c r="G859" s="8"/>
      <c r="H859" s="11"/>
      <c r="I859" s="12"/>
      <c r="J859" s="13" t="str">
        <f aca="false">IF(OR($A859="",$D859=""),"",IF($C859="",1,$C859)*$D859+N($E859)-N($F859))</f>
        <v/>
      </c>
      <c r="K859" s="13" t="str">
        <f aca="false">IF($J859="","",IF($R859&lt;&gt;"",$R859,IF($G859="",0,MAX(IFERROR(INDEX(Settings!$D$6:$D$15,MATCH($G859,Settings!$A$6:$A$15,0)),0),$J859*IFERROR(INDEX(Settings!$B$6:$B$15,MATCH($G859,Settings!$A$6:$A$15,0)),0)+IFERROR(INDEX(Settings!$C$6:$C$15,MATCH($G859,Settings!$A$6:$A$15,0)),0)))))</f>
        <v/>
      </c>
      <c r="L859" s="13" t="str">
        <f aca="false">IF($J859="","",IF($C859="",1,$C859)*IF($Q859&lt;&gt;"",$Q859,IFERROR(INDEX(Products!$D$5:$D$54,MATCH($B859,Products!$A$5:$A$54,0)),0)))</f>
        <v/>
      </c>
      <c r="M859" s="14" t="str">
        <f aca="false">IF($J859="","",$J859-$K859-N($H859)-$L859)</f>
        <v/>
      </c>
      <c r="N859" s="15" t="str">
        <f aca="false">IF($J859="","",IF($J859&gt;0,$M859/$J859,""))</f>
        <v/>
      </c>
      <c r="O859" s="12"/>
      <c r="P859" s="12"/>
      <c r="Q859" s="11"/>
      <c r="R859" s="11"/>
      <c r="S859" s="12"/>
      <c r="T859" s="16" t="str">
        <f aca="false">IF($J859="","",IF($C859="",1,$C859))</f>
        <v/>
      </c>
    </row>
    <row r="860" customFormat="false" ht="15" hidden="false" customHeight="false" outlineLevel="0" collapsed="false">
      <c r="A860" s="7"/>
      <c r="B860" s="8"/>
      <c r="C860" s="9"/>
      <c r="D860" s="10"/>
      <c r="E860" s="11"/>
      <c r="F860" s="11"/>
      <c r="G860" s="8"/>
      <c r="H860" s="11"/>
      <c r="I860" s="12"/>
      <c r="J860" s="13" t="str">
        <f aca="false">IF(OR($A860="",$D860=""),"",IF($C860="",1,$C860)*$D860+N($E860)-N($F860))</f>
        <v/>
      </c>
      <c r="K860" s="13" t="str">
        <f aca="false">IF($J860="","",IF($R860&lt;&gt;"",$R860,IF($G860="",0,MAX(IFERROR(INDEX(Settings!$D$6:$D$15,MATCH($G860,Settings!$A$6:$A$15,0)),0),$J860*IFERROR(INDEX(Settings!$B$6:$B$15,MATCH($G860,Settings!$A$6:$A$15,0)),0)+IFERROR(INDEX(Settings!$C$6:$C$15,MATCH($G860,Settings!$A$6:$A$15,0)),0)))))</f>
        <v/>
      </c>
      <c r="L860" s="13" t="str">
        <f aca="false">IF($J860="","",IF($C860="",1,$C860)*IF($Q860&lt;&gt;"",$Q860,IFERROR(INDEX(Products!$D$5:$D$54,MATCH($B860,Products!$A$5:$A$54,0)),0)))</f>
        <v/>
      </c>
      <c r="M860" s="14" t="str">
        <f aca="false">IF($J860="","",$J860-$K860-N($H860)-$L860)</f>
        <v/>
      </c>
      <c r="N860" s="15" t="str">
        <f aca="false">IF($J860="","",IF($J860&gt;0,$M860/$J860,""))</f>
        <v/>
      </c>
      <c r="O860" s="12"/>
      <c r="P860" s="12"/>
      <c r="Q860" s="11"/>
      <c r="R860" s="11"/>
      <c r="S860" s="12"/>
      <c r="T860" s="16" t="str">
        <f aca="false">IF($J860="","",IF($C860="",1,$C860))</f>
        <v/>
      </c>
    </row>
    <row r="861" customFormat="false" ht="15" hidden="false" customHeight="false" outlineLevel="0" collapsed="false">
      <c r="A861" s="7"/>
      <c r="B861" s="8"/>
      <c r="C861" s="9"/>
      <c r="D861" s="10"/>
      <c r="E861" s="11"/>
      <c r="F861" s="11"/>
      <c r="G861" s="8"/>
      <c r="H861" s="11"/>
      <c r="I861" s="12"/>
      <c r="J861" s="13" t="str">
        <f aca="false">IF(OR($A861="",$D861=""),"",IF($C861="",1,$C861)*$D861+N($E861)-N($F861))</f>
        <v/>
      </c>
      <c r="K861" s="13" t="str">
        <f aca="false">IF($J861="","",IF($R861&lt;&gt;"",$R861,IF($G861="",0,MAX(IFERROR(INDEX(Settings!$D$6:$D$15,MATCH($G861,Settings!$A$6:$A$15,0)),0),$J861*IFERROR(INDEX(Settings!$B$6:$B$15,MATCH($G861,Settings!$A$6:$A$15,0)),0)+IFERROR(INDEX(Settings!$C$6:$C$15,MATCH($G861,Settings!$A$6:$A$15,0)),0)))))</f>
        <v/>
      </c>
      <c r="L861" s="13" t="str">
        <f aca="false">IF($J861="","",IF($C861="",1,$C861)*IF($Q861&lt;&gt;"",$Q861,IFERROR(INDEX(Products!$D$5:$D$54,MATCH($B861,Products!$A$5:$A$54,0)),0)))</f>
        <v/>
      </c>
      <c r="M861" s="14" t="str">
        <f aca="false">IF($J861="","",$J861-$K861-N($H861)-$L861)</f>
        <v/>
      </c>
      <c r="N861" s="15" t="str">
        <f aca="false">IF($J861="","",IF($J861&gt;0,$M861/$J861,""))</f>
        <v/>
      </c>
      <c r="O861" s="12"/>
      <c r="P861" s="12"/>
      <c r="Q861" s="11"/>
      <c r="R861" s="11"/>
      <c r="S861" s="12"/>
      <c r="T861" s="16" t="str">
        <f aca="false">IF($J861="","",IF($C861="",1,$C861))</f>
        <v/>
      </c>
    </row>
    <row r="862" customFormat="false" ht="15" hidden="false" customHeight="false" outlineLevel="0" collapsed="false">
      <c r="A862" s="7"/>
      <c r="B862" s="8"/>
      <c r="C862" s="9"/>
      <c r="D862" s="10"/>
      <c r="E862" s="11"/>
      <c r="F862" s="11"/>
      <c r="G862" s="8"/>
      <c r="H862" s="11"/>
      <c r="I862" s="12"/>
      <c r="J862" s="13" t="str">
        <f aca="false">IF(OR($A862="",$D862=""),"",IF($C862="",1,$C862)*$D862+N($E862)-N($F862))</f>
        <v/>
      </c>
      <c r="K862" s="13" t="str">
        <f aca="false">IF($J862="","",IF($R862&lt;&gt;"",$R862,IF($G862="",0,MAX(IFERROR(INDEX(Settings!$D$6:$D$15,MATCH($G862,Settings!$A$6:$A$15,0)),0),$J862*IFERROR(INDEX(Settings!$B$6:$B$15,MATCH($G862,Settings!$A$6:$A$15,0)),0)+IFERROR(INDEX(Settings!$C$6:$C$15,MATCH($G862,Settings!$A$6:$A$15,0)),0)))))</f>
        <v/>
      </c>
      <c r="L862" s="13" t="str">
        <f aca="false">IF($J862="","",IF($C862="",1,$C862)*IF($Q862&lt;&gt;"",$Q862,IFERROR(INDEX(Products!$D$5:$D$54,MATCH($B862,Products!$A$5:$A$54,0)),0)))</f>
        <v/>
      </c>
      <c r="M862" s="14" t="str">
        <f aca="false">IF($J862="","",$J862-$K862-N($H862)-$L862)</f>
        <v/>
      </c>
      <c r="N862" s="15" t="str">
        <f aca="false">IF($J862="","",IF($J862&gt;0,$M862/$J862,""))</f>
        <v/>
      </c>
      <c r="O862" s="12"/>
      <c r="P862" s="12"/>
      <c r="Q862" s="11"/>
      <c r="R862" s="11"/>
      <c r="S862" s="12"/>
      <c r="T862" s="16" t="str">
        <f aca="false">IF($J862="","",IF($C862="",1,$C862))</f>
        <v/>
      </c>
    </row>
    <row r="863" customFormat="false" ht="15" hidden="false" customHeight="false" outlineLevel="0" collapsed="false">
      <c r="A863" s="7"/>
      <c r="B863" s="8"/>
      <c r="C863" s="9"/>
      <c r="D863" s="10"/>
      <c r="E863" s="11"/>
      <c r="F863" s="11"/>
      <c r="G863" s="8"/>
      <c r="H863" s="11"/>
      <c r="I863" s="12"/>
      <c r="J863" s="13" t="str">
        <f aca="false">IF(OR($A863="",$D863=""),"",IF($C863="",1,$C863)*$D863+N($E863)-N($F863))</f>
        <v/>
      </c>
      <c r="K863" s="13" t="str">
        <f aca="false">IF($J863="","",IF($R863&lt;&gt;"",$R863,IF($G863="",0,MAX(IFERROR(INDEX(Settings!$D$6:$D$15,MATCH($G863,Settings!$A$6:$A$15,0)),0),$J863*IFERROR(INDEX(Settings!$B$6:$B$15,MATCH($G863,Settings!$A$6:$A$15,0)),0)+IFERROR(INDEX(Settings!$C$6:$C$15,MATCH($G863,Settings!$A$6:$A$15,0)),0)))))</f>
        <v/>
      </c>
      <c r="L863" s="13" t="str">
        <f aca="false">IF($J863="","",IF($C863="",1,$C863)*IF($Q863&lt;&gt;"",$Q863,IFERROR(INDEX(Products!$D$5:$D$54,MATCH($B863,Products!$A$5:$A$54,0)),0)))</f>
        <v/>
      </c>
      <c r="M863" s="14" t="str">
        <f aca="false">IF($J863="","",$J863-$K863-N($H863)-$L863)</f>
        <v/>
      </c>
      <c r="N863" s="15" t="str">
        <f aca="false">IF($J863="","",IF($J863&gt;0,$M863/$J863,""))</f>
        <v/>
      </c>
      <c r="O863" s="12"/>
      <c r="P863" s="12"/>
      <c r="Q863" s="11"/>
      <c r="R863" s="11"/>
      <c r="S863" s="12"/>
      <c r="T863" s="16" t="str">
        <f aca="false">IF($J863="","",IF($C863="",1,$C863))</f>
        <v/>
      </c>
    </row>
    <row r="864" customFormat="false" ht="15" hidden="false" customHeight="false" outlineLevel="0" collapsed="false">
      <c r="A864" s="7"/>
      <c r="B864" s="8"/>
      <c r="C864" s="9"/>
      <c r="D864" s="10"/>
      <c r="E864" s="11"/>
      <c r="F864" s="11"/>
      <c r="G864" s="8"/>
      <c r="H864" s="11"/>
      <c r="I864" s="12"/>
      <c r="J864" s="13" t="str">
        <f aca="false">IF(OR($A864="",$D864=""),"",IF($C864="",1,$C864)*$D864+N($E864)-N($F864))</f>
        <v/>
      </c>
      <c r="K864" s="13" t="str">
        <f aca="false">IF($J864="","",IF($R864&lt;&gt;"",$R864,IF($G864="",0,MAX(IFERROR(INDEX(Settings!$D$6:$D$15,MATCH($G864,Settings!$A$6:$A$15,0)),0),$J864*IFERROR(INDEX(Settings!$B$6:$B$15,MATCH($G864,Settings!$A$6:$A$15,0)),0)+IFERROR(INDEX(Settings!$C$6:$C$15,MATCH($G864,Settings!$A$6:$A$15,0)),0)))))</f>
        <v/>
      </c>
      <c r="L864" s="13" t="str">
        <f aca="false">IF($J864="","",IF($C864="",1,$C864)*IF($Q864&lt;&gt;"",$Q864,IFERROR(INDEX(Products!$D$5:$D$54,MATCH($B864,Products!$A$5:$A$54,0)),0)))</f>
        <v/>
      </c>
      <c r="M864" s="14" t="str">
        <f aca="false">IF($J864="","",$J864-$K864-N($H864)-$L864)</f>
        <v/>
      </c>
      <c r="N864" s="15" t="str">
        <f aca="false">IF($J864="","",IF($J864&gt;0,$M864/$J864,""))</f>
        <v/>
      </c>
      <c r="O864" s="12"/>
      <c r="P864" s="12"/>
      <c r="Q864" s="11"/>
      <c r="R864" s="11"/>
      <c r="S864" s="12"/>
      <c r="T864" s="16" t="str">
        <f aca="false">IF($J864="","",IF($C864="",1,$C864))</f>
        <v/>
      </c>
    </row>
    <row r="865" customFormat="false" ht="15" hidden="false" customHeight="false" outlineLevel="0" collapsed="false">
      <c r="A865" s="7"/>
      <c r="B865" s="8"/>
      <c r="C865" s="9"/>
      <c r="D865" s="10"/>
      <c r="E865" s="11"/>
      <c r="F865" s="11"/>
      <c r="G865" s="8"/>
      <c r="H865" s="11"/>
      <c r="I865" s="12"/>
      <c r="J865" s="13" t="str">
        <f aca="false">IF(OR($A865="",$D865=""),"",IF($C865="",1,$C865)*$D865+N($E865)-N($F865))</f>
        <v/>
      </c>
      <c r="K865" s="13" t="str">
        <f aca="false">IF($J865="","",IF($R865&lt;&gt;"",$R865,IF($G865="",0,MAX(IFERROR(INDEX(Settings!$D$6:$D$15,MATCH($G865,Settings!$A$6:$A$15,0)),0),$J865*IFERROR(INDEX(Settings!$B$6:$B$15,MATCH($G865,Settings!$A$6:$A$15,0)),0)+IFERROR(INDEX(Settings!$C$6:$C$15,MATCH($G865,Settings!$A$6:$A$15,0)),0)))))</f>
        <v/>
      </c>
      <c r="L865" s="13" t="str">
        <f aca="false">IF($J865="","",IF($C865="",1,$C865)*IF($Q865&lt;&gt;"",$Q865,IFERROR(INDEX(Products!$D$5:$D$54,MATCH($B865,Products!$A$5:$A$54,0)),0)))</f>
        <v/>
      </c>
      <c r="M865" s="14" t="str">
        <f aca="false">IF($J865="","",$J865-$K865-N($H865)-$L865)</f>
        <v/>
      </c>
      <c r="N865" s="15" t="str">
        <f aca="false">IF($J865="","",IF($J865&gt;0,$M865/$J865,""))</f>
        <v/>
      </c>
      <c r="O865" s="12"/>
      <c r="P865" s="12"/>
      <c r="Q865" s="11"/>
      <c r="R865" s="11"/>
      <c r="S865" s="12"/>
      <c r="T865" s="16" t="str">
        <f aca="false">IF($J865="","",IF($C865="",1,$C865))</f>
        <v/>
      </c>
    </row>
    <row r="866" customFormat="false" ht="15" hidden="false" customHeight="false" outlineLevel="0" collapsed="false">
      <c r="A866" s="7"/>
      <c r="B866" s="8"/>
      <c r="C866" s="9"/>
      <c r="D866" s="10"/>
      <c r="E866" s="11"/>
      <c r="F866" s="11"/>
      <c r="G866" s="8"/>
      <c r="H866" s="11"/>
      <c r="I866" s="12"/>
      <c r="J866" s="13" t="str">
        <f aca="false">IF(OR($A866="",$D866=""),"",IF($C866="",1,$C866)*$D866+N($E866)-N($F866))</f>
        <v/>
      </c>
      <c r="K866" s="13" t="str">
        <f aca="false">IF($J866="","",IF($R866&lt;&gt;"",$R866,IF($G866="",0,MAX(IFERROR(INDEX(Settings!$D$6:$D$15,MATCH($G866,Settings!$A$6:$A$15,0)),0),$J866*IFERROR(INDEX(Settings!$B$6:$B$15,MATCH($G866,Settings!$A$6:$A$15,0)),0)+IFERROR(INDEX(Settings!$C$6:$C$15,MATCH($G866,Settings!$A$6:$A$15,0)),0)))))</f>
        <v/>
      </c>
      <c r="L866" s="13" t="str">
        <f aca="false">IF($J866="","",IF($C866="",1,$C866)*IF($Q866&lt;&gt;"",$Q866,IFERROR(INDEX(Products!$D$5:$D$54,MATCH($B866,Products!$A$5:$A$54,0)),0)))</f>
        <v/>
      </c>
      <c r="M866" s="14" t="str">
        <f aca="false">IF($J866="","",$J866-$K866-N($H866)-$L866)</f>
        <v/>
      </c>
      <c r="N866" s="15" t="str">
        <f aca="false">IF($J866="","",IF($J866&gt;0,$M866/$J866,""))</f>
        <v/>
      </c>
      <c r="O866" s="12"/>
      <c r="P866" s="12"/>
      <c r="Q866" s="11"/>
      <c r="R866" s="11"/>
      <c r="S866" s="12"/>
      <c r="T866" s="16" t="str">
        <f aca="false">IF($J866="","",IF($C866="",1,$C866))</f>
        <v/>
      </c>
    </row>
    <row r="867" customFormat="false" ht="15" hidden="false" customHeight="false" outlineLevel="0" collapsed="false">
      <c r="A867" s="7"/>
      <c r="B867" s="8"/>
      <c r="C867" s="9"/>
      <c r="D867" s="10"/>
      <c r="E867" s="11"/>
      <c r="F867" s="11"/>
      <c r="G867" s="8"/>
      <c r="H867" s="11"/>
      <c r="I867" s="12"/>
      <c r="J867" s="13" t="str">
        <f aca="false">IF(OR($A867="",$D867=""),"",IF($C867="",1,$C867)*$D867+N($E867)-N($F867))</f>
        <v/>
      </c>
      <c r="K867" s="13" t="str">
        <f aca="false">IF($J867="","",IF($R867&lt;&gt;"",$R867,IF($G867="",0,MAX(IFERROR(INDEX(Settings!$D$6:$D$15,MATCH($G867,Settings!$A$6:$A$15,0)),0),$J867*IFERROR(INDEX(Settings!$B$6:$B$15,MATCH($G867,Settings!$A$6:$A$15,0)),0)+IFERROR(INDEX(Settings!$C$6:$C$15,MATCH($G867,Settings!$A$6:$A$15,0)),0)))))</f>
        <v/>
      </c>
      <c r="L867" s="13" t="str">
        <f aca="false">IF($J867="","",IF($C867="",1,$C867)*IF($Q867&lt;&gt;"",$Q867,IFERROR(INDEX(Products!$D$5:$D$54,MATCH($B867,Products!$A$5:$A$54,0)),0)))</f>
        <v/>
      </c>
      <c r="M867" s="14" t="str">
        <f aca="false">IF($J867="","",$J867-$K867-N($H867)-$L867)</f>
        <v/>
      </c>
      <c r="N867" s="15" t="str">
        <f aca="false">IF($J867="","",IF($J867&gt;0,$M867/$J867,""))</f>
        <v/>
      </c>
      <c r="O867" s="12"/>
      <c r="P867" s="12"/>
      <c r="Q867" s="11"/>
      <c r="R867" s="11"/>
      <c r="S867" s="12"/>
      <c r="T867" s="16" t="str">
        <f aca="false">IF($J867="","",IF($C867="",1,$C867))</f>
        <v/>
      </c>
    </row>
    <row r="868" customFormat="false" ht="15" hidden="false" customHeight="false" outlineLevel="0" collapsed="false">
      <c r="A868" s="7"/>
      <c r="B868" s="8"/>
      <c r="C868" s="9"/>
      <c r="D868" s="10"/>
      <c r="E868" s="11"/>
      <c r="F868" s="11"/>
      <c r="G868" s="8"/>
      <c r="H868" s="11"/>
      <c r="I868" s="12"/>
      <c r="J868" s="13" t="str">
        <f aca="false">IF(OR($A868="",$D868=""),"",IF($C868="",1,$C868)*$D868+N($E868)-N($F868))</f>
        <v/>
      </c>
      <c r="K868" s="13" t="str">
        <f aca="false">IF($J868="","",IF($R868&lt;&gt;"",$R868,IF($G868="",0,MAX(IFERROR(INDEX(Settings!$D$6:$D$15,MATCH($G868,Settings!$A$6:$A$15,0)),0),$J868*IFERROR(INDEX(Settings!$B$6:$B$15,MATCH($G868,Settings!$A$6:$A$15,0)),0)+IFERROR(INDEX(Settings!$C$6:$C$15,MATCH($G868,Settings!$A$6:$A$15,0)),0)))))</f>
        <v/>
      </c>
      <c r="L868" s="13" t="str">
        <f aca="false">IF($J868="","",IF($C868="",1,$C868)*IF($Q868&lt;&gt;"",$Q868,IFERROR(INDEX(Products!$D$5:$D$54,MATCH($B868,Products!$A$5:$A$54,0)),0)))</f>
        <v/>
      </c>
      <c r="M868" s="14" t="str">
        <f aca="false">IF($J868="","",$J868-$K868-N($H868)-$L868)</f>
        <v/>
      </c>
      <c r="N868" s="15" t="str">
        <f aca="false">IF($J868="","",IF($J868&gt;0,$M868/$J868,""))</f>
        <v/>
      </c>
      <c r="O868" s="12"/>
      <c r="P868" s="12"/>
      <c r="Q868" s="11"/>
      <c r="R868" s="11"/>
      <c r="S868" s="12"/>
      <c r="T868" s="16" t="str">
        <f aca="false">IF($J868="","",IF($C868="",1,$C868))</f>
        <v/>
      </c>
    </row>
    <row r="869" customFormat="false" ht="15" hidden="false" customHeight="false" outlineLevel="0" collapsed="false">
      <c r="A869" s="7"/>
      <c r="B869" s="8"/>
      <c r="C869" s="9"/>
      <c r="D869" s="10"/>
      <c r="E869" s="11"/>
      <c r="F869" s="11"/>
      <c r="G869" s="8"/>
      <c r="H869" s="11"/>
      <c r="I869" s="12"/>
      <c r="J869" s="13" t="str">
        <f aca="false">IF(OR($A869="",$D869=""),"",IF($C869="",1,$C869)*$D869+N($E869)-N($F869))</f>
        <v/>
      </c>
      <c r="K869" s="13" t="str">
        <f aca="false">IF($J869="","",IF($R869&lt;&gt;"",$R869,IF($G869="",0,MAX(IFERROR(INDEX(Settings!$D$6:$D$15,MATCH($G869,Settings!$A$6:$A$15,0)),0),$J869*IFERROR(INDEX(Settings!$B$6:$B$15,MATCH($G869,Settings!$A$6:$A$15,0)),0)+IFERROR(INDEX(Settings!$C$6:$C$15,MATCH($G869,Settings!$A$6:$A$15,0)),0)))))</f>
        <v/>
      </c>
      <c r="L869" s="13" t="str">
        <f aca="false">IF($J869="","",IF($C869="",1,$C869)*IF($Q869&lt;&gt;"",$Q869,IFERROR(INDEX(Products!$D$5:$D$54,MATCH($B869,Products!$A$5:$A$54,0)),0)))</f>
        <v/>
      </c>
      <c r="M869" s="14" t="str">
        <f aca="false">IF($J869="","",$J869-$K869-N($H869)-$L869)</f>
        <v/>
      </c>
      <c r="N869" s="15" t="str">
        <f aca="false">IF($J869="","",IF($J869&gt;0,$M869/$J869,""))</f>
        <v/>
      </c>
      <c r="O869" s="12"/>
      <c r="P869" s="12"/>
      <c r="Q869" s="11"/>
      <c r="R869" s="11"/>
      <c r="S869" s="12"/>
      <c r="T869" s="16" t="str">
        <f aca="false">IF($J869="","",IF($C869="",1,$C869))</f>
        <v/>
      </c>
    </row>
    <row r="870" customFormat="false" ht="15" hidden="false" customHeight="false" outlineLevel="0" collapsed="false">
      <c r="A870" s="7"/>
      <c r="B870" s="8"/>
      <c r="C870" s="9"/>
      <c r="D870" s="10"/>
      <c r="E870" s="11"/>
      <c r="F870" s="11"/>
      <c r="G870" s="8"/>
      <c r="H870" s="11"/>
      <c r="I870" s="12"/>
      <c r="J870" s="13" t="str">
        <f aca="false">IF(OR($A870="",$D870=""),"",IF($C870="",1,$C870)*$D870+N($E870)-N($F870))</f>
        <v/>
      </c>
      <c r="K870" s="13" t="str">
        <f aca="false">IF($J870="","",IF($R870&lt;&gt;"",$R870,IF($G870="",0,MAX(IFERROR(INDEX(Settings!$D$6:$D$15,MATCH($G870,Settings!$A$6:$A$15,0)),0),$J870*IFERROR(INDEX(Settings!$B$6:$B$15,MATCH($G870,Settings!$A$6:$A$15,0)),0)+IFERROR(INDEX(Settings!$C$6:$C$15,MATCH($G870,Settings!$A$6:$A$15,0)),0)))))</f>
        <v/>
      </c>
      <c r="L870" s="13" t="str">
        <f aca="false">IF($J870="","",IF($C870="",1,$C870)*IF($Q870&lt;&gt;"",$Q870,IFERROR(INDEX(Products!$D$5:$D$54,MATCH($B870,Products!$A$5:$A$54,0)),0)))</f>
        <v/>
      </c>
      <c r="M870" s="14" t="str">
        <f aca="false">IF($J870="","",$J870-$K870-N($H870)-$L870)</f>
        <v/>
      </c>
      <c r="N870" s="15" t="str">
        <f aca="false">IF($J870="","",IF($J870&gt;0,$M870/$J870,""))</f>
        <v/>
      </c>
      <c r="O870" s="12"/>
      <c r="P870" s="12"/>
      <c r="Q870" s="11"/>
      <c r="R870" s="11"/>
      <c r="S870" s="12"/>
      <c r="T870" s="16" t="str">
        <f aca="false">IF($J870="","",IF($C870="",1,$C870))</f>
        <v/>
      </c>
    </row>
    <row r="871" customFormat="false" ht="15" hidden="false" customHeight="false" outlineLevel="0" collapsed="false">
      <c r="A871" s="7"/>
      <c r="B871" s="8"/>
      <c r="C871" s="9"/>
      <c r="D871" s="10"/>
      <c r="E871" s="11"/>
      <c r="F871" s="11"/>
      <c r="G871" s="8"/>
      <c r="H871" s="11"/>
      <c r="I871" s="12"/>
      <c r="J871" s="13" t="str">
        <f aca="false">IF(OR($A871="",$D871=""),"",IF($C871="",1,$C871)*$D871+N($E871)-N($F871))</f>
        <v/>
      </c>
      <c r="K871" s="13" t="str">
        <f aca="false">IF($J871="","",IF($R871&lt;&gt;"",$R871,IF($G871="",0,MAX(IFERROR(INDEX(Settings!$D$6:$D$15,MATCH($G871,Settings!$A$6:$A$15,0)),0),$J871*IFERROR(INDEX(Settings!$B$6:$B$15,MATCH($G871,Settings!$A$6:$A$15,0)),0)+IFERROR(INDEX(Settings!$C$6:$C$15,MATCH($G871,Settings!$A$6:$A$15,0)),0)))))</f>
        <v/>
      </c>
      <c r="L871" s="13" t="str">
        <f aca="false">IF($J871="","",IF($C871="",1,$C871)*IF($Q871&lt;&gt;"",$Q871,IFERROR(INDEX(Products!$D$5:$D$54,MATCH($B871,Products!$A$5:$A$54,0)),0)))</f>
        <v/>
      </c>
      <c r="M871" s="14" t="str">
        <f aca="false">IF($J871="","",$J871-$K871-N($H871)-$L871)</f>
        <v/>
      </c>
      <c r="N871" s="15" t="str">
        <f aca="false">IF($J871="","",IF($J871&gt;0,$M871/$J871,""))</f>
        <v/>
      </c>
      <c r="O871" s="12"/>
      <c r="P871" s="12"/>
      <c r="Q871" s="11"/>
      <c r="R871" s="11"/>
      <c r="S871" s="12"/>
      <c r="T871" s="16" t="str">
        <f aca="false">IF($J871="","",IF($C871="",1,$C871))</f>
        <v/>
      </c>
    </row>
    <row r="872" customFormat="false" ht="15" hidden="false" customHeight="false" outlineLevel="0" collapsed="false">
      <c r="A872" s="7"/>
      <c r="B872" s="8"/>
      <c r="C872" s="9"/>
      <c r="D872" s="10"/>
      <c r="E872" s="11"/>
      <c r="F872" s="11"/>
      <c r="G872" s="8"/>
      <c r="H872" s="11"/>
      <c r="I872" s="12"/>
      <c r="J872" s="13" t="str">
        <f aca="false">IF(OR($A872="",$D872=""),"",IF($C872="",1,$C872)*$D872+N($E872)-N($F872))</f>
        <v/>
      </c>
      <c r="K872" s="13" t="str">
        <f aca="false">IF($J872="","",IF($R872&lt;&gt;"",$R872,IF($G872="",0,MAX(IFERROR(INDEX(Settings!$D$6:$D$15,MATCH($G872,Settings!$A$6:$A$15,0)),0),$J872*IFERROR(INDEX(Settings!$B$6:$B$15,MATCH($G872,Settings!$A$6:$A$15,0)),0)+IFERROR(INDEX(Settings!$C$6:$C$15,MATCH($G872,Settings!$A$6:$A$15,0)),0)))))</f>
        <v/>
      </c>
      <c r="L872" s="13" t="str">
        <f aca="false">IF($J872="","",IF($C872="",1,$C872)*IF($Q872&lt;&gt;"",$Q872,IFERROR(INDEX(Products!$D$5:$D$54,MATCH($B872,Products!$A$5:$A$54,0)),0)))</f>
        <v/>
      </c>
      <c r="M872" s="14" t="str">
        <f aca="false">IF($J872="","",$J872-$K872-N($H872)-$L872)</f>
        <v/>
      </c>
      <c r="N872" s="15" t="str">
        <f aca="false">IF($J872="","",IF($J872&gt;0,$M872/$J872,""))</f>
        <v/>
      </c>
      <c r="O872" s="12"/>
      <c r="P872" s="12"/>
      <c r="Q872" s="11"/>
      <c r="R872" s="11"/>
      <c r="S872" s="12"/>
      <c r="T872" s="16" t="str">
        <f aca="false">IF($J872="","",IF($C872="",1,$C872))</f>
        <v/>
      </c>
    </row>
    <row r="873" customFormat="false" ht="15" hidden="false" customHeight="false" outlineLevel="0" collapsed="false">
      <c r="A873" s="7"/>
      <c r="B873" s="8"/>
      <c r="C873" s="9"/>
      <c r="D873" s="10"/>
      <c r="E873" s="11"/>
      <c r="F873" s="11"/>
      <c r="G873" s="8"/>
      <c r="H873" s="11"/>
      <c r="I873" s="12"/>
      <c r="J873" s="13" t="str">
        <f aca="false">IF(OR($A873="",$D873=""),"",IF($C873="",1,$C873)*$D873+N($E873)-N($F873))</f>
        <v/>
      </c>
      <c r="K873" s="13" t="str">
        <f aca="false">IF($J873="","",IF($R873&lt;&gt;"",$R873,IF($G873="",0,MAX(IFERROR(INDEX(Settings!$D$6:$D$15,MATCH($G873,Settings!$A$6:$A$15,0)),0),$J873*IFERROR(INDEX(Settings!$B$6:$B$15,MATCH($G873,Settings!$A$6:$A$15,0)),0)+IFERROR(INDEX(Settings!$C$6:$C$15,MATCH($G873,Settings!$A$6:$A$15,0)),0)))))</f>
        <v/>
      </c>
      <c r="L873" s="13" t="str">
        <f aca="false">IF($J873="","",IF($C873="",1,$C873)*IF($Q873&lt;&gt;"",$Q873,IFERROR(INDEX(Products!$D$5:$D$54,MATCH($B873,Products!$A$5:$A$54,0)),0)))</f>
        <v/>
      </c>
      <c r="M873" s="14" t="str">
        <f aca="false">IF($J873="","",$J873-$K873-N($H873)-$L873)</f>
        <v/>
      </c>
      <c r="N873" s="15" t="str">
        <f aca="false">IF($J873="","",IF($J873&gt;0,$M873/$J873,""))</f>
        <v/>
      </c>
      <c r="O873" s="12"/>
      <c r="P873" s="12"/>
      <c r="Q873" s="11"/>
      <c r="R873" s="11"/>
      <c r="S873" s="12"/>
      <c r="T873" s="16" t="str">
        <f aca="false">IF($J873="","",IF($C873="",1,$C873))</f>
        <v/>
      </c>
    </row>
    <row r="874" customFormat="false" ht="15" hidden="false" customHeight="false" outlineLevel="0" collapsed="false">
      <c r="A874" s="7"/>
      <c r="B874" s="8"/>
      <c r="C874" s="9"/>
      <c r="D874" s="10"/>
      <c r="E874" s="11"/>
      <c r="F874" s="11"/>
      <c r="G874" s="8"/>
      <c r="H874" s="11"/>
      <c r="I874" s="12"/>
      <c r="J874" s="13" t="str">
        <f aca="false">IF(OR($A874="",$D874=""),"",IF($C874="",1,$C874)*$D874+N($E874)-N($F874))</f>
        <v/>
      </c>
      <c r="K874" s="13" t="str">
        <f aca="false">IF($J874="","",IF($R874&lt;&gt;"",$R874,IF($G874="",0,MAX(IFERROR(INDEX(Settings!$D$6:$D$15,MATCH($G874,Settings!$A$6:$A$15,0)),0),$J874*IFERROR(INDEX(Settings!$B$6:$B$15,MATCH($G874,Settings!$A$6:$A$15,0)),0)+IFERROR(INDEX(Settings!$C$6:$C$15,MATCH($G874,Settings!$A$6:$A$15,0)),0)))))</f>
        <v/>
      </c>
      <c r="L874" s="13" t="str">
        <f aca="false">IF($J874="","",IF($C874="",1,$C874)*IF($Q874&lt;&gt;"",$Q874,IFERROR(INDEX(Products!$D$5:$D$54,MATCH($B874,Products!$A$5:$A$54,0)),0)))</f>
        <v/>
      </c>
      <c r="M874" s="14" t="str">
        <f aca="false">IF($J874="","",$J874-$K874-N($H874)-$L874)</f>
        <v/>
      </c>
      <c r="N874" s="15" t="str">
        <f aca="false">IF($J874="","",IF($J874&gt;0,$M874/$J874,""))</f>
        <v/>
      </c>
      <c r="O874" s="12"/>
      <c r="P874" s="12"/>
      <c r="Q874" s="11"/>
      <c r="R874" s="11"/>
      <c r="S874" s="12"/>
      <c r="T874" s="16" t="str">
        <f aca="false">IF($J874="","",IF($C874="",1,$C874))</f>
        <v/>
      </c>
    </row>
    <row r="875" customFormat="false" ht="15" hidden="false" customHeight="false" outlineLevel="0" collapsed="false">
      <c r="A875" s="7"/>
      <c r="B875" s="8"/>
      <c r="C875" s="9"/>
      <c r="D875" s="10"/>
      <c r="E875" s="11"/>
      <c r="F875" s="11"/>
      <c r="G875" s="8"/>
      <c r="H875" s="11"/>
      <c r="I875" s="12"/>
      <c r="J875" s="13" t="str">
        <f aca="false">IF(OR($A875="",$D875=""),"",IF($C875="",1,$C875)*$D875+N($E875)-N($F875))</f>
        <v/>
      </c>
      <c r="K875" s="13" t="str">
        <f aca="false">IF($J875="","",IF($R875&lt;&gt;"",$R875,IF($G875="",0,MAX(IFERROR(INDEX(Settings!$D$6:$D$15,MATCH($G875,Settings!$A$6:$A$15,0)),0),$J875*IFERROR(INDEX(Settings!$B$6:$B$15,MATCH($G875,Settings!$A$6:$A$15,0)),0)+IFERROR(INDEX(Settings!$C$6:$C$15,MATCH($G875,Settings!$A$6:$A$15,0)),0)))))</f>
        <v/>
      </c>
      <c r="L875" s="13" t="str">
        <f aca="false">IF($J875="","",IF($C875="",1,$C875)*IF($Q875&lt;&gt;"",$Q875,IFERROR(INDEX(Products!$D$5:$D$54,MATCH($B875,Products!$A$5:$A$54,0)),0)))</f>
        <v/>
      </c>
      <c r="M875" s="14" t="str">
        <f aca="false">IF($J875="","",$J875-$K875-N($H875)-$L875)</f>
        <v/>
      </c>
      <c r="N875" s="15" t="str">
        <f aca="false">IF($J875="","",IF($J875&gt;0,$M875/$J875,""))</f>
        <v/>
      </c>
      <c r="O875" s="12"/>
      <c r="P875" s="12"/>
      <c r="Q875" s="11"/>
      <c r="R875" s="11"/>
      <c r="S875" s="12"/>
      <c r="T875" s="16" t="str">
        <f aca="false">IF($J875="","",IF($C875="",1,$C875))</f>
        <v/>
      </c>
    </row>
    <row r="876" customFormat="false" ht="15" hidden="false" customHeight="false" outlineLevel="0" collapsed="false">
      <c r="A876" s="7"/>
      <c r="B876" s="8"/>
      <c r="C876" s="9"/>
      <c r="D876" s="10"/>
      <c r="E876" s="11"/>
      <c r="F876" s="11"/>
      <c r="G876" s="8"/>
      <c r="H876" s="11"/>
      <c r="I876" s="12"/>
      <c r="J876" s="13" t="str">
        <f aca="false">IF(OR($A876="",$D876=""),"",IF($C876="",1,$C876)*$D876+N($E876)-N($F876))</f>
        <v/>
      </c>
      <c r="K876" s="13" t="str">
        <f aca="false">IF($J876="","",IF($R876&lt;&gt;"",$R876,IF($G876="",0,MAX(IFERROR(INDEX(Settings!$D$6:$D$15,MATCH($G876,Settings!$A$6:$A$15,0)),0),$J876*IFERROR(INDEX(Settings!$B$6:$B$15,MATCH($G876,Settings!$A$6:$A$15,0)),0)+IFERROR(INDEX(Settings!$C$6:$C$15,MATCH($G876,Settings!$A$6:$A$15,0)),0)))))</f>
        <v/>
      </c>
      <c r="L876" s="13" t="str">
        <f aca="false">IF($J876="","",IF($C876="",1,$C876)*IF($Q876&lt;&gt;"",$Q876,IFERROR(INDEX(Products!$D$5:$D$54,MATCH($B876,Products!$A$5:$A$54,0)),0)))</f>
        <v/>
      </c>
      <c r="M876" s="14" t="str">
        <f aca="false">IF($J876="","",$J876-$K876-N($H876)-$L876)</f>
        <v/>
      </c>
      <c r="N876" s="15" t="str">
        <f aca="false">IF($J876="","",IF($J876&gt;0,$M876/$J876,""))</f>
        <v/>
      </c>
      <c r="O876" s="12"/>
      <c r="P876" s="12"/>
      <c r="Q876" s="11"/>
      <c r="R876" s="11"/>
      <c r="S876" s="12"/>
      <c r="T876" s="16" t="str">
        <f aca="false">IF($J876="","",IF($C876="",1,$C876))</f>
        <v/>
      </c>
    </row>
    <row r="877" customFormat="false" ht="15" hidden="false" customHeight="false" outlineLevel="0" collapsed="false">
      <c r="A877" s="7"/>
      <c r="B877" s="8"/>
      <c r="C877" s="9"/>
      <c r="D877" s="10"/>
      <c r="E877" s="11"/>
      <c r="F877" s="11"/>
      <c r="G877" s="8"/>
      <c r="H877" s="11"/>
      <c r="I877" s="12"/>
      <c r="J877" s="13" t="str">
        <f aca="false">IF(OR($A877="",$D877=""),"",IF($C877="",1,$C877)*$D877+N($E877)-N($F877))</f>
        <v/>
      </c>
      <c r="K877" s="13" t="str">
        <f aca="false">IF($J877="","",IF($R877&lt;&gt;"",$R877,IF($G877="",0,MAX(IFERROR(INDEX(Settings!$D$6:$D$15,MATCH($G877,Settings!$A$6:$A$15,0)),0),$J877*IFERROR(INDEX(Settings!$B$6:$B$15,MATCH($G877,Settings!$A$6:$A$15,0)),0)+IFERROR(INDEX(Settings!$C$6:$C$15,MATCH($G877,Settings!$A$6:$A$15,0)),0)))))</f>
        <v/>
      </c>
      <c r="L877" s="13" t="str">
        <f aca="false">IF($J877="","",IF($C877="",1,$C877)*IF($Q877&lt;&gt;"",$Q877,IFERROR(INDEX(Products!$D$5:$D$54,MATCH($B877,Products!$A$5:$A$54,0)),0)))</f>
        <v/>
      </c>
      <c r="M877" s="14" t="str">
        <f aca="false">IF($J877="","",$J877-$K877-N($H877)-$L877)</f>
        <v/>
      </c>
      <c r="N877" s="15" t="str">
        <f aca="false">IF($J877="","",IF($J877&gt;0,$M877/$J877,""))</f>
        <v/>
      </c>
      <c r="O877" s="12"/>
      <c r="P877" s="12"/>
      <c r="Q877" s="11"/>
      <c r="R877" s="11"/>
      <c r="S877" s="12"/>
      <c r="T877" s="16" t="str">
        <f aca="false">IF($J877="","",IF($C877="",1,$C877))</f>
        <v/>
      </c>
    </row>
    <row r="878" customFormat="false" ht="15" hidden="false" customHeight="false" outlineLevel="0" collapsed="false">
      <c r="A878" s="7"/>
      <c r="B878" s="8"/>
      <c r="C878" s="9"/>
      <c r="D878" s="10"/>
      <c r="E878" s="11"/>
      <c r="F878" s="11"/>
      <c r="G878" s="8"/>
      <c r="H878" s="11"/>
      <c r="I878" s="12"/>
      <c r="J878" s="13" t="str">
        <f aca="false">IF(OR($A878="",$D878=""),"",IF($C878="",1,$C878)*$D878+N($E878)-N($F878))</f>
        <v/>
      </c>
      <c r="K878" s="13" t="str">
        <f aca="false">IF($J878="","",IF($R878&lt;&gt;"",$R878,IF($G878="",0,MAX(IFERROR(INDEX(Settings!$D$6:$D$15,MATCH($G878,Settings!$A$6:$A$15,0)),0),$J878*IFERROR(INDEX(Settings!$B$6:$B$15,MATCH($G878,Settings!$A$6:$A$15,0)),0)+IFERROR(INDEX(Settings!$C$6:$C$15,MATCH($G878,Settings!$A$6:$A$15,0)),0)))))</f>
        <v/>
      </c>
      <c r="L878" s="13" t="str">
        <f aca="false">IF($J878="","",IF($C878="",1,$C878)*IF($Q878&lt;&gt;"",$Q878,IFERROR(INDEX(Products!$D$5:$D$54,MATCH($B878,Products!$A$5:$A$54,0)),0)))</f>
        <v/>
      </c>
      <c r="M878" s="14" t="str">
        <f aca="false">IF($J878="","",$J878-$K878-N($H878)-$L878)</f>
        <v/>
      </c>
      <c r="N878" s="15" t="str">
        <f aca="false">IF($J878="","",IF($J878&gt;0,$M878/$J878,""))</f>
        <v/>
      </c>
      <c r="O878" s="12"/>
      <c r="P878" s="12"/>
      <c r="Q878" s="11"/>
      <c r="R878" s="11"/>
      <c r="S878" s="12"/>
      <c r="T878" s="16" t="str">
        <f aca="false">IF($J878="","",IF($C878="",1,$C878))</f>
        <v/>
      </c>
    </row>
    <row r="879" customFormat="false" ht="15" hidden="false" customHeight="false" outlineLevel="0" collapsed="false">
      <c r="A879" s="7"/>
      <c r="B879" s="8"/>
      <c r="C879" s="9"/>
      <c r="D879" s="10"/>
      <c r="E879" s="11"/>
      <c r="F879" s="11"/>
      <c r="G879" s="8"/>
      <c r="H879" s="11"/>
      <c r="I879" s="12"/>
      <c r="J879" s="13" t="str">
        <f aca="false">IF(OR($A879="",$D879=""),"",IF($C879="",1,$C879)*$D879+N($E879)-N($F879))</f>
        <v/>
      </c>
      <c r="K879" s="13" t="str">
        <f aca="false">IF($J879="","",IF($R879&lt;&gt;"",$R879,IF($G879="",0,MAX(IFERROR(INDEX(Settings!$D$6:$D$15,MATCH($G879,Settings!$A$6:$A$15,0)),0),$J879*IFERROR(INDEX(Settings!$B$6:$B$15,MATCH($G879,Settings!$A$6:$A$15,0)),0)+IFERROR(INDEX(Settings!$C$6:$C$15,MATCH($G879,Settings!$A$6:$A$15,0)),0)))))</f>
        <v/>
      </c>
      <c r="L879" s="13" t="str">
        <f aca="false">IF($J879="","",IF($C879="",1,$C879)*IF($Q879&lt;&gt;"",$Q879,IFERROR(INDEX(Products!$D$5:$D$54,MATCH($B879,Products!$A$5:$A$54,0)),0)))</f>
        <v/>
      </c>
      <c r="M879" s="14" t="str">
        <f aca="false">IF($J879="","",$J879-$K879-N($H879)-$L879)</f>
        <v/>
      </c>
      <c r="N879" s="15" t="str">
        <f aca="false">IF($J879="","",IF($J879&gt;0,$M879/$J879,""))</f>
        <v/>
      </c>
      <c r="O879" s="12"/>
      <c r="P879" s="12"/>
      <c r="Q879" s="11"/>
      <c r="R879" s="11"/>
      <c r="S879" s="12"/>
      <c r="T879" s="16" t="str">
        <f aca="false">IF($J879="","",IF($C879="",1,$C879))</f>
        <v/>
      </c>
    </row>
    <row r="880" customFormat="false" ht="15" hidden="false" customHeight="false" outlineLevel="0" collapsed="false">
      <c r="A880" s="7"/>
      <c r="B880" s="8"/>
      <c r="C880" s="9"/>
      <c r="D880" s="10"/>
      <c r="E880" s="11"/>
      <c r="F880" s="11"/>
      <c r="G880" s="8"/>
      <c r="H880" s="11"/>
      <c r="I880" s="12"/>
      <c r="J880" s="13" t="str">
        <f aca="false">IF(OR($A880="",$D880=""),"",IF($C880="",1,$C880)*$D880+N($E880)-N($F880))</f>
        <v/>
      </c>
      <c r="K880" s="13" t="str">
        <f aca="false">IF($J880="","",IF($R880&lt;&gt;"",$R880,IF($G880="",0,MAX(IFERROR(INDEX(Settings!$D$6:$D$15,MATCH($G880,Settings!$A$6:$A$15,0)),0),$J880*IFERROR(INDEX(Settings!$B$6:$B$15,MATCH($G880,Settings!$A$6:$A$15,0)),0)+IFERROR(INDEX(Settings!$C$6:$C$15,MATCH($G880,Settings!$A$6:$A$15,0)),0)))))</f>
        <v/>
      </c>
      <c r="L880" s="13" t="str">
        <f aca="false">IF($J880="","",IF($C880="",1,$C880)*IF($Q880&lt;&gt;"",$Q880,IFERROR(INDEX(Products!$D$5:$D$54,MATCH($B880,Products!$A$5:$A$54,0)),0)))</f>
        <v/>
      </c>
      <c r="M880" s="14" t="str">
        <f aca="false">IF($J880="","",$J880-$K880-N($H880)-$L880)</f>
        <v/>
      </c>
      <c r="N880" s="15" t="str">
        <f aca="false">IF($J880="","",IF($J880&gt;0,$M880/$J880,""))</f>
        <v/>
      </c>
      <c r="O880" s="12"/>
      <c r="P880" s="12"/>
      <c r="Q880" s="11"/>
      <c r="R880" s="11"/>
      <c r="S880" s="12"/>
      <c r="T880" s="16" t="str">
        <f aca="false">IF($J880="","",IF($C880="",1,$C880))</f>
        <v/>
      </c>
    </row>
    <row r="881" customFormat="false" ht="15" hidden="false" customHeight="false" outlineLevel="0" collapsed="false">
      <c r="A881" s="7"/>
      <c r="B881" s="8"/>
      <c r="C881" s="9"/>
      <c r="D881" s="10"/>
      <c r="E881" s="11"/>
      <c r="F881" s="11"/>
      <c r="G881" s="8"/>
      <c r="H881" s="11"/>
      <c r="I881" s="12"/>
      <c r="J881" s="13" t="str">
        <f aca="false">IF(OR($A881="",$D881=""),"",IF($C881="",1,$C881)*$D881+N($E881)-N($F881))</f>
        <v/>
      </c>
      <c r="K881" s="13" t="str">
        <f aca="false">IF($J881="","",IF($R881&lt;&gt;"",$R881,IF($G881="",0,MAX(IFERROR(INDEX(Settings!$D$6:$D$15,MATCH($G881,Settings!$A$6:$A$15,0)),0),$J881*IFERROR(INDEX(Settings!$B$6:$B$15,MATCH($G881,Settings!$A$6:$A$15,0)),0)+IFERROR(INDEX(Settings!$C$6:$C$15,MATCH($G881,Settings!$A$6:$A$15,0)),0)))))</f>
        <v/>
      </c>
      <c r="L881" s="13" t="str">
        <f aca="false">IF($J881="","",IF($C881="",1,$C881)*IF($Q881&lt;&gt;"",$Q881,IFERROR(INDEX(Products!$D$5:$D$54,MATCH($B881,Products!$A$5:$A$54,0)),0)))</f>
        <v/>
      </c>
      <c r="M881" s="14" t="str">
        <f aca="false">IF($J881="","",$J881-$K881-N($H881)-$L881)</f>
        <v/>
      </c>
      <c r="N881" s="15" t="str">
        <f aca="false">IF($J881="","",IF($J881&gt;0,$M881/$J881,""))</f>
        <v/>
      </c>
      <c r="O881" s="12"/>
      <c r="P881" s="12"/>
      <c r="Q881" s="11"/>
      <c r="R881" s="11"/>
      <c r="S881" s="12"/>
      <c r="T881" s="16" t="str">
        <f aca="false">IF($J881="","",IF($C881="",1,$C881))</f>
        <v/>
      </c>
    </row>
    <row r="882" customFormat="false" ht="15" hidden="false" customHeight="false" outlineLevel="0" collapsed="false">
      <c r="A882" s="7"/>
      <c r="B882" s="8"/>
      <c r="C882" s="9"/>
      <c r="D882" s="10"/>
      <c r="E882" s="11"/>
      <c r="F882" s="11"/>
      <c r="G882" s="8"/>
      <c r="H882" s="11"/>
      <c r="I882" s="12"/>
      <c r="J882" s="13" t="str">
        <f aca="false">IF(OR($A882="",$D882=""),"",IF($C882="",1,$C882)*$D882+N($E882)-N($F882))</f>
        <v/>
      </c>
      <c r="K882" s="13" t="str">
        <f aca="false">IF($J882="","",IF($R882&lt;&gt;"",$R882,IF($G882="",0,MAX(IFERROR(INDEX(Settings!$D$6:$D$15,MATCH($G882,Settings!$A$6:$A$15,0)),0),$J882*IFERROR(INDEX(Settings!$B$6:$B$15,MATCH($G882,Settings!$A$6:$A$15,0)),0)+IFERROR(INDEX(Settings!$C$6:$C$15,MATCH($G882,Settings!$A$6:$A$15,0)),0)))))</f>
        <v/>
      </c>
      <c r="L882" s="13" t="str">
        <f aca="false">IF($J882="","",IF($C882="",1,$C882)*IF($Q882&lt;&gt;"",$Q882,IFERROR(INDEX(Products!$D$5:$D$54,MATCH($B882,Products!$A$5:$A$54,0)),0)))</f>
        <v/>
      </c>
      <c r="M882" s="14" t="str">
        <f aca="false">IF($J882="","",$J882-$K882-N($H882)-$L882)</f>
        <v/>
      </c>
      <c r="N882" s="15" t="str">
        <f aca="false">IF($J882="","",IF($J882&gt;0,$M882/$J882,""))</f>
        <v/>
      </c>
      <c r="O882" s="12"/>
      <c r="P882" s="12"/>
      <c r="Q882" s="11"/>
      <c r="R882" s="11"/>
      <c r="S882" s="12"/>
      <c r="T882" s="16" t="str">
        <f aca="false">IF($J882="","",IF($C882="",1,$C882))</f>
        <v/>
      </c>
    </row>
    <row r="883" customFormat="false" ht="15" hidden="false" customHeight="false" outlineLevel="0" collapsed="false">
      <c r="A883" s="7"/>
      <c r="B883" s="8"/>
      <c r="C883" s="9"/>
      <c r="D883" s="10"/>
      <c r="E883" s="11"/>
      <c r="F883" s="11"/>
      <c r="G883" s="8"/>
      <c r="H883" s="11"/>
      <c r="I883" s="12"/>
      <c r="J883" s="13" t="str">
        <f aca="false">IF(OR($A883="",$D883=""),"",IF($C883="",1,$C883)*$D883+N($E883)-N($F883))</f>
        <v/>
      </c>
      <c r="K883" s="13" t="str">
        <f aca="false">IF($J883="","",IF($R883&lt;&gt;"",$R883,IF($G883="",0,MAX(IFERROR(INDEX(Settings!$D$6:$D$15,MATCH($G883,Settings!$A$6:$A$15,0)),0),$J883*IFERROR(INDEX(Settings!$B$6:$B$15,MATCH($G883,Settings!$A$6:$A$15,0)),0)+IFERROR(INDEX(Settings!$C$6:$C$15,MATCH($G883,Settings!$A$6:$A$15,0)),0)))))</f>
        <v/>
      </c>
      <c r="L883" s="13" t="str">
        <f aca="false">IF($J883="","",IF($C883="",1,$C883)*IF($Q883&lt;&gt;"",$Q883,IFERROR(INDEX(Products!$D$5:$D$54,MATCH($B883,Products!$A$5:$A$54,0)),0)))</f>
        <v/>
      </c>
      <c r="M883" s="14" t="str">
        <f aca="false">IF($J883="","",$J883-$K883-N($H883)-$L883)</f>
        <v/>
      </c>
      <c r="N883" s="15" t="str">
        <f aca="false">IF($J883="","",IF($J883&gt;0,$M883/$J883,""))</f>
        <v/>
      </c>
      <c r="O883" s="12"/>
      <c r="P883" s="12"/>
      <c r="Q883" s="11"/>
      <c r="R883" s="11"/>
      <c r="S883" s="12"/>
      <c r="T883" s="16" t="str">
        <f aca="false">IF($J883="","",IF($C883="",1,$C883))</f>
        <v/>
      </c>
    </row>
    <row r="884" customFormat="false" ht="15" hidden="false" customHeight="false" outlineLevel="0" collapsed="false">
      <c r="A884" s="7"/>
      <c r="B884" s="8"/>
      <c r="C884" s="9"/>
      <c r="D884" s="10"/>
      <c r="E884" s="11"/>
      <c r="F884" s="11"/>
      <c r="G884" s="8"/>
      <c r="H884" s="11"/>
      <c r="I884" s="12"/>
      <c r="J884" s="13" t="str">
        <f aca="false">IF(OR($A884="",$D884=""),"",IF($C884="",1,$C884)*$D884+N($E884)-N($F884))</f>
        <v/>
      </c>
      <c r="K884" s="13" t="str">
        <f aca="false">IF($J884="","",IF($R884&lt;&gt;"",$R884,IF($G884="",0,MAX(IFERROR(INDEX(Settings!$D$6:$D$15,MATCH($G884,Settings!$A$6:$A$15,0)),0),$J884*IFERROR(INDEX(Settings!$B$6:$B$15,MATCH($G884,Settings!$A$6:$A$15,0)),0)+IFERROR(INDEX(Settings!$C$6:$C$15,MATCH($G884,Settings!$A$6:$A$15,0)),0)))))</f>
        <v/>
      </c>
      <c r="L884" s="13" t="str">
        <f aca="false">IF($J884="","",IF($C884="",1,$C884)*IF($Q884&lt;&gt;"",$Q884,IFERROR(INDEX(Products!$D$5:$D$54,MATCH($B884,Products!$A$5:$A$54,0)),0)))</f>
        <v/>
      </c>
      <c r="M884" s="14" t="str">
        <f aca="false">IF($J884="","",$J884-$K884-N($H884)-$L884)</f>
        <v/>
      </c>
      <c r="N884" s="15" t="str">
        <f aca="false">IF($J884="","",IF($J884&gt;0,$M884/$J884,""))</f>
        <v/>
      </c>
      <c r="O884" s="12"/>
      <c r="P884" s="12"/>
      <c r="Q884" s="11"/>
      <c r="R884" s="11"/>
      <c r="S884" s="12"/>
      <c r="T884" s="16" t="str">
        <f aca="false">IF($J884="","",IF($C884="",1,$C884))</f>
        <v/>
      </c>
    </row>
    <row r="885" customFormat="false" ht="15" hidden="false" customHeight="false" outlineLevel="0" collapsed="false">
      <c r="A885" s="7"/>
      <c r="B885" s="8"/>
      <c r="C885" s="9"/>
      <c r="D885" s="10"/>
      <c r="E885" s="11"/>
      <c r="F885" s="11"/>
      <c r="G885" s="8"/>
      <c r="H885" s="11"/>
      <c r="I885" s="12"/>
      <c r="J885" s="13" t="str">
        <f aca="false">IF(OR($A885="",$D885=""),"",IF($C885="",1,$C885)*$D885+N($E885)-N($F885))</f>
        <v/>
      </c>
      <c r="K885" s="13" t="str">
        <f aca="false">IF($J885="","",IF($R885&lt;&gt;"",$R885,IF($G885="",0,MAX(IFERROR(INDEX(Settings!$D$6:$D$15,MATCH($G885,Settings!$A$6:$A$15,0)),0),$J885*IFERROR(INDEX(Settings!$B$6:$B$15,MATCH($G885,Settings!$A$6:$A$15,0)),0)+IFERROR(INDEX(Settings!$C$6:$C$15,MATCH($G885,Settings!$A$6:$A$15,0)),0)))))</f>
        <v/>
      </c>
      <c r="L885" s="13" t="str">
        <f aca="false">IF($J885="","",IF($C885="",1,$C885)*IF($Q885&lt;&gt;"",$Q885,IFERROR(INDEX(Products!$D$5:$D$54,MATCH($B885,Products!$A$5:$A$54,0)),0)))</f>
        <v/>
      </c>
      <c r="M885" s="14" t="str">
        <f aca="false">IF($J885="","",$J885-$K885-N($H885)-$L885)</f>
        <v/>
      </c>
      <c r="N885" s="15" t="str">
        <f aca="false">IF($J885="","",IF($J885&gt;0,$M885/$J885,""))</f>
        <v/>
      </c>
      <c r="O885" s="12"/>
      <c r="P885" s="12"/>
      <c r="Q885" s="11"/>
      <c r="R885" s="11"/>
      <c r="S885" s="12"/>
      <c r="T885" s="16" t="str">
        <f aca="false">IF($J885="","",IF($C885="",1,$C885))</f>
        <v/>
      </c>
    </row>
    <row r="886" customFormat="false" ht="15" hidden="false" customHeight="false" outlineLevel="0" collapsed="false">
      <c r="A886" s="7"/>
      <c r="B886" s="8"/>
      <c r="C886" s="9"/>
      <c r="D886" s="10"/>
      <c r="E886" s="11"/>
      <c r="F886" s="11"/>
      <c r="G886" s="8"/>
      <c r="H886" s="11"/>
      <c r="I886" s="12"/>
      <c r="J886" s="13" t="str">
        <f aca="false">IF(OR($A886="",$D886=""),"",IF($C886="",1,$C886)*$D886+N($E886)-N($F886))</f>
        <v/>
      </c>
      <c r="K886" s="13" t="str">
        <f aca="false">IF($J886="","",IF($R886&lt;&gt;"",$R886,IF($G886="",0,MAX(IFERROR(INDEX(Settings!$D$6:$D$15,MATCH($G886,Settings!$A$6:$A$15,0)),0),$J886*IFERROR(INDEX(Settings!$B$6:$B$15,MATCH($G886,Settings!$A$6:$A$15,0)),0)+IFERROR(INDEX(Settings!$C$6:$C$15,MATCH($G886,Settings!$A$6:$A$15,0)),0)))))</f>
        <v/>
      </c>
      <c r="L886" s="13" t="str">
        <f aca="false">IF($J886="","",IF($C886="",1,$C886)*IF($Q886&lt;&gt;"",$Q886,IFERROR(INDEX(Products!$D$5:$D$54,MATCH($B886,Products!$A$5:$A$54,0)),0)))</f>
        <v/>
      </c>
      <c r="M886" s="14" t="str">
        <f aca="false">IF($J886="","",$J886-$K886-N($H886)-$L886)</f>
        <v/>
      </c>
      <c r="N886" s="15" t="str">
        <f aca="false">IF($J886="","",IF($J886&gt;0,$M886/$J886,""))</f>
        <v/>
      </c>
      <c r="O886" s="12"/>
      <c r="P886" s="12"/>
      <c r="Q886" s="11"/>
      <c r="R886" s="11"/>
      <c r="S886" s="12"/>
      <c r="T886" s="16" t="str">
        <f aca="false">IF($J886="","",IF($C886="",1,$C886))</f>
        <v/>
      </c>
    </row>
    <row r="887" customFormat="false" ht="15" hidden="false" customHeight="false" outlineLevel="0" collapsed="false">
      <c r="A887" s="7"/>
      <c r="B887" s="8"/>
      <c r="C887" s="9"/>
      <c r="D887" s="10"/>
      <c r="E887" s="11"/>
      <c r="F887" s="11"/>
      <c r="G887" s="8"/>
      <c r="H887" s="11"/>
      <c r="I887" s="12"/>
      <c r="J887" s="13" t="str">
        <f aca="false">IF(OR($A887="",$D887=""),"",IF($C887="",1,$C887)*$D887+N($E887)-N($F887))</f>
        <v/>
      </c>
      <c r="K887" s="13" t="str">
        <f aca="false">IF($J887="","",IF($R887&lt;&gt;"",$R887,IF($G887="",0,MAX(IFERROR(INDEX(Settings!$D$6:$D$15,MATCH($G887,Settings!$A$6:$A$15,0)),0),$J887*IFERROR(INDEX(Settings!$B$6:$B$15,MATCH($G887,Settings!$A$6:$A$15,0)),0)+IFERROR(INDEX(Settings!$C$6:$C$15,MATCH($G887,Settings!$A$6:$A$15,0)),0)))))</f>
        <v/>
      </c>
      <c r="L887" s="13" t="str">
        <f aca="false">IF($J887="","",IF($C887="",1,$C887)*IF($Q887&lt;&gt;"",$Q887,IFERROR(INDEX(Products!$D$5:$D$54,MATCH($B887,Products!$A$5:$A$54,0)),0)))</f>
        <v/>
      </c>
      <c r="M887" s="14" t="str">
        <f aca="false">IF($J887="","",$J887-$K887-N($H887)-$L887)</f>
        <v/>
      </c>
      <c r="N887" s="15" t="str">
        <f aca="false">IF($J887="","",IF($J887&gt;0,$M887/$J887,""))</f>
        <v/>
      </c>
      <c r="O887" s="12"/>
      <c r="P887" s="12"/>
      <c r="Q887" s="11"/>
      <c r="R887" s="11"/>
      <c r="S887" s="12"/>
      <c r="T887" s="16" t="str">
        <f aca="false">IF($J887="","",IF($C887="",1,$C887))</f>
        <v/>
      </c>
    </row>
    <row r="888" customFormat="false" ht="15" hidden="false" customHeight="false" outlineLevel="0" collapsed="false">
      <c r="A888" s="7"/>
      <c r="B888" s="8"/>
      <c r="C888" s="9"/>
      <c r="D888" s="10"/>
      <c r="E888" s="11"/>
      <c r="F888" s="11"/>
      <c r="G888" s="8"/>
      <c r="H888" s="11"/>
      <c r="I888" s="12"/>
      <c r="J888" s="13" t="str">
        <f aca="false">IF(OR($A888="",$D888=""),"",IF($C888="",1,$C888)*$D888+N($E888)-N($F888))</f>
        <v/>
      </c>
      <c r="K888" s="13" t="str">
        <f aca="false">IF($J888="","",IF($R888&lt;&gt;"",$R888,IF($G888="",0,MAX(IFERROR(INDEX(Settings!$D$6:$D$15,MATCH($G888,Settings!$A$6:$A$15,0)),0),$J888*IFERROR(INDEX(Settings!$B$6:$B$15,MATCH($G888,Settings!$A$6:$A$15,0)),0)+IFERROR(INDEX(Settings!$C$6:$C$15,MATCH($G888,Settings!$A$6:$A$15,0)),0)))))</f>
        <v/>
      </c>
      <c r="L888" s="13" t="str">
        <f aca="false">IF($J888="","",IF($C888="",1,$C888)*IF($Q888&lt;&gt;"",$Q888,IFERROR(INDEX(Products!$D$5:$D$54,MATCH($B888,Products!$A$5:$A$54,0)),0)))</f>
        <v/>
      </c>
      <c r="M888" s="14" t="str">
        <f aca="false">IF($J888="","",$J888-$K888-N($H888)-$L888)</f>
        <v/>
      </c>
      <c r="N888" s="15" t="str">
        <f aca="false">IF($J888="","",IF($J888&gt;0,$M888/$J888,""))</f>
        <v/>
      </c>
      <c r="O888" s="12"/>
      <c r="P888" s="12"/>
      <c r="Q888" s="11"/>
      <c r="R888" s="11"/>
      <c r="S888" s="12"/>
      <c r="T888" s="16" t="str">
        <f aca="false">IF($J888="","",IF($C888="",1,$C888))</f>
        <v/>
      </c>
    </row>
    <row r="889" customFormat="false" ht="15" hidden="false" customHeight="false" outlineLevel="0" collapsed="false">
      <c r="A889" s="7"/>
      <c r="B889" s="8"/>
      <c r="C889" s="9"/>
      <c r="D889" s="10"/>
      <c r="E889" s="11"/>
      <c r="F889" s="11"/>
      <c r="G889" s="8"/>
      <c r="H889" s="11"/>
      <c r="I889" s="12"/>
      <c r="J889" s="13" t="str">
        <f aca="false">IF(OR($A889="",$D889=""),"",IF($C889="",1,$C889)*$D889+N($E889)-N($F889))</f>
        <v/>
      </c>
      <c r="K889" s="13" t="str">
        <f aca="false">IF($J889="","",IF($R889&lt;&gt;"",$R889,IF($G889="",0,MAX(IFERROR(INDEX(Settings!$D$6:$D$15,MATCH($G889,Settings!$A$6:$A$15,0)),0),$J889*IFERROR(INDEX(Settings!$B$6:$B$15,MATCH($G889,Settings!$A$6:$A$15,0)),0)+IFERROR(INDEX(Settings!$C$6:$C$15,MATCH($G889,Settings!$A$6:$A$15,0)),0)))))</f>
        <v/>
      </c>
      <c r="L889" s="13" t="str">
        <f aca="false">IF($J889="","",IF($C889="",1,$C889)*IF($Q889&lt;&gt;"",$Q889,IFERROR(INDEX(Products!$D$5:$D$54,MATCH($B889,Products!$A$5:$A$54,0)),0)))</f>
        <v/>
      </c>
      <c r="M889" s="14" t="str">
        <f aca="false">IF($J889="","",$J889-$K889-N($H889)-$L889)</f>
        <v/>
      </c>
      <c r="N889" s="15" t="str">
        <f aca="false">IF($J889="","",IF($J889&gt;0,$M889/$J889,""))</f>
        <v/>
      </c>
      <c r="O889" s="12"/>
      <c r="P889" s="12"/>
      <c r="Q889" s="11"/>
      <c r="R889" s="11"/>
      <c r="S889" s="12"/>
      <c r="T889" s="16" t="str">
        <f aca="false">IF($J889="","",IF($C889="",1,$C889))</f>
        <v/>
      </c>
    </row>
    <row r="890" customFormat="false" ht="15" hidden="false" customHeight="false" outlineLevel="0" collapsed="false">
      <c r="A890" s="7"/>
      <c r="B890" s="8"/>
      <c r="C890" s="9"/>
      <c r="D890" s="10"/>
      <c r="E890" s="11"/>
      <c r="F890" s="11"/>
      <c r="G890" s="8"/>
      <c r="H890" s="11"/>
      <c r="I890" s="12"/>
      <c r="J890" s="13" t="str">
        <f aca="false">IF(OR($A890="",$D890=""),"",IF($C890="",1,$C890)*$D890+N($E890)-N($F890))</f>
        <v/>
      </c>
      <c r="K890" s="13" t="str">
        <f aca="false">IF($J890="","",IF($R890&lt;&gt;"",$R890,IF($G890="",0,MAX(IFERROR(INDEX(Settings!$D$6:$D$15,MATCH($G890,Settings!$A$6:$A$15,0)),0),$J890*IFERROR(INDEX(Settings!$B$6:$B$15,MATCH($G890,Settings!$A$6:$A$15,0)),0)+IFERROR(INDEX(Settings!$C$6:$C$15,MATCH($G890,Settings!$A$6:$A$15,0)),0)))))</f>
        <v/>
      </c>
      <c r="L890" s="13" t="str">
        <f aca="false">IF($J890="","",IF($C890="",1,$C890)*IF($Q890&lt;&gt;"",$Q890,IFERROR(INDEX(Products!$D$5:$D$54,MATCH($B890,Products!$A$5:$A$54,0)),0)))</f>
        <v/>
      </c>
      <c r="M890" s="14" t="str">
        <f aca="false">IF($J890="","",$J890-$K890-N($H890)-$L890)</f>
        <v/>
      </c>
      <c r="N890" s="15" t="str">
        <f aca="false">IF($J890="","",IF($J890&gt;0,$M890/$J890,""))</f>
        <v/>
      </c>
      <c r="O890" s="12"/>
      <c r="P890" s="12"/>
      <c r="Q890" s="11"/>
      <c r="R890" s="11"/>
      <c r="S890" s="12"/>
      <c r="T890" s="16" t="str">
        <f aca="false">IF($J890="","",IF($C890="",1,$C890))</f>
        <v/>
      </c>
    </row>
    <row r="891" customFormat="false" ht="15" hidden="false" customHeight="false" outlineLevel="0" collapsed="false">
      <c r="A891" s="7"/>
      <c r="B891" s="8"/>
      <c r="C891" s="9"/>
      <c r="D891" s="10"/>
      <c r="E891" s="11"/>
      <c r="F891" s="11"/>
      <c r="G891" s="8"/>
      <c r="H891" s="11"/>
      <c r="I891" s="12"/>
      <c r="J891" s="13" t="str">
        <f aca="false">IF(OR($A891="",$D891=""),"",IF($C891="",1,$C891)*$D891+N($E891)-N($F891))</f>
        <v/>
      </c>
      <c r="K891" s="13" t="str">
        <f aca="false">IF($J891="","",IF($R891&lt;&gt;"",$R891,IF($G891="",0,MAX(IFERROR(INDEX(Settings!$D$6:$D$15,MATCH($G891,Settings!$A$6:$A$15,0)),0),$J891*IFERROR(INDEX(Settings!$B$6:$B$15,MATCH($G891,Settings!$A$6:$A$15,0)),0)+IFERROR(INDEX(Settings!$C$6:$C$15,MATCH($G891,Settings!$A$6:$A$15,0)),0)))))</f>
        <v/>
      </c>
      <c r="L891" s="13" t="str">
        <f aca="false">IF($J891="","",IF($C891="",1,$C891)*IF($Q891&lt;&gt;"",$Q891,IFERROR(INDEX(Products!$D$5:$D$54,MATCH($B891,Products!$A$5:$A$54,0)),0)))</f>
        <v/>
      </c>
      <c r="M891" s="14" t="str">
        <f aca="false">IF($J891="","",$J891-$K891-N($H891)-$L891)</f>
        <v/>
      </c>
      <c r="N891" s="15" t="str">
        <f aca="false">IF($J891="","",IF($J891&gt;0,$M891/$J891,""))</f>
        <v/>
      </c>
      <c r="O891" s="12"/>
      <c r="P891" s="12"/>
      <c r="Q891" s="11"/>
      <c r="R891" s="11"/>
      <c r="S891" s="12"/>
      <c r="T891" s="16" t="str">
        <f aca="false">IF($J891="","",IF($C891="",1,$C891))</f>
        <v/>
      </c>
    </row>
    <row r="892" customFormat="false" ht="15" hidden="false" customHeight="false" outlineLevel="0" collapsed="false">
      <c r="A892" s="7"/>
      <c r="B892" s="8"/>
      <c r="C892" s="9"/>
      <c r="D892" s="10"/>
      <c r="E892" s="11"/>
      <c r="F892" s="11"/>
      <c r="G892" s="8"/>
      <c r="H892" s="11"/>
      <c r="I892" s="12"/>
      <c r="J892" s="13" t="str">
        <f aca="false">IF(OR($A892="",$D892=""),"",IF($C892="",1,$C892)*$D892+N($E892)-N($F892))</f>
        <v/>
      </c>
      <c r="K892" s="13" t="str">
        <f aca="false">IF($J892="","",IF($R892&lt;&gt;"",$R892,IF($G892="",0,MAX(IFERROR(INDEX(Settings!$D$6:$D$15,MATCH($G892,Settings!$A$6:$A$15,0)),0),$J892*IFERROR(INDEX(Settings!$B$6:$B$15,MATCH($G892,Settings!$A$6:$A$15,0)),0)+IFERROR(INDEX(Settings!$C$6:$C$15,MATCH($G892,Settings!$A$6:$A$15,0)),0)))))</f>
        <v/>
      </c>
      <c r="L892" s="13" t="str">
        <f aca="false">IF($J892="","",IF($C892="",1,$C892)*IF($Q892&lt;&gt;"",$Q892,IFERROR(INDEX(Products!$D$5:$D$54,MATCH($B892,Products!$A$5:$A$54,0)),0)))</f>
        <v/>
      </c>
      <c r="M892" s="14" t="str">
        <f aca="false">IF($J892="","",$J892-$K892-N($H892)-$L892)</f>
        <v/>
      </c>
      <c r="N892" s="15" t="str">
        <f aca="false">IF($J892="","",IF($J892&gt;0,$M892/$J892,""))</f>
        <v/>
      </c>
      <c r="O892" s="12"/>
      <c r="P892" s="12"/>
      <c r="Q892" s="11"/>
      <c r="R892" s="11"/>
      <c r="S892" s="12"/>
      <c r="T892" s="16" t="str">
        <f aca="false">IF($J892="","",IF($C892="",1,$C892))</f>
        <v/>
      </c>
    </row>
    <row r="893" customFormat="false" ht="15" hidden="false" customHeight="false" outlineLevel="0" collapsed="false">
      <c r="A893" s="7"/>
      <c r="B893" s="8"/>
      <c r="C893" s="9"/>
      <c r="D893" s="10"/>
      <c r="E893" s="11"/>
      <c r="F893" s="11"/>
      <c r="G893" s="8"/>
      <c r="H893" s="11"/>
      <c r="I893" s="12"/>
      <c r="J893" s="13" t="str">
        <f aca="false">IF(OR($A893="",$D893=""),"",IF($C893="",1,$C893)*$D893+N($E893)-N($F893))</f>
        <v/>
      </c>
      <c r="K893" s="13" t="str">
        <f aca="false">IF($J893="","",IF($R893&lt;&gt;"",$R893,IF($G893="",0,MAX(IFERROR(INDEX(Settings!$D$6:$D$15,MATCH($G893,Settings!$A$6:$A$15,0)),0),$J893*IFERROR(INDEX(Settings!$B$6:$B$15,MATCH($G893,Settings!$A$6:$A$15,0)),0)+IFERROR(INDEX(Settings!$C$6:$C$15,MATCH($G893,Settings!$A$6:$A$15,0)),0)))))</f>
        <v/>
      </c>
      <c r="L893" s="13" t="str">
        <f aca="false">IF($J893="","",IF($C893="",1,$C893)*IF($Q893&lt;&gt;"",$Q893,IFERROR(INDEX(Products!$D$5:$D$54,MATCH($B893,Products!$A$5:$A$54,0)),0)))</f>
        <v/>
      </c>
      <c r="M893" s="14" t="str">
        <f aca="false">IF($J893="","",$J893-$K893-N($H893)-$L893)</f>
        <v/>
      </c>
      <c r="N893" s="15" t="str">
        <f aca="false">IF($J893="","",IF($J893&gt;0,$M893/$J893,""))</f>
        <v/>
      </c>
      <c r="O893" s="12"/>
      <c r="P893" s="12"/>
      <c r="Q893" s="11"/>
      <c r="R893" s="11"/>
      <c r="S893" s="12"/>
      <c r="T893" s="16" t="str">
        <f aca="false">IF($J893="","",IF($C893="",1,$C893))</f>
        <v/>
      </c>
    </row>
    <row r="894" customFormat="false" ht="15" hidden="false" customHeight="false" outlineLevel="0" collapsed="false">
      <c r="A894" s="7"/>
      <c r="B894" s="8"/>
      <c r="C894" s="9"/>
      <c r="D894" s="10"/>
      <c r="E894" s="11"/>
      <c r="F894" s="11"/>
      <c r="G894" s="8"/>
      <c r="H894" s="11"/>
      <c r="I894" s="12"/>
      <c r="J894" s="13" t="str">
        <f aca="false">IF(OR($A894="",$D894=""),"",IF($C894="",1,$C894)*$D894+N($E894)-N($F894))</f>
        <v/>
      </c>
      <c r="K894" s="13" t="str">
        <f aca="false">IF($J894="","",IF($R894&lt;&gt;"",$R894,IF($G894="",0,MAX(IFERROR(INDEX(Settings!$D$6:$D$15,MATCH($G894,Settings!$A$6:$A$15,0)),0),$J894*IFERROR(INDEX(Settings!$B$6:$B$15,MATCH($G894,Settings!$A$6:$A$15,0)),0)+IFERROR(INDEX(Settings!$C$6:$C$15,MATCH($G894,Settings!$A$6:$A$15,0)),0)))))</f>
        <v/>
      </c>
      <c r="L894" s="13" t="str">
        <f aca="false">IF($J894="","",IF($C894="",1,$C894)*IF($Q894&lt;&gt;"",$Q894,IFERROR(INDEX(Products!$D$5:$D$54,MATCH($B894,Products!$A$5:$A$54,0)),0)))</f>
        <v/>
      </c>
      <c r="M894" s="14" t="str">
        <f aca="false">IF($J894="","",$J894-$K894-N($H894)-$L894)</f>
        <v/>
      </c>
      <c r="N894" s="15" t="str">
        <f aca="false">IF($J894="","",IF($J894&gt;0,$M894/$J894,""))</f>
        <v/>
      </c>
      <c r="O894" s="12"/>
      <c r="P894" s="12"/>
      <c r="Q894" s="11"/>
      <c r="R894" s="11"/>
      <c r="S894" s="12"/>
      <c r="T894" s="16" t="str">
        <f aca="false">IF($J894="","",IF($C894="",1,$C894))</f>
        <v/>
      </c>
    </row>
    <row r="895" customFormat="false" ht="15" hidden="false" customHeight="false" outlineLevel="0" collapsed="false">
      <c r="A895" s="7"/>
      <c r="B895" s="8"/>
      <c r="C895" s="9"/>
      <c r="D895" s="10"/>
      <c r="E895" s="11"/>
      <c r="F895" s="11"/>
      <c r="G895" s="8"/>
      <c r="H895" s="11"/>
      <c r="I895" s="12"/>
      <c r="J895" s="13" t="str">
        <f aca="false">IF(OR($A895="",$D895=""),"",IF($C895="",1,$C895)*$D895+N($E895)-N($F895))</f>
        <v/>
      </c>
      <c r="K895" s="13" t="str">
        <f aca="false">IF($J895="","",IF($R895&lt;&gt;"",$R895,IF($G895="",0,MAX(IFERROR(INDEX(Settings!$D$6:$D$15,MATCH($G895,Settings!$A$6:$A$15,0)),0),$J895*IFERROR(INDEX(Settings!$B$6:$B$15,MATCH($G895,Settings!$A$6:$A$15,0)),0)+IFERROR(INDEX(Settings!$C$6:$C$15,MATCH($G895,Settings!$A$6:$A$15,0)),0)))))</f>
        <v/>
      </c>
      <c r="L895" s="13" t="str">
        <f aca="false">IF($J895="","",IF($C895="",1,$C895)*IF($Q895&lt;&gt;"",$Q895,IFERROR(INDEX(Products!$D$5:$D$54,MATCH($B895,Products!$A$5:$A$54,0)),0)))</f>
        <v/>
      </c>
      <c r="M895" s="14" t="str">
        <f aca="false">IF($J895="","",$J895-$K895-N($H895)-$L895)</f>
        <v/>
      </c>
      <c r="N895" s="15" t="str">
        <f aca="false">IF($J895="","",IF($J895&gt;0,$M895/$J895,""))</f>
        <v/>
      </c>
      <c r="O895" s="12"/>
      <c r="P895" s="12"/>
      <c r="Q895" s="11"/>
      <c r="R895" s="11"/>
      <c r="S895" s="12"/>
      <c r="T895" s="16" t="str">
        <f aca="false">IF($J895="","",IF($C895="",1,$C895))</f>
        <v/>
      </c>
    </row>
    <row r="896" customFormat="false" ht="15" hidden="false" customHeight="false" outlineLevel="0" collapsed="false">
      <c r="A896" s="7"/>
      <c r="B896" s="8"/>
      <c r="C896" s="9"/>
      <c r="D896" s="10"/>
      <c r="E896" s="11"/>
      <c r="F896" s="11"/>
      <c r="G896" s="8"/>
      <c r="H896" s="11"/>
      <c r="I896" s="12"/>
      <c r="J896" s="13" t="str">
        <f aca="false">IF(OR($A896="",$D896=""),"",IF($C896="",1,$C896)*$D896+N($E896)-N($F896))</f>
        <v/>
      </c>
      <c r="K896" s="13" t="str">
        <f aca="false">IF($J896="","",IF($R896&lt;&gt;"",$R896,IF($G896="",0,MAX(IFERROR(INDEX(Settings!$D$6:$D$15,MATCH($G896,Settings!$A$6:$A$15,0)),0),$J896*IFERROR(INDEX(Settings!$B$6:$B$15,MATCH($G896,Settings!$A$6:$A$15,0)),0)+IFERROR(INDEX(Settings!$C$6:$C$15,MATCH($G896,Settings!$A$6:$A$15,0)),0)))))</f>
        <v/>
      </c>
      <c r="L896" s="13" t="str">
        <f aca="false">IF($J896="","",IF($C896="",1,$C896)*IF($Q896&lt;&gt;"",$Q896,IFERROR(INDEX(Products!$D$5:$D$54,MATCH($B896,Products!$A$5:$A$54,0)),0)))</f>
        <v/>
      </c>
      <c r="M896" s="14" t="str">
        <f aca="false">IF($J896="","",$J896-$K896-N($H896)-$L896)</f>
        <v/>
      </c>
      <c r="N896" s="15" t="str">
        <f aca="false">IF($J896="","",IF($J896&gt;0,$M896/$J896,""))</f>
        <v/>
      </c>
      <c r="O896" s="12"/>
      <c r="P896" s="12"/>
      <c r="Q896" s="11"/>
      <c r="R896" s="11"/>
      <c r="S896" s="12"/>
      <c r="T896" s="16" t="str">
        <f aca="false">IF($J896="","",IF($C896="",1,$C896))</f>
        <v/>
      </c>
    </row>
    <row r="897" customFormat="false" ht="15" hidden="false" customHeight="false" outlineLevel="0" collapsed="false">
      <c r="A897" s="7"/>
      <c r="B897" s="8"/>
      <c r="C897" s="9"/>
      <c r="D897" s="10"/>
      <c r="E897" s="11"/>
      <c r="F897" s="11"/>
      <c r="G897" s="8"/>
      <c r="H897" s="11"/>
      <c r="I897" s="12"/>
      <c r="J897" s="13" t="str">
        <f aca="false">IF(OR($A897="",$D897=""),"",IF($C897="",1,$C897)*$D897+N($E897)-N($F897))</f>
        <v/>
      </c>
      <c r="K897" s="13" t="str">
        <f aca="false">IF($J897="","",IF($R897&lt;&gt;"",$R897,IF($G897="",0,MAX(IFERROR(INDEX(Settings!$D$6:$D$15,MATCH($G897,Settings!$A$6:$A$15,0)),0),$J897*IFERROR(INDEX(Settings!$B$6:$B$15,MATCH($G897,Settings!$A$6:$A$15,0)),0)+IFERROR(INDEX(Settings!$C$6:$C$15,MATCH($G897,Settings!$A$6:$A$15,0)),0)))))</f>
        <v/>
      </c>
      <c r="L897" s="13" t="str">
        <f aca="false">IF($J897="","",IF($C897="",1,$C897)*IF($Q897&lt;&gt;"",$Q897,IFERROR(INDEX(Products!$D$5:$D$54,MATCH($B897,Products!$A$5:$A$54,0)),0)))</f>
        <v/>
      </c>
      <c r="M897" s="14" t="str">
        <f aca="false">IF($J897="","",$J897-$K897-N($H897)-$L897)</f>
        <v/>
      </c>
      <c r="N897" s="15" t="str">
        <f aca="false">IF($J897="","",IF($J897&gt;0,$M897/$J897,""))</f>
        <v/>
      </c>
      <c r="O897" s="12"/>
      <c r="P897" s="12"/>
      <c r="Q897" s="11"/>
      <c r="R897" s="11"/>
      <c r="S897" s="12"/>
      <c r="T897" s="16" t="str">
        <f aca="false">IF($J897="","",IF($C897="",1,$C897))</f>
        <v/>
      </c>
    </row>
    <row r="898" customFormat="false" ht="15" hidden="false" customHeight="false" outlineLevel="0" collapsed="false">
      <c r="A898" s="7"/>
      <c r="B898" s="8"/>
      <c r="C898" s="9"/>
      <c r="D898" s="10"/>
      <c r="E898" s="11"/>
      <c r="F898" s="11"/>
      <c r="G898" s="8"/>
      <c r="H898" s="11"/>
      <c r="I898" s="12"/>
      <c r="J898" s="13" t="str">
        <f aca="false">IF(OR($A898="",$D898=""),"",IF($C898="",1,$C898)*$D898+N($E898)-N($F898))</f>
        <v/>
      </c>
      <c r="K898" s="13" t="str">
        <f aca="false">IF($J898="","",IF($R898&lt;&gt;"",$R898,IF($G898="",0,MAX(IFERROR(INDEX(Settings!$D$6:$D$15,MATCH($G898,Settings!$A$6:$A$15,0)),0),$J898*IFERROR(INDEX(Settings!$B$6:$B$15,MATCH($G898,Settings!$A$6:$A$15,0)),0)+IFERROR(INDEX(Settings!$C$6:$C$15,MATCH($G898,Settings!$A$6:$A$15,0)),0)))))</f>
        <v/>
      </c>
      <c r="L898" s="13" t="str">
        <f aca="false">IF($J898="","",IF($C898="",1,$C898)*IF($Q898&lt;&gt;"",$Q898,IFERROR(INDEX(Products!$D$5:$D$54,MATCH($B898,Products!$A$5:$A$54,0)),0)))</f>
        <v/>
      </c>
      <c r="M898" s="14" t="str">
        <f aca="false">IF($J898="","",$J898-$K898-N($H898)-$L898)</f>
        <v/>
      </c>
      <c r="N898" s="15" t="str">
        <f aca="false">IF($J898="","",IF($J898&gt;0,$M898/$J898,""))</f>
        <v/>
      </c>
      <c r="O898" s="12"/>
      <c r="P898" s="12"/>
      <c r="Q898" s="11"/>
      <c r="R898" s="11"/>
      <c r="S898" s="12"/>
      <c r="T898" s="16" t="str">
        <f aca="false">IF($J898="","",IF($C898="",1,$C898))</f>
        <v/>
      </c>
    </row>
    <row r="899" customFormat="false" ht="15" hidden="false" customHeight="false" outlineLevel="0" collapsed="false">
      <c r="A899" s="7"/>
      <c r="B899" s="8"/>
      <c r="C899" s="9"/>
      <c r="D899" s="10"/>
      <c r="E899" s="11"/>
      <c r="F899" s="11"/>
      <c r="G899" s="8"/>
      <c r="H899" s="11"/>
      <c r="I899" s="12"/>
      <c r="J899" s="13" t="str">
        <f aca="false">IF(OR($A899="",$D899=""),"",IF($C899="",1,$C899)*$D899+N($E899)-N($F899))</f>
        <v/>
      </c>
      <c r="K899" s="13" t="str">
        <f aca="false">IF($J899="","",IF($R899&lt;&gt;"",$R899,IF($G899="",0,MAX(IFERROR(INDEX(Settings!$D$6:$D$15,MATCH($G899,Settings!$A$6:$A$15,0)),0),$J899*IFERROR(INDEX(Settings!$B$6:$B$15,MATCH($G899,Settings!$A$6:$A$15,0)),0)+IFERROR(INDEX(Settings!$C$6:$C$15,MATCH($G899,Settings!$A$6:$A$15,0)),0)))))</f>
        <v/>
      </c>
      <c r="L899" s="13" t="str">
        <f aca="false">IF($J899="","",IF($C899="",1,$C899)*IF($Q899&lt;&gt;"",$Q899,IFERROR(INDEX(Products!$D$5:$D$54,MATCH($B899,Products!$A$5:$A$54,0)),0)))</f>
        <v/>
      </c>
      <c r="M899" s="14" t="str">
        <f aca="false">IF($J899="","",$J899-$K899-N($H899)-$L899)</f>
        <v/>
      </c>
      <c r="N899" s="15" t="str">
        <f aca="false">IF($J899="","",IF($J899&gt;0,$M899/$J899,""))</f>
        <v/>
      </c>
      <c r="O899" s="12"/>
      <c r="P899" s="12"/>
      <c r="Q899" s="11"/>
      <c r="R899" s="11"/>
      <c r="S899" s="12"/>
      <c r="T899" s="16" t="str">
        <f aca="false">IF($J899="","",IF($C899="",1,$C899))</f>
        <v/>
      </c>
    </row>
    <row r="900" customFormat="false" ht="15" hidden="false" customHeight="false" outlineLevel="0" collapsed="false">
      <c r="A900" s="7"/>
      <c r="B900" s="8"/>
      <c r="C900" s="9"/>
      <c r="D900" s="10"/>
      <c r="E900" s="11"/>
      <c r="F900" s="11"/>
      <c r="G900" s="8"/>
      <c r="H900" s="11"/>
      <c r="I900" s="12"/>
      <c r="J900" s="13" t="str">
        <f aca="false">IF(OR($A900="",$D900=""),"",IF($C900="",1,$C900)*$D900+N($E900)-N($F900))</f>
        <v/>
      </c>
      <c r="K900" s="13" t="str">
        <f aca="false">IF($J900="","",IF($R900&lt;&gt;"",$R900,IF($G900="",0,MAX(IFERROR(INDEX(Settings!$D$6:$D$15,MATCH($G900,Settings!$A$6:$A$15,0)),0),$J900*IFERROR(INDEX(Settings!$B$6:$B$15,MATCH($G900,Settings!$A$6:$A$15,0)),0)+IFERROR(INDEX(Settings!$C$6:$C$15,MATCH($G900,Settings!$A$6:$A$15,0)),0)))))</f>
        <v/>
      </c>
      <c r="L900" s="13" t="str">
        <f aca="false">IF($J900="","",IF($C900="",1,$C900)*IF($Q900&lt;&gt;"",$Q900,IFERROR(INDEX(Products!$D$5:$D$54,MATCH($B900,Products!$A$5:$A$54,0)),0)))</f>
        <v/>
      </c>
      <c r="M900" s="14" t="str">
        <f aca="false">IF($J900="","",$J900-$K900-N($H900)-$L900)</f>
        <v/>
      </c>
      <c r="N900" s="15" t="str">
        <f aca="false">IF($J900="","",IF($J900&gt;0,$M900/$J900,""))</f>
        <v/>
      </c>
      <c r="O900" s="12"/>
      <c r="P900" s="12"/>
      <c r="Q900" s="11"/>
      <c r="R900" s="11"/>
      <c r="S900" s="12"/>
      <c r="T900" s="16" t="str">
        <f aca="false">IF($J900="","",IF($C900="",1,$C900))</f>
        <v/>
      </c>
    </row>
    <row r="901" customFormat="false" ht="15" hidden="false" customHeight="false" outlineLevel="0" collapsed="false">
      <c r="A901" s="7"/>
      <c r="B901" s="8"/>
      <c r="C901" s="9"/>
      <c r="D901" s="10"/>
      <c r="E901" s="11"/>
      <c r="F901" s="11"/>
      <c r="G901" s="8"/>
      <c r="H901" s="11"/>
      <c r="I901" s="12"/>
      <c r="J901" s="13" t="str">
        <f aca="false">IF(OR($A901="",$D901=""),"",IF($C901="",1,$C901)*$D901+N($E901)-N($F901))</f>
        <v/>
      </c>
      <c r="K901" s="13" t="str">
        <f aca="false">IF($J901="","",IF($R901&lt;&gt;"",$R901,IF($G901="",0,MAX(IFERROR(INDEX(Settings!$D$6:$D$15,MATCH($G901,Settings!$A$6:$A$15,0)),0),$J901*IFERROR(INDEX(Settings!$B$6:$B$15,MATCH($G901,Settings!$A$6:$A$15,0)),0)+IFERROR(INDEX(Settings!$C$6:$C$15,MATCH($G901,Settings!$A$6:$A$15,0)),0)))))</f>
        <v/>
      </c>
      <c r="L901" s="13" t="str">
        <f aca="false">IF($J901="","",IF($C901="",1,$C901)*IF($Q901&lt;&gt;"",$Q901,IFERROR(INDEX(Products!$D$5:$D$54,MATCH($B901,Products!$A$5:$A$54,0)),0)))</f>
        <v/>
      </c>
      <c r="M901" s="14" t="str">
        <f aca="false">IF($J901="","",$J901-$K901-N($H901)-$L901)</f>
        <v/>
      </c>
      <c r="N901" s="15" t="str">
        <f aca="false">IF($J901="","",IF($J901&gt;0,$M901/$J901,""))</f>
        <v/>
      </c>
      <c r="O901" s="12"/>
      <c r="P901" s="12"/>
      <c r="Q901" s="11"/>
      <c r="R901" s="11"/>
      <c r="S901" s="12"/>
      <c r="T901" s="16" t="str">
        <f aca="false">IF($J901="","",IF($C901="",1,$C901))</f>
        <v/>
      </c>
    </row>
    <row r="902" customFormat="false" ht="15" hidden="false" customHeight="false" outlineLevel="0" collapsed="false">
      <c r="A902" s="7"/>
      <c r="B902" s="8"/>
      <c r="C902" s="9"/>
      <c r="D902" s="10"/>
      <c r="E902" s="11"/>
      <c r="F902" s="11"/>
      <c r="G902" s="8"/>
      <c r="H902" s="11"/>
      <c r="I902" s="12"/>
      <c r="J902" s="13" t="str">
        <f aca="false">IF(OR($A902="",$D902=""),"",IF($C902="",1,$C902)*$D902+N($E902)-N($F902))</f>
        <v/>
      </c>
      <c r="K902" s="13" t="str">
        <f aca="false">IF($J902="","",IF($R902&lt;&gt;"",$R902,IF($G902="",0,MAX(IFERROR(INDEX(Settings!$D$6:$D$15,MATCH($G902,Settings!$A$6:$A$15,0)),0),$J902*IFERROR(INDEX(Settings!$B$6:$B$15,MATCH($G902,Settings!$A$6:$A$15,0)),0)+IFERROR(INDEX(Settings!$C$6:$C$15,MATCH($G902,Settings!$A$6:$A$15,0)),0)))))</f>
        <v/>
      </c>
      <c r="L902" s="13" t="str">
        <f aca="false">IF($J902="","",IF($C902="",1,$C902)*IF($Q902&lt;&gt;"",$Q902,IFERROR(INDEX(Products!$D$5:$D$54,MATCH($B902,Products!$A$5:$A$54,0)),0)))</f>
        <v/>
      </c>
      <c r="M902" s="14" t="str">
        <f aca="false">IF($J902="","",$J902-$K902-N($H902)-$L902)</f>
        <v/>
      </c>
      <c r="N902" s="15" t="str">
        <f aca="false">IF($J902="","",IF($J902&gt;0,$M902/$J902,""))</f>
        <v/>
      </c>
      <c r="O902" s="12"/>
      <c r="P902" s="12"/>
      <c r="Q902" s="11"/>
      <c r="R902" s="11"/>
      <c r="S902" s="12"/>
      <c r="T902" s="16" t="str">
        <f aca="false">IF($J902="","",IF($C902="",1,$C902))</f>
        <v/>
      </c>
    </row>
    <row r="903" customFormat="false" ht="15" hidden="false" customHeight="false" outlineLevel="0" collapsed="false">
      <c r="A903" s="7"/>
      <c r="B903" s="8"/>
      <c r="C903" s="9"/>
      <c r="D903" s="10"/>
      <c r="E903" s="11"/>
      <c r="F903" s="11"/>
      <c r="G903" s="8"/>
      <c r="H903" s="11"/>
      <c r="I903" s="12"/>
      <c r="J903" s="13" t="str">
        <f aca="false">IF(OR($A903="",$D903=""),"",IF($C903="",1,$C903)*$D903+N($E903)-N($F903))</f>
        <v/>
      </c>
      <c r="K903" s="13" t="str">
        <f aca="false">IF($J903="","",IF($R903&lt;&gt;"",$R903,IF($G903="",0,MAX(IFERROR(INDEX(Settings!$D$6:$D$15,MATCH($G903,Settings!$A$6:$A$15,0)),0),$J903*IFERROR(INDEX(Settings!$B$6:$B$15,MATCH($G903,Settings!$A$6:$A$15,0)),0)+IFERROR(INDEX(Settings!$C$6:$C$15,MATCH($G903,Settings!$A$6:$A$15,0)),0)))))</f>
        <v/>
      </c>
      <c r="L903" s="13" t="str">
        <f aca="false">IF($J903="","",IF($C903="",1,$C903)*IF($Q903&lt;&gt;"",$Q903,IFERROR(INDEX(Products!$D$5:$D$54,MATCH($B903,Products!$A$5:$A$54,0)),0)))</f>
        <v/>
      </c>
      <c r="M903" s="14" t="str">
        <f aca="false">IF($J903="","",$J903-$K903-N($H903)-$L903)</f>
        <v/>
      </c>
      <c r="N903" s="15" t="str">
        <f aca="false">IF($J903="","",IF($J903&gt;0,$M903/$J903,""))</f>
        <v/>
      </c>
      <c r="O903" s="12"/>
      <c r="P903" s="12"/>
      <c r="Q903" s="11"/>
      <c r="R903" s="11"/>
      <c r="S903" s="12"/>
      <c r="T903" s="16" t="str">
        <f aca="false">IF($J903="","",IF($C903="",1,$C903))</f>
        <v/>
      </c>
    </row>
    <row r="904" customFormat="false" ht="15" hidden="false" customHeight="false" outlineLevel="0" collapsed="false">
      <c r="A904" s="7"/>
      <c r="B904" s="8"/>
      <c r="C904" s="9"/>
      <c r="D904" s="10"/>
      <c r="E904" s="11"/>
      <c r="F904" s="11"/>
      <c r="G904" s="8"/>
      <c r="H904" s="11"/>
      <c r="I904" s="12"/>
      <c r="J904" s="13" t="str">
        <f aca="false">IF(OR($A904="",$D904=""),"",IF($C904="",1,$C904)*$D904+N($E904)-N($F904))</f>
        <v/>
      </c>
      <c r="K904" s="13" t="str">
        <f aca="false">IF($J904="","",IF($R904&lt;&gt;"",$R904,IF($G904="",0,MAX(IFERROR(INDEX(Settings!$D$6:$D$15,MATCH($G904,Settings!$A$6:$A$15,0)),0),$J904*IFERROR(INDEX(Settings!$B$6:$B$15,MATCH($G904,Settings!$A$6:$A$15,0)),0)+IFERROR(INDEX(Settings!$C$6:$C$15,MATCH($G904,Settings!$A$6:$A$15,0)),0)))))</f>
        <v/>
      </c>
      <c r="L904" s="13" t="str">
        <f aca="false">IF($J904="","",IF($C904="",1,$C904)*IF($Q904&lt;&gt;"",$Q904,IFERROR(INDEX(Products!$D$5:$D$54,MATCH($B904,Products!$A$5:$A$54,0)),0)))</f>
        <v/>
      </c>
      <c r="M904" s="14" t="str">
        <f aca="false">IF($J904="","",$J904-$K904-N($H904)-$L904)</f>
        <v/>
      </c>
      <c r="N904" s="15" t="str">
        <f aca="false">IF($J904="","",IF($J904&gt;0,$M904/$J904,""))</f>
        <v/>
      </c>
      <c r="O904" s="12"/>
      <c r="P904" s="12"/>
      <c r="Q904" s="11"/>
      <c r="R904" s="11"/>
      <c r="S904" s="12"/>
      <c r="T904" s="16" t="str">
        <f aca="false">IF($J904="","",IF($C904="",1,$C904))</f>
        <v/>
      </c>
    </row>
    <row r="905" customFormat="false" ht="15" hidden="false" customHeight="false" outlineLevel="0" collapsed="false">
      <c r="A905" s="7"/>
      <c r="B905" s="8"/>
      <c r="C905" s="9"/>
      <c r="D905" s="10"/>
      <c r="E905" s="11"/>
      <c r="F905" s="11"/>
      <c r="G905" s="8"/>
      <c r="H905" s="11"/>
      <c r="I905" s="12"/>
      <c r="J905" s="13" t="str">
        <f aca="false">IF(OR($A905="",$D905=""),"",IF($C905="",1,$C905)*$D905+N($E905)-N($F905))</f>
        <v/>
      </c>
      <c r="K905" s="13" t="str">
        <f aca="false">IF($J905="","",IF($R905&lt;&gt;"",$R905,IF($G905="",0,MAX(IFERROR(INDEX(Settings!$D$6:$D$15,MATCH($G905,Settings!$A$6:$A$15,0)),0),$J905*IFERROR(INDEX(Settings!$B$6:$B$15,MATCH($G905,Settings!$A$6:$A$15,0)),0)+IFERROR(INDEX(Settings!$C$6:$C$15,MATCH($G905,Settings!$A$6:$A$15,0)),0)))))</f>
        <v/>
      </c>
      <c r="L905" s="13" t="str">
        <f aca="false">IF($J905="","",IF($C905="",1,$C905)*IF($Q905&lt;&gt;"",$Q905,IFERROR(INDEX(Products!$D$5:$D$54,MATCH($B905,Products!$A$5:$A$54,0)),0)))</f>
        <v/>
      </c>
      <c r="M905" s="14" t="str">
        <f aca="false">IF($J905="","",$J905-$K905-N($H905)-$L905)</f>
        <v/>
      </c>
      <c r="N905" s="15" t="str">
        <f aca="false">IF($J905="","",IF($J905&gt;0,$M905/$J905,""))</f>
        <v/>
      </c>
      <c r="O905" s="12"/>
      <c r="P905" s="12"/>
      <c r="Q905" s="11"/>
      <c r="R905" s="11"/>
      <c r="S905" s="12"/>
      <c r="T905" s="16" t="str">
        <f aca="false">IF($J905="","",IF($C905="",1,$C905))</f>
        <v/>
      </c>
    </row>
    <row r="906" customFormat="false" ht="15" hidden="false" customHeight="false" outlineLevel="0" collapsed="false">
      <c r="A906" s="7"/>
      <c r="B906" s="8"/>
      <c r="C906" s="9"/>
      <c r="D906" s="10"/>
      <c r="E906" s="11"/>
      <c r="F906" s="11"/>
      <c r="G906" s="8"/>
      <c r="H906" s="11"/>
      <c r="I906" s="12"/>
      <c r="J906" s="13" t="str">
        <f aca="false">IF(OR($A906="",$D906=""),"",IF($C906="",1,$C906)*$D906+N($E906)-N($F906))</f>
        <v/>
      </c>
      <c r="K906" s="13" t="str">
        <f aca="false">IF($J906="","",IF($R906&lt;&gt;"",$R906,IF($G906="",0,MAX(IFERROR(INDEX(Settings!$D$6:$D$15,MATCH($G906,Settings!$A$6:$A$15,0)),0),$J906*IFERROR(INDEX(Settings!$B$6:$B$15,MATCH($G906,Settings!$A$6:$A$15,0)),0)+IFERROR(INDEX(Settings!$C$6:$C$15,MATCH($G906,Settings!$A$6:$A$15,0)),0)))))</f>
        <v/>
      </c>
      <c r="L906" s="13" t="str">
        <f aca="false">IF($J906="","",IF($C906="",1,$C906)*IF($Q906&lt;&gt;"",$Q906,IFERROR(INDEX(Products!$D$5:$D$54,MATCH($B906,Products!$A$5:$A$54,0)),0)))</f>
        <v/>
      </c>
      <c r="M906" s="14" t="str">
        <f aca="false">IF($J906="","",$J906-$K906-N($H906)-$L906)</f>
        <v/>
      </c>
      <c r="N906" s="15" t="str">
        <f aca="false">IF($J906="","",IF($J906&gt;0,$M906/$J906,""))</f>
        <v/>
      </c>
      <c r="O906" s="12"/>
      <c r="P906" s="12"/>
      <c r="Q906" s="11"/>
      <c r="R906" s="11"/>
      <c r="S906" s="12"/>
      <c r="T906" s="16" t="str">
        <f aca="false">IF($J906="","",IF($C906="",1,$C906))</f>
        <v/>
      </c>
    </row>
    <row r="907" customFormat="false" ht="15" hidden="false" customHeight="false" outlineLevel="0" collapsed="false">
      <c r="A907" s="7"/>
      <c r="B907" s="8"/>
      <c r="C907" s="9"/>
      <c r="D907" s="10"/>
      <c r="E907" s="11"/>
      <c r="F907" s="11"/>
      <c r="G907" s="8"/>
      <c r="H907" s="11"/>
      <c r="I907" s="12"/>
      <c r="J907" s="13" t="str">
        <f aca="false">IF(OR($A907="",$D907=""),"",IF($C907="",1,$C907)*$D907+N($E907)-N($F907))</f>
        <v/>
      </c>
      <c r="K907" s="13" t="str">
        <f aca="false">IF($J907="","",IF($R907&lt;&gt;"",$R907,IF($G907="",0,MAX(IFERROR(INDEX(Settings!$D$6:$D$15,MATCH($G907,Settings!$A$6:$A$15,0)),0),$J907*IFERROR(INDEX(Settings!$B$6:$B$15,MATCH($G907,Settings!$A$6:$A$15,0)),0)+IFERROR(INDEX(Settings!$C$6:$C$15,MATCH($G907,Settings!$A$6:$A$15,0)),0)))))</f>
        <v/>
      </c>
      <c r="L907" s="13" t="str">
        <f aca="false">IF($J907="","",IF($C907="",1,$C907)*IF($Q907&lt;&gt;"",$Q907,IFERROR(INDEX(Products!$D$5:$D$54,MATCH($B907,Products!$A$5:$A$54,0)),0)))</f>
        <v/>
      </c>
      <c r="M907" s="14" t="str">
        <f aca="false">IF($J907="","",$J907-$K907-N($H907)-$L907)</f>
        <v/>
      </c>
      <c r="N907" s="15" t="str">
        <f aca="false">IF($J907="","",IF($J907&gt;0,$M907/$J907,""))</f>
        <v/>
      </c>
      <c r="O907" s="12"/>
      <c r="P907" s="12"/>
      <c r="Q907" s="11"/>
      <c r="R907" s="11"/>
      <c r="S907" s="12"/>
      <c r="T907" s="16" t="str">
        <f aca="false">IF($J907="","",IF($C907="",1,$C907))</f>
        <v/>
      </c>
    </row>
    <row r="908" customFormat="false" ht="15" hidden="false" customHeight="false" outlineLevel="0" collapsed="false">
      <c r="A908" s="7"/>
      <c r="B908" s="8"/>
      <c r="C908" s="9"/>
      <c r="D908" s="10"/>
      <c r="E908" s="11"/>
      <c r="F908" s="11"/>
      <c r="G908" s="8"/>
      <c r="H908" s="11"/>
      <c r="I908" s="12"/>
      <c r="J908" s="13" t="str">
        <f aca="false">IF(OR($A908="",$D908=""),"",IF($C908="",1,$C908)*$D908+N($E908)-N($F908))</f>
        <v/>
      </c>
      <c r="K908" s="13" t="str">
        <f aca="false">IF($J908="","",IF($R908&lt;&gt;"",$R908,IF($G908="",0,MAX(IFERROR(INDEX(Settings!$D$6:$D$15,MATCH($G908,Settings!$A$6:$A$15,0)),0),$J908*IFERROR(INDEX(Settings!$B$6:$B$15,MATCH($G908,Settings!$A$6:$A$15,0)),0)+IFERROR(INDEX(Settings!$C$6:$C$15,MATCH($G908,Settings!$A$6:$A$15,0)),0)))))</f>
        <v/>
      </c>
      <c r="L908" s="13" t="str">
        <f aca="false">IF($J908="","",IF($C908="",1,$C908)*IF($Q908&lt;&gt;"",$Q908,IFERROR(INDEX(Products!$D$5:$D$54,MATCH($B908,Products!$A$5:$A$54,0)),0)))</f>
        <v/>
      </c>
      <c r="M908" s="14" t="str">
        <f aca="false">IF($J908="","",$J908-$K908-N($H908)-$L908)</f>
        <v/>
      </c>
      <c r="N908" s="15" t="str">
        <f aca="false">IF($J908="","",IF($J908&gt;0,$M908/$J908,""))</f>
        <v/>
      </c>
      <c r="O908" s="12"/>
      <c r="P908" s="12"/>
      <c r="Q908" s="11"/>
      <c r="R908" s="11"/>
      <c r="S908" s="12"/>
      <c r="T908" s="16" t="str">
        <f aca="false">IF($J908="","",IF($C908="",1,$C908))</f>
        <v/>
      </c>
    </row>
    <row r="909" customFormat="false" ht="15" hidden="false" customHeight="false" outlineLevel="0" collapsed="false">
      <c r="A909" s="7"/>
      <c r="B909" s="8"/>
      <c r="C909" s="9"/>
      <c r="D909" s="10"/>
      <c r="E909" s="11"/>
      <c r="F909" s="11"/>
      <c r="G909" s="8"/>
      <c r="H909" s="11"/>
      <c r="I909" s="12"/>
      <c r="J909" s="13" t="str">
        <f aca="false">IF(OR($A909="",$D909=""),"",IF($C909="",1,$C909)*$D909+N($E909)-N($F909))</f>
        <v/>
      </c>
      <c r="K909" s="13" t="str">
        <f aca="false">IF($J909="","",IF($R909&lt;&gt;"",$R909,IF($G909="",0,MAX(IFERROR(INDEX(Settings!$D$6:$D$15,MATCH($G909,Settings!$A$6:$A$15,0)),0),$J909*IFERROR(INDEX(Settings!$B$6:$B$15,MATCH($G909,Settings!$A$6:$A$15,0)),0)+IFERROR(INDEX(Settings!$C$6:$C$15,MATCH($G909,Settings!$A$6:$A$15,0)),0)))))</f>
        <v/>
      </c>
      <c r="L909" s="13" t="str">
        <f aca="false">IF($J909="","",IF($C909="",1,$C909)*IF($Q909&lt;&gt;"",$Q909,IFERROR(INDEX(Products!$D$5:$D$54,MATCH($B909,Products!$A$5:$A$54,0)),0)))</f>
        <v/>
      </c>
      <c r="M909" s="14" t="str">
        <f aca="false">IF($J909="","",$J909-$K909-N($H909)-$L909)</f>
        <v/>
      </c>
      <c r="N909" s="15" t="str">
        <f aca="false">IF($J909="","",IF($J909&gt;0,$M909/$J909,""))</f>
        <v/>
      </c>
      <c r="O909" s="12"/>
      <c r="P909" s="12"/>
      <c r="Q909" s="11"/>
      <c r="R909" s="11"/>
      <c r="S909" s="12"/>
      <c r="T909" s="16" t="str">
        <f aca="false">IF($J909="","",IF($C909="",1,$C909))</f>
        <v/>
      </c>
    </row>
    <row r="910" customFormat="false" ht="15" hidden="false" customHeight="false" outlineLevel="0" collapsed="false">
      <c r="A910" s="7"/>
      <c r="B910" s="8"/>
      <c r="C910" s="9"/>
      <c r="D910" s="10"/>
      <c r="E910" s="11"/>
      <c r="F910" s="11"/>
      <c r="G910" s="8"/>
      <c r="H910" s="11"/>
      <c r="I910" s="12"/>
      <c r="J910" s="13" t="str">
        <f aca="false">IF(OR($A910="",$D910=""),"",IF($C910="",1,$C910)*$D910+N($E910)-N($F910))</f>
        <v/>
      </c>
      <c r="K910" s="13" t="str">
        <f aca="false">IF($J910="","",IF($R910&lt;&gt;"",$R910,IF($G910="",0,MAX(IFERROR(INDEX(Settings!$D$6:$D$15,MATCH($G910,Settings!$A$6:$A$15,0)),0),$J910*IFERROR(INDEX(Settings!$B$6:$B$15,MATCH($G910,Settings!$A$6:$A$15,0)),0)+IFERROR(INDEX(Settings!$C$6:$C$15,MATCH($G910,Settings!$A$6:$A$15,0)),0)))))</f>
        <v/>
      </c>
      <c r="L910" s="13" t="str">
        <f aca="false">IF($J910="","",IF($C910="",1,$C910)*IF($Q910&lt;&gt;"",$Q910,IFERROR(INDEX(Products!$D$5:$D$54,MATCH($B910,Products!$A$5:$A$54,0)),0)))</f>
        <v/>
      </c>
      <c r="M910" s="14" t="str">
        <f aca="false">IF($J910="","",$J910-$K910-N($H910)-$L910)</f>
        <v/>
      </c>
      <c r="N910" s="15" t="str">
        <f aca="false">IF($J910="","",IF($J910&gt;0,$M910/$J910,""))</f>
        <v/>
      </c>
      <c r="O910" s="12"/>
      <c r="P910" s="12"/>
      <c r="Q910" s="11"/>
      <c r="R910" s="11"/>
      <c r="S910" s="12"/>
      <c r="T910" s="16" t="str">
        <f aca="false">IF($J910="","",IF($C910="",1,$C910))</f>
        <v/>
      </c>
    </row>
    <row r="911" customFormat="false" ht="15" hidden="false" customHeight="false" outlineLevel="0" collapsed="false">
      <c r="A911" s="7"/>
      <c r="B911" s="8"/>
      <c r="C911" s="9"/>
      <c r="D911" s="10"/>
      <c r="E911" s="11"/>
      <c r="F911" s="11"/>
      <c r="G911" s="8"/>
      <c r="H911" s="11"/>
      <c r="I911" s="12"/>
      <c r="J911" s="13" t="str">
        <f aca="false">IF(OR($A911="",$D911=""),"",IF($C911="",1,$C911)*$D911+N($E911)-N($F911))</f>
        <v/>
      </c>
      <c r="K911" s="13" t="str">
        <f aca="false">IF($J911="","",IF($R911&lt;&gt;"",$R911,IF($G911="",0,MAX(IFERROR(INDEX(Settings!$D$6:$D$15,MATCH($G911,Settings!$A$6:$A$15,0)),0),$J911*IFERROR(INDEX(Settings!$B$6:$B$15,MATCH($G911,Settings!$A$6:$A$15,0)),0)+IFERROR(INDEX(Settings!$C$6:$C$15,MATCH($G911,Settings!$A$6:$A$15,0)),0)))))</f>
        <v/>
      </c>
      <c r="L911" s="13" t="str">
        <f aca="false">IF($J911="","",IF($C911="",1,$C911)*IF($Q911&lt;&gt;"",$Q911,IFERROR(INDEX(Products!$D$5:$D$54,MATCH($B911,Products!$A$5:$A$54,0)),0)))</f>
        <v/>
      </c>
      <c r="M911" s="14" t="str">
        <f aca="false">IF($J911="","",$J911-$K911-N($H911)-$L911)</f>
        <v/>
      </c>
      <c r="N911" s="15" t="str">
        <f aca="false">IF($J911="","",IF($J911&gt;0,$M911/$J911,""))</f>
        <v/>
      </c>
      <c r="O911" s="12"/>
      <c r="P911" s="12"/>
      <c r="Q911" s="11"/>
      <c r="R911" s="11"/>
      <c r="S911" s="12"/>
      <c r="T911" s="16" t="str">
        <f aca="false">IF($J911="","",IF($C911="",1,$C911))</f>
        <v/>
      </c>
    </row>
    <row r="912" customFormat="false" ht="15" hidden="false" customHeight="false" outlineLevel="0" collapsed="false">
      <c r="A912" s="7"/>
      <c r="B912" s="8"/>
      <c r="C912" s="9"/>
      <c r="D912" s="10"/>
      <c r="E912" s="11"/>
      <c r="F912" s="11"/>
      <c r="G912" s="8"/>
      <c r="H912" s="11"/>
      <c r="I912" s="12"/>
      <c r="J912" s="13" t="str">
        <f aca="false">IF(OR($A912="",$D912=""),"",IF($C912="",1,$C912)*$D912+N($E912)-N($F912))</f>
        <v/>
      </c>
      <c r="K912" s="13" t="str">
        <f aca="false">IF($J912="","",IF($R912&lt;&gt;"",$R912,IF($G912="",0,MAX(IFERROR(INDEX(Settings!$D$6:$D$15,MATCH($G912,Settings!$A$6:$A$15,0)),0),$J912*IFERROR(INDEX(Settings!$B$6:$B$15,MATCH($G912,Settings!$A$6:$A$15,0)),0)+IFERROR(INDEX(Settings!$C$6:$C$15,MATCH($G912,Settings!$A$6:$A$15,0)),0)))))</f>
        <v/>
      </c>
      <c r="L912" s="13" t="str">
        <f aca="false">IF($J912="","",IF($C912="",1,$C912)*IF($Q912&lt;&gt;"",$Q912,IFERROR(INDEX(Products!$D$5:$D$54,MATCH($B912,Products!$A$5:$A$54,0)),0)))</f>
        <v/>
      </c>
      <c r="M912" s="14" t="str">
        <f aca="false">IF($J912="","",$J912-$K912-N($H912)-$L912)</f>
        <v/>
      </c>
      <c r="N912" s="15" t="str">
        <f aca="false">IF($J912="","",IF($J912&gt;0,$M912/$J912,""))</f>
        <v/>
      </c>
      <c r="O912" s="12"/>
      <c r="P912" s="12"/>
      <c r="Q912" s="11"/>
      <c r="R912" s="11"/>
      <c r="S912" s="12"/>
      <c r="T912" s="16" t="str">
        <f aca="false">IF($J912="","",IF($C912="",1,$C912))</f>
        <v/>
      </c>
    </row>
    <row r="913" customFormat="false" ht="15" hidden="false" customHeight="false" outlineLevel="0" collapsed="false">
      <c r="A913" s="7"/>
      <c r="B913" s="8"/>
      <c r="C913" s="9"/>
      <c r="D913" s="10"/>
      <c r="E913" s="11"/>
      <c r="F913" s="11"/>
      <c r="G913" s="8"/>
      <c r="H913" s="11"/>
      <c r="I913" s="12"/>
      <c r="J913" s="13" t="str">
        <f aca="false">IF(OR($A913="",$D913=""),"",IF($C913="",1,$C913)*$D913+N($E913)-N($F913))</f>
        <v/>
      </c>
      <c r="K913" s="13" t="str">
        <f aca="false">IF($J913="","",IF($R913&lt;&gt;"",$R913,IF($G913="",0,MAX(IFERROR(INDEX(Settings!$D$6:$D$15,MATCH($G913,Settings!$A$6:$A$15,0)),0),$J913*IFERROR(INDEX(Settings!$B$6:$B$15,MATCH($G913,Settings!$A$6:$A$15,0)),0)+IFERROR(INDEX(Settings!$C$6:$C$15,MATCH($G913,Settings!$A$6:$A$15,0)),0)))))</f>
        <v/>
      </c>
      <c r="L913" s="13" t="str">
        <f aca="false">IF($J913="","",IF($C913="",1,$C913)*IF($Q913&lt;&gt;"",$Q913,IFERROR(INDEX(Products!$D$5:$D$54,MATCH($B913,Products!$A$5:$A$54,0)),0)))</f>
        <v/>
      </c>
      <c r="M913" s="14" t="str">
        <f aca="false">IF($J913="","",$J913-$K913-N($H913)-$L913)</f>
        <v/>
      </c>
      <c r="N913" s="15" t="str">
        <f aca="false">IF($J913="","",IF($J913&gt;0,$M913/$J913,""))</f>
        <v/>
      </c>
      <c r="O913" s="12"/>
      <c r="P913" s="12"/>
      <c r="Q913" s="11"/>
      <c r="R913" s="11"/>
      <c r="S913" s="12"/>
      <c r="T913" s="16" t="str">
        <f aca="false">IF($J913="","",IF($C913="",1,$C913))</f>
        <v/>
      </c>
    </row>
    <row r="914" customFormat="false" ht="15" hidden="false" customHeight="false" outlineLevel="0" collapsed="false">
      <c r="A914" s="7"/>
      <c r="B914" s="8"/>
      <c r="C914" s="9"/>
      <c r="D914" s="10"/>
      <c r="E914" s="11"/>
      <c r="F914" s="11"/>
      <c r="G914" s="8"/>
      <c r="H914" s="11"/>
      <c r="I914" s="12"/>
      <c r="J914" s="13" t="str">
        <f aca="false">IF(OR($A914="",$D914=""),"",IF($C914="",1,$C914)*$D914+N($E914)-N($F914))</f>
        <v/>
      </c>
      <c r="K914" s="13" t="str">
        <f aca="false">IF($J914="","",IF($R914&lt;&gt;"",$R914,IF($G914="",0,MAX(IFERROR(INDEX(Settings!$D$6:$D$15,MATCH($G914,Settings!$A$6:$A$15,0)),0),$J914*IFERROR(INDEX(Settings!$B$6:$B$15,MATCH($G914,Settings!$A$6:$A$15,0)),0)+IFERROR(INDEX(Settings!$C$6:$C$15,MATCH($G914,Settings!$A$6:$A$15,0)),0)))))</f>
        <v/>
      </c>
      <c r="L914" s="13" t="str">
        <f aca="false">IF($J914="","",IF($C914="",1,$C914)*IF($Q914&lt;&gt;"",$Q914,IFERROR(INDEX(Products!$D$5:$D$54,MATCH($B914,Products!$A$5:$A$54,0)),0)))</f>
        <v/>
      </c>
      <c r="M914" s="14" t="str">
        <f aca="false">IF($J914="","",$J914-$K914-N($H914)-$L914)</f>
        <v/>
      </c>
      <c r="N914" s="15" t="str">
        <f aca="false">IF($J914="","",IF($J914&gt;0,$M914/$J914,""))</f>
        <v/>
      </c>
      <c r="O914" s="12"/>
      <c r="P914" s="12"/>
      <c r="Q914" s="11"/>
      <c r="R914" s="11"/>
      <c r="S914" s="12"/>
      <c r="T914" s="16" t="str">
        <f aca="false">IF($J914="","",IF($C914="",1,$C914))</f>
        <v/>
      </c>
    </row>
    <row r="915" customFormat="false" ht="15" hidden="false" customHeight="false" outlineLevel="0" collapsed="false">
      <c r="A915" s="7"/>
      <c r="B915" s="8"/>
      <c r="C915" s="9"/>
      <c r="D915" s="10"/>
      <c r="E915" s="11"/>
      <c r="F915" s="11"/>
      <c r="G915" s="8"/>
      <c r="H915" s="11"/>
      <c r="I915" s="12"/>
      <c r="J915" s="13" t="str">
        <f aca="false">IF(OR($A915="",$D915=""),"",IF($C915="",1,$C915)*$D915+N($E915)-N($F915))</f>
        <v/>
      </c>
      <c r="K915" s="13" t="str">
        <f aca="false">IF($J915="","",IF($R915&lt;&gt;"",$R915,IF($G915="",0,MAX(IFERROR(INDEX(Settings!$D$6:$D$15,MATCH($G915,Settings!$A$6:$A$15,0)),0),$J915*IFERROR(INDEX(Settings!$B$6:$B$15,MATCH($G915,Settings!$A$6:$A$15,0)),0)+IFERROR(INDEX(Settings!$C$6:$C$15,MATCH($G915,Settings!$A$6:$A$15,0)),0)))))</f>
        <v/>
      </c>
      <c r="L915" s="13" t="str">
        <f aca="false">IF($J915="","",IF($C915="",1,$C915)*IF($Q915&lt;&gt;"",$Q915,IFERROR(INDEX(Products!$D$5:$D$54,MATCH($B915,Products!$A$5:$A$54,0)),0)))</f>
        <v/>
      </c>
      <c r="M915" s="14" t="str">
        <f aca="false">IF($J915="","",$J915-$K915-N($H915)-$L915)</f>
        <v/>
      </c>
      <c r="N915" s="15" t="str">
        <f aca="false">IF($J915="","",IF($J915&gt;0,$M915/$J915,""))</f>
        <v/>
      </c>
      <c r="O915" s="12"/>
      <c r="P915" s="12"/>
      <c r="Q915" s="11"/>
      <c r="R915" s="11"/>
      <c r="S915" s="12"/>
      <c r="T915" s="16" t="str">
        <f aca="false">IF($J915="","",IF($C915="",1,$C915))</f>
        <v/>
      </c>
    </row>
    <row r="916" customFormat="false" ht="15" hidden="false" customHeight="false" outlineLevel="0" collapsed="false">
      <c r="A916" s="7"/>
      <c r="B916" s="8"/>
      <c r="C916" s="9"/>
      <c r="D916" s="10"/>
      <c r="E916" s="11"/>
      <c r="F916" s="11"/>
      <c r="G916" s="8"/>
      <c r="H916" s="11"/>
      <c r="I916" s="12"/>
      <c r="J916" s="13" t="str">
        <f aca="false">IF(OR($A916="",$D916=""),"",IF($C916="",1,$C916)*$D916+N($E916)-N($F916))</f>
        <v/>
      </c>
      <c r="K916" s="13" t="str">
        <f aca="false">IF($J916="","",IF($R916&lt;&gt;"",$R916,IF($G916="",0,MAX(IFERROR(INDEX(Settings!$D$6:$D$15,MATCH($G916,Settings!$A$6:$A$15,0)),0),$J916*IFERROR(INDEX(Settings!$B$6:$B$15,MATCH($G916,Settings!$A$6:$A$15,0)),0)+IFERROR(INDEX(Settings!$C$6:$C$15,MATCH($G916,Settings!$A$6:$A$15,0)),0)))))</f>
        <v/>
      </c>
      <c r="L916" s="13" t="str">
        <f aca="false">IF($J916="","",IF($C916="",1,$C916)*IF($Q916&lt;&gt;"",$Q916,IFERROR(INDEX(Products!$D$5:$D$54,MATCH($B916,Products!$A$5:$A$54,0)),0)))</f>
        <v/>
      </c>
      <c r="M916" s="14" t="str">
        <f aca="false">IF($J916="","",$J916-$K916-N($H916)-$L916)</f>
        <v/>
      </c>
      <c r="N916" s="15" t="str">
        <f aca="false">IF($J916="","",IF($J916&gt;0,$M916/$J916,""))</f>
        <v/>
      </c>
      <c r="O916" s="12"/>
      <c r="P916" s="12"/>
      <c r="Q916" s="11"/>
      <c r="R916" s="11"/>
      <c r="S916" s="12"/>
      <c r="T916" s="16" t="str">
        <f aca="false">IF($J916="","",IF($C916="",1,$C916))</f>
        <v/>
      </c>
    </row>
    <row r="917" customFormat="false" ht="15" hidden="false" customHeight="false" outlineLevel="0" collapsed="false">
      <c r="A917" s="7"/>
      <c r="B917" s="8"/>
      <c r="C917" s="9"/>
      <c r="D917" s="10"/>
      <c r="E917" s="11"/>
      <c r="F917" s="11"/>
      <c r="G917" s="8"/>
      <c r="H917" s="11"/>
      <c r="I917" s="12"/>
      <c r="J917" s="13" t="str">
        <f aca="false">IF(OR($A917="",$D917=""),"",IF($C917="",1,$C917)*$D917+N($E917)-N($F917))</f>
        <v/>
      </c>
      <c r="K917" s="13" t="str">
        <f aca="false">IF($J917="","",IF($R917&lt;&gt;"",$R917,IF($G917="",0,MAX(IFERROR(INDEX(Settings!$D$6:$D$15,MATCH($G917,Settings!$A$6:$A$15,0)),0),$J917*IFERROR(INDEX(Settings!$B$6:$B$15,MATCH($G917,Settings!$A$6:$A$15,0)),0)+IFERROR(INDEX(Settings!$C$6:$C$15,MATCH($G917,Settings!$A$6:$A$15,0)),0)))))</f>
        <v/>
      </c>
      <c r="L917" s="13" t="str">
        <f aca="false">IF($J917="","",IF($C917="",1,$C917)*IF($Q917&lt;&gt;"",$Q917,IFERROR(INDEX(Products!$D$5:$D$54,MATCH($B917,Products!$A$5:$A$54,0)),0)))</f>
        <v/>
      </c>
      <c r="M917" s="14" t="str">
        <f aca="false">IF($J917="","",$J917-$K917-N($H917)-$L917)</f>
        <v/>
      </c>
      <c r="N917" s="15" t="str">
        <f aca="false">IF($J917="","",IF($J917&gt;0,$M917/$J917,""))</f>
        <v/>
      </c>
      <c r="O917" s="12"/>
      <c r="P917" s="12"/>
      <c r="Q917" s="11"/>
      <c r="R917" s="11"/>
      <c r="S917" s="12"/>
      <c r="T917" s="16" t="str">
        <f aca="false">IF($J917="","",IF($C917="",1,$C917))</f>
        <v/>
      </c>
    </row>
    <row r="918" customFormat="false" ht="15" hidden="false" customHeight="false" outlineLevel="0" collapsed="false">
      <c r="A918" s="7"/>
      <c r="B918" s="8"/>
      <c r="C918" s="9"/>
      <c r="D918" s="10"/>
      <c r="E918" s="11"/>
      <c r="F918" s="11"/>
      <c r="G918" s="8"/>
      <c r="H918" s="11"/>
      <c r="I918" s="12"/>
      <c r="J918" s="13" t="str">
        <f aca="false">IF(OR($A918="",$D918=""),"",IF($C918="",1,$C918)*$D918+N($E918)-N($F918))</f>
        <v/>
      </c>
      <c r="K918" s="13" t="str">
        <f aca="false">IF($J918="","",IF($R918&lt;&gt;"",$R918,IF($G918="",0,MAX(IFERROR(INDEX(Settings!$D$6:$D$15,MATCH($G918,Settings!$A$6:$A$15,0)),0),$J918*IFERROR(INDEX(Settings!$B$6:$B$15,MATCH($G918,Settings!$A$6:$A$15,0)),0)+IFERROR(INDEX(Settings!$C$6:$C$15,MATCH($G918,Settings!$A$6:$A$15,0)),0)))))</f>
        <v/>
      </c>
      <c r="L918" s="13" t="str">
        <f aca="false">IF($J918="","",IF($C918="",1,$C918)*IF($Q918&lt;&gt;"",$Q918,IFERROR(INDEX(Products!$D$5:$D$54,MATCH($B918,Products!$A$5:$A$54,0)),0)))</f>
        <v/>
      </c>
      <c r="M918" s="14" t="str">
        <f aca="false">IF($J918="","",$J918-$K918-N($H918)-$L918)</f>
        <v/>
      </c>
      <c r="N918" s="15" t="str">
        <f aca="false">IF($J918="","",IF($J918&gt;0,$M918/$J918,""))</f>
        <v/>
      </c>
      <c r="O918" s="12"/>
      <c r="P918" s="12"/>
      <c r="Q918" s="11"/>
      <c r="R918" s="11"/>
      <c r="S918" s="12"/>
      <c r="T918" s="16" t="str">
        <f aca="false">IF($J918="","",IF($C918="",1,$C918))</f>
        <v/>
      </c>
    </row>
    <row r="919" customFormat="false" ht="15" hidden="false" customHeight="false" outlineLevel="0" collapsed="false">
      <c r="A919" s="7"/>
      <c r="B919" s="8"/>
      <c r="C919" s="9"/>
      <c r="D919" s="10"/>
      <c r="E919" s="11"/>
      <c r="F919" s="11"/>
      <c r="G919" s="8"/>
      <c r="H919" s="11"/>
      <c r="I919" s="12"/>
      <c r="J919" s="13" t="str">
        <f aca="false">IF(OR($A919="",$D919=""),"",IF($C919="",1,$C919)*$D919+N($E919)-N($F919))</f>
        <v/>
      </c>
      <c r="K919" s="13" t="str">
        <f aca="false">IF($J919="","",IF($R919&lt;&gt;"",$R919,IF($G919="",0,MAX(IFERROR(INDEX(Settings!$D$6:$D$15,MATCH($G919,Settings!$A$6:$A$15,0)),0),$J919*IFERROR(INDEX(Settings!$B$6:$B$15,MATCH($G919,Settings!$A$6:$A$15,0)),0)+IFERROR(INDEX(Settings!$C$6:$C$15,MATCH($G919,Settings!$A$6:$A$15,0)),0)))))</f>
        <v/>
      </c>
      <c r="L919" s="13" t="str">
        <f aca="false">IF($J919="","",IF($C919="",1,$C919)*IF($Q919&lt;&gt;"",$Q919,IFERROR(INDEX(Products!$D$5:$D$54,MATCH($B919,Products!$A$5:$A$54,0)),0)))</f>
        <v/>
      </c>
      <c r="M919" s="14" t="str">
        <f aca="false">IF($J919="","",$J919-$K919-N($H919)-$L919)</f>
        <v/>
      </c>
      <c r="N919" s="15" t="str">
        <f aca="false">IF($J919="","",IF($J919&gt;0,$M919/$J919,""))</f>
        <v/>
      </c>
      <c r="O919" s="12"/>
      <c r="P919" s="12"/>
      <c r="Q919" s="11"/>
      <c r="R919" s="11"/>
      <c r="S919" s="12"/>
      <c r="T919" s="16" t="str">
        <f aca="false">IF($J919="","",IF($C919="",1,$C919))</f>
        <v/>
      </c>
    </row>
    <row r="920" customFormat="false" ht="15" hidden="false" customHeight="false" outlineLevel="0" collapsed="false">
      <c r="A920" s="7"/>
      <c r="B920" s="8"/>
      <c r="C920" s="9"/>
      <c r="D920" s="10"/>
      <c r="E920" s="11"/>
      <c r="F920" s="11"/>
      <c r="G920" s="8"/>
      <c r="H920" s="11"/>
      <c r="I920" s="12"/>
      <c r="J920" s="13" t="str">
        <f aca="false">IF(OR($A920="",$D920=""),"",IF($C920="",1,$C920)*$D920+N($E920)-N($F920))</f>
        <v/>
      </c>
      <c r="K920" s="13" t="str">
        <f aca="false">IF($J920="","",IF($R920&lt;&gt;"",$R920,IF($G920="",0,MAX(IFERROR(INDEX(Settings!$D$6:$D$15,MATCH($G920,Settings!$A$6:$A$15,0)),0),$J920*IFERROR(INDEX(Settings!$B$6:$B$15,MATCH($G920,Settings!$A$6:$A$15,0)),0)+IFERROR(INDEX(Settings!$C$6:$C$15,MATCH($G920,Settings!$A$6:$A$15,0)),0)))))</f>
        <v/>
      </c>
      <c r="L920" s="13" t="str">
        <f aca="false">IF($J920="","",IF($C920="",1,$C920)*IF($Q920&lt;&gt;"",$Q920,IFERROR(INDEX(Products!$D$5:$D$54,MATCH($B920,Products!$A$5:$A$54,0)),0)))</f>
        <v/>
      </c>
      <c r="M920" s="14" t="str">
        <f aca="false">IF($J920="","",$J920-$K920-N($H920)-$L920)</f>
        <v/>
      </c>
      <c r="N920" s="15" t="str">
        <f aca="false">IF($J920="","",IF($J920&gt;0,$M920/$J920,""))</f>
        <v/>
      </c>
      <c r="O920" s="12"/>
      <c r="P920" s="12"/>
      <c r="Q920" s="11"/>
      <c r="R920" s="11"/>
      <c r="S920" s="12"/>
      <c r="T920" s="16" t="str">
        <f aca="false">IF($J920="","",IF($C920="",1,$C920))</f>
        <v/>
      </c>
    </row>
    <row r="921" customFormat="false" ht="15" hidden="false" customHeight="false" outlineLevel="0" collapsed="false">
      <c r="A921" s="7"/>
      <c r="B921" s="8"/>
      <c r="C921" s="9"/>
      <c r="D921" s="10"/>
      <c r="E921" s="11"/>
      <c r="F921" s="11"/>
      <c r="G921" s="8"/>
      <c r="H921" s="11"/>
      <c r="I921" s="12"/>
      <c r="J921" s="13" t="str">
        <f aca="false">IF(OR($A921="",$D921=""),"",IF($C921="",1,$C921)*$D921+N($E921)-N($F921))</f>
        <v/>
      </c>
      <c r="K921" s="13" t="str">
        <f aca="false">IF($J921="","",IF($R921&lt;&gt;"",$R921,IF($G921="",0,MAX(IFERROR(INDEX(Settings!$D$6:$D$15,MATCH($G921,Settings!$A$6:$A$15,0)),0),$J921*IFERROR(INDEX(Settings!$B$6:$B$15,MATCH($G921,Settings!$A$6:$A$15,0)),0)+IFERROR(INDEX(Settings!$C$6:$C$15,MATCH($G921,Settings!$A$6:$A$15,0)),0)))))</f>
        <v/>
      </c>
      <c r="L921" s="13" t="str">
        <f aca="false">IF($J921="","",IF($C921="",1,$C921)*IF($Q921&lt;&gt;"",$Q921,IFERROR(INDEX(Products!$D$5:$D$54,MATCH($B921,Products!$A$5:$A$54,0)),0)))</f>
        <v/>
      </c>
      <c r="M921" s="14" t="str">
        <f aca="false">IF($J921="","",$J921-$K921-N($H921)-$L921)</f>
        <v/>
      </c>
      <c r="N921" s="15" t="str">
        <f aca="false">IF($J921="","",IF($J921&gt;0,$M921/$J921,""))</f>
        <v/>
      </c>
      <c r="O921" s="12"/>
      <c r="P921" s="12"/>
      <c r="Q921" s="11"/>
      <c r="R921" s="11"/>
      <c r="S921" s="12"/>
      <c r="T921" s="16" t="str">
        <f aca="false">IF($J921="","",IF($C921="",1,$C921))</f>
        <v/>
      </c>
    </row>
    <row r="922" customFormat="false" ht="15" hidden="false" customHeight="false" outlineLevel="0" collapsed="false">
      <c r="A922" s="7"/>
      <c r="B922" s="8"/>
      <c r="C922" s="9"/>
      <c r="D922" s="10"/>
      <c r="E922" s="11"/>
      <c r="F922" s="11"/>
      <c r="G922" s="8"/>
      <c r="H922" s="11"/>
      <c r="I922" s="12"/>
      <c r="J922" s="13" t="str">
        <f aca="false">IF(OR($A922="",$D922=""),"",IF($C922="",1,$C922)*$D922+N($E922)-N($F922))</f>
        <v/>
      </c>
      <c r="K922" s="13" t="str">
        <f aca="false">IF($J922="","",IF($R922&lt;&gt;"",$R922,IF($G922="",0,MAX(IFERROR(INDEX(Settings!$D$6:$D$15,MATCH($G922,Settings!$A$6:$A$15,0)),0),$J922*IFERROR(INDEX(Settings!$B$6:$B$15,MATCH($G922,Settings!$A$6:$A$15,0)),0)+IFERROR(INDEX(Settings!$C$6:$C$15,MATCH($G922,Settings!$A$6:$A$15,0)),0)))))</f>
        <v/>
      </c>
      <c r="L922" s="13" t="str">
        <f aca="false">IF($J922="","",IF($C922="",1,$C922)*IF($Q922&lt;&gt;"",$Q922,IFERROR(INDEX(Products!$D$5:$D$54,MATCH($B922,Products!$A$5:$A$54,0)),0)))</f>
        <v/>
      </c>
      <c r="M922" s="14" t="str">
        <f aca="false">IF($J922="","",$J922-$K922-N($H922)-$L922)</f>
        <v/>
      </c>
      <c r="N922" s="15" t="str">
        <f aca="false">IF($J922="","",IF($J922&gt;0,$M922/$J922,""))</f>
        <v/>
      </c>
      <c r="O922" s="12"/>
      <c r="P922" s="12"/>
      <c r="Q922" s="11"/>
      <c r="R922" s="11"/>
      <c r="S922" s="12"/>
      <c r="T922" s="16" t="str">
        <f aca="false">IF($J922="","",IF($C922="",1,$C922))</f>
        <v/>
      </c>
    </row>
    <row r="923" customFormat="false" ht="15" hidden="false" customHeight="false" outlineLevel="0" collapsed="false">
      <c r="A923" s="7"/>
      <c r="B923" s="8"/>
      <c r="C923" s="9"/>
      <c r="D923" s="10"/>
      <c r="E923" s="11"/>
      <c r="F923" s="11"/>
      <c r="G923" s="8"/>
      <c r="H923" s="11"/>
      <c r="I923" s="12"/>
      <c r="J923" s="13" t="str">
        <f aca="false">IF(OR($A923="",$D923=""),"",IF($C923="",1,$C923)*$D923+N($E923)-N($F923))</f>
        <v/>
      </c>
      <c r="K923" s="13" t="str">
        <f aca="false">IF($J923="","",IF($R923&lt;&gt;"",$R923,IF($G923="",0,MAX(IFERROR(INDEX(Settings!$D$6:$D$15,MATCH($G923,Settings!$A$6:$A$15,0)),0),$J923*IFERROR(INDEX(Settings!$B$6:$B$15,MATCH($G923,Settings!$A$6:$A$15,0)),0)+IFERROR(INDEX(Settings!$C$6:$C$15,MATCH($G923,Settings!$A$6:$A$15,0)),0)))))</f>
        <v/>
      </c>
      <c r="L923" s="13" t="str">
        <f aca="false">IF($J923="","",IF($C923="",1,$C923)*IF($Q923&lt;&gt;"",$Q923,IFERROR(INDEX(Products!$D$5:$D$54,MATCH($B923,Products!$A$5:$A$54,0)),0)))</f>
        <v/>
      </c>
      <c r="M923" s="14" t="str">
        <f aca="false">IF($J923="","",$J923-$K923-N($H923)-$L923)</f>
        <v/>
      </c>
      <c r="N923" s="15" t="str">
        <f aca="false">IF($J923="","",IF($J923&gt;0,$M923/$J923,""))</f>
        <v/>
      </c>
      <c r="O923" s="12"/>
      <c r="P923" s="12"/>
      <c r="Q923" s="11"/>
      <c r="R923" s="11"/>
      <c r="S923" s="12"/>
      <c r="T923" s="16" t="str">
        <f aca="false">IF($J923="","",IF($C923="",1,$C923))</f>
        <v/>
      </c>
    </row>
    <row r="924" customFormat="false" ht="15" hidden="false" customHeight="false" outlineLevel="0" collapsed="false">
      <c r="A924" s="7"/>
      <c r="B924" s="8"/>
      <c r="C924" s="9"/>
      <c r="D924" s="10"/>
      <c r="E924" s="11"/>
      <c r="F924" s="11"/>
      <c r="G924" s="8"/>
      <c r="H924" s="11"/>
      <c r="I924" s="12"/>
      <c r="J924" s="13" t="str">
        <f aca="false">IF(OR($A924="",$D924=""),"",IF($C924="",1,$C924)*$D924+N($E924)-N($F924))</f>
        <v/>
      </c>
      <c r="K924" s="13" t="str">
        <f aca="false">IF($J924="","",IF($R924&lt;&gt;"",$R924,IF($G924="",0,MAX(IFERROR(INDEX(Settings!$D$6:$D$15,MATCH($G924,Settings!$A$6:$A$15,0)),0),$J924*IFERROR(INDEX(Settings!$B$6:$B$15,MATCH($G924,Settings!$A$6:$A$15,0)),0)+IFERROR(INDEX(Settings!$C$6:$C$15,MATCH($G924,Settings!$A$6:$A$15,0)),0)))))</f>
        <v/>
      </c>
      <c r="L924" s="13" t="str">
        <f aca="false">IF($J924="","",IF($C924="",1,$C924)*IF($Q924&lt;&gt;"",$Q924,IFERROR(INDEX(Products!$D$5:$D$54,MATCH($B924,Products!$A$5:$A$54,0)),0)))</f>
        <v/>
      </c>
      <c r="M924" s="14" t="str">
        <f aca="false">IF($J924="","",$J924-$K924-N($H924)-$L924)</f>
        <v/>
      </c>
      <c r="N924" s="15" t="str">
        <f aca="false">IF($J924="","",IF($J924&gt;0,$M924/$J924,""))</f>
        <v/>
      </c>
      <c r="O924" s="12"/>
      <c r="P924" s="12"/>
      <c r="Q924" s="11"/>
      <c r="R924" s="11"/>
      <c r="S924" s="12"/>
      <c r="T924" s="16" t="str">
        <f aca="false">IF($J924="","",IF($C924="",1,$C924))</f>
        <v/>
      </c>
    </row>
    <row r="925" customFormat="false" ht="15" hidden="false" customHeight="false" outlineLevel="0" collapsed="false">
      <c r="A925" s="7"/>
      <c r="B925" s="8"/>
      <c r="C925" s="9"/>
      <c r="D925" s="10"/>
      <c r="E925" s="11"/>
      <c r="F925" s="11"/>
      <c r="G925" s="8"/>
      <c r="H925" s="11"/>
      <c r="I925" s="12"/>
      <c r="J925" s="13" t="str">
        <f aca="false">IF(OR($A925="",$D925=""),"",IF($C925="",1,$C925)*$D925+N($E925)-N($F925))</f>
        <v/>
      </c>
      <c r="K925" s="13" t="str">
        <f aca="false">IF($J925="","",IF($R925&lt;&gt;"",$R925,IF($G925="",0,MAX(IFERROR(INDEX(Settings!$D$6:$D$15,MATCH($G925,Settings!$A$6:$A$15,0)),0),$J925*IFERROR(INDEX(Settings!$B$6:$B$15,MATCH($G925,Settings!$A$6:$A$15,0)),0)+IFERROR(INDEX(Settings!$C$6:$C$15,MATCH($G925,Settings!$A$6:$A$15,0)),0)))))</f>
        <v/>
      </c>
      <c r="L925" s="13" t="str">
        <f aca="false">IF($J925="","",IF($C925="",1,$C925)*IF($Q925&lt;&gt;"",$Q925,IFERROR(INDEX(Products!$D$5:$D$54,MATCH($B925,Products!$A$5:$A$54,0)),0)))</f>
        <v/>
      </c>
      <c r="M925" s="14" t="str">
        <f aca="false">IF($J925="","",$J925-$K925-N($H925)-$L925)</f>
        <v/>
      </c>
      <c r="N925" s="15" t="str">
        <f aca="false">IF($J925="","",IF($J925&gt;0,$M925/$J925,""))</f>
        <v/>
      </c>
      <c r="O925" s="12"/>
      <c r="P925" s="12"/>
      <c r="Q925" s="11"/>
      <c r="R925" s="11"/>
      <c r="S925" s="12"/>
      <c r="T925" s="16" t="str">
        <f aca="false">IF($J925="","",IF($C925="",1,$C925))</f>
        <v/>
      </c>
    </row>
    <row r="926" customFormat="false" ht="15" hidden="false" customHeight="false" outlineLevel="0" collapsed="false">
      <c r="A926" s="7"/>
      <c r="B926" s="8"/>
      <c r="C926" s="9"/>
      <c r="D926" s="10"/>
      <c r="E926" s="11"/>
      <c r="F926" s="11"/>
      <c r="G926" s="8"/>
      <c r="H926" s="11"/>
      <c r="I926" s="12"/>
      <c r="J926" s="13" t="str">
        <f aca="false">IF(OR($A926="",$D926=""),"",IF($C926="",1,$C926)*$D926+N($E926)-N($F926))</f>
        <v/>
      </c>
      <c r="K926" s="13" t="str">
        <f aca="false">IF($J926="","",IF($R926&lt;&gt;"",$R926,IF($G926="",0,MAX(IFERROR(INDEX(Settings!$D$6:$D$15,MATCH($G926,Settings!$A$6:$A$15,0)),0),$J926*IFERROR(INDEX(Settings!$B$6:$B$15,MATCH($G926,Settings!$A$6:$A$15,0)),0)+IFERROR(INDEX(Settings!$C$6:$C$15,MATCH($G926,Settings!$A$6:$A$15,0)),0)))))</f>
        <v/>
      </c>
      <c r="L926" s="13" t="str">
        <f aca="false">IF($J926="","",IF($C926="",1,$C926)*IF($Q926&lt;&gt;"",$Q926,IFERROR(INDEX(Products!$D$5:$D$54,MATCH($B926,Products!$A$5:$A$54,0)),0)))</f>
        <v/>
      </c>
      <c r="M926" s="14" t="str">
        <f aca="false">IF($J926="","",$J926-$K926-N($H926)-$L926)</f>
        <v/>
      </c>
      <c r="N926" s="15" t="str">
        <f aca="false">IF($J926="","",IF($J926&gt;0,$M926/$J926,""))</f>
        <v/>
      </c>
      <c r="O926" s="12"/>
      <c r="P926" s="12"/>
      <c r="Q926" s="11"/>
      <c r="R926" s="11"/>
      <c r="S926" s="12"/>
      <c r="T926" s="16" t="str">
        <f aca="false">IF($J926="","",IF($C926="",1,$C926))</f>
        <v/>
      </c>
    </row>
    <row r="927" customFormat="false" ht="15" hidden="false" customHeight="false" outlineLevel="0" collapsed="false">
      <c r="A927" s="7"/>
      <c r="B927" s="8"/>
      <c r="C927" s="9"/>
      <c r="D927" s="10"/>
      <c r="E927" s="11"/>
      <c r="F927" s="11"/>
      <c r="G927" s="8"/>
      <c r="H927" s="11"/>
      <c r="I927" s="12"/>
      <c r="J927" s="13" t="str">
        <f aca="false">IF(OR($A927="",$D927=""),"",IF($C927="",1,$C927)*$D927+N($E927)-N($F927))</f>
        <v/>
      </c>
      <c r="K927" s="13" t="str">
        <f aca="false">IF($J927="","",IF($R927&lt;&gt;"",$R927,IF($G927="",0,MAX(IFERROR(INDEX(Settings!$D$6:$D$15,MATCH($G927,Settings!$A$6:$A$15,0)),0),$J927*IFERROR(INDEX(Settings!$B$6:$B$15,MATCH($G927,Settings!$A$6:$A$15,0)),0)+IFERROR(INDEX(Settings!$C$6:$C$15,MATCH($G927,Settings!$A$6:$A$15,0)),0)))))</f>
        <v/>
      </c>
      <c r="L927" s="13" t="str">
        <f aca="false">IF($J927="","",IF($C927="",1,$C927)*IF($Q927&lt;&gt;"",$Q927,IFERROR(INDEX(Products!$D$5:$D$54,MATCH($B927,Products!$A$5:$A$54,0)),0)))</f>
        <v/>
      </c>
      <c r="M927" s="14" t="str">
        <f aca="false">IF($J927="","",$J927-$K927-N($H927)-$L927)</f>
        <v/>
      </c>
      <c r="N927" s="15" t="str">
        <f aca="false">IF($J927="","",IF($J927&gt;0,$M927/$J927,""))</f>
        <v/>
      </c>
      <c r="O927" s="12"/>
      <c r="P927" s="12"/>
      <c r="Q927" s="11"/>
      <c r="R927" s="11"/>
      <c r="S927" s="12"/>
      <c r="T927" s="16" t="str">
        <f aca="false">IF($J927="","",IF($C927="",1,$C927))</f>
        <v/>
      </c>
    </row>
    <row r="928" customFormat="false" ht="15" hidden="false" customHeight="false" outlineLevel="0" collapsed="false">
      <c r="A928" s="7"/>
      <c r="B928" s="8"/>
      <c r="C928" s="9"/>
      <c r="D928" s="10"/>
      <c r="E928" s="11"/>
      <c r="F928" s="11"/>
      <c r="G928" s="8"/>
      <c r="H928" s="11"/>
      <c r="I928" s="12"/>
      <c r="J928" s="13" t="str">
        <f aca="false">IF(OR($A928="",$D928=""),"",IF($C928="",1,$C928)*$D928+N($E928)-N($F928))</f>
        <v/>
      </c>
      <c r="K928" s="13" t="str">
        <f aca="false">IF($J928="","",IF($R928&lt;&gt;"",$R928,IF($G928="",0,MAX(IFERROR(INDEX(Settings!$D$6:$D$15,MATCH($G928,Settings!$A$6:$A$15,0)),0),$J928*IFERROR(INDEX(Settings!$B$6:$B$15,MATCH($G928,Settings!$A$6:$A$15,0)),0)+IFERROR(INDEX(Settings!$C$6:$C$15,MATCH($G928,Settings!$A$6:$A$15,0)),0)))))</f>
        <v/>
      </c>
      <c r="L928" s="13" t="str">
        <f aca="false">IF($J928="","",IF($C928="",1,$C928)*IF($Q928&lt;&gt;"",$Q928,IFERROR(INDEX(Products!$D$5:$D$54,MATCH($B928,Products!$A$5:$A$54,0)),0)))</f>
        <v/>
      </c>
      <c r="M928" s="14" t="str">
        <f aca="false">IF($J928="","",$J928-$K928-N($H928)-$L928)</f>
        <v/>
      </c>
      <c r="N928" s="15" t="str">
        <f aca="false">IF($J928="","",IF($J928&gt;0,$M928/$J928,""))</f>
        <v/>
      </c>
      <c r="O928" s="12"/>
      <c r="P928" s="12"/>
      <c r="Q928" s="11"/>
      <c r="R928" s="11"/>
      <c r="S928" s="12"/>
      <c r="T928" s="16" t="str">
        <f aca="false">IF($J928="","",IF($C928="",1,$C928))</f>
        <v/>
      </c>
    </row>
    <row r="929" customFormat="false" ht="15" hidden="false" customHeight="false" outlineLevel="0" collapsed="false">
      <c r="A929" s="7"/>
      <c r="B929" s="8"/>
      <c r="C929" s="9"/>
      <c r="D929" s="10"/>
      <c r="E929" s="11"/>
      <c r="F929" s="11"/>
      <c r="G929" s="8"/>
      <c r="H929" s="11"/>
      <c r="I929" s="12"/>
      <c r="J929" s="13" t="str">
        <f aca="false">IF(OR($A929="",$D929=""),"",IF($C929="",1,$C929)*$D929+N($E929)-N($F929))</f>
        <v/>
      </c>
      <c r="K929" s="13" t="str">
        <f aca="false">IF($J929="","",IF($R929&lt;&gt;"",$R929,IF($G929="",0,MAX(IFERROR(INDEX(Settings!$D$6:$D$15,MATCH($G929,Settings!$A$6:$A$15,0)),0),$J929*IFERROR(INDEX(Settings!$B$6:$B$15,MATCH($G929,Settings!$A$6:$A$15,0)),0)+IFERROR(INDEX(Settings!$C$6:$C$15,MATCH($G929,Settings!$A$6:$A$15,0)),0)))))</f>
        <v/>
      </c>
      <c r="L929" s="13" t="str">
        <f aca="false">IF($J929="","",IF($C929="",1,$C929)*IF($Q929&lt;&gt;"",$Q929,IFERROR(INDEX(Products!$D$5:$D$54,MATCH($B929,Products!$A$5:$A$54,0)),0)))</f>
        <v/>
      </c>
      <c r="M929" s="14" t="str">
        <f aca="false">IF($J929="","",$J929-$K929-N($H929)-$L929)</f>
        <v/>
      </c>
      <c r="N929" s="15" t="str">
        <f aca="false">IF($J929="","",IF($J929&gt;0,$M929/$J929,""))</f>
        <v/>
      </c>
      <c r="O929" s="12"/>
      <c r="P929" s="12"/>
      <c r="Q929" s="11"/>
      <c r="R929" s="11"/>
      <c r="S929" s="12"/>
      <c r="T929" s="16" t="str">
        <f aca="false">IF($J929="","",IF($C929="",1,$C929))</f>
        <v/>
      </c>
    </row>
    <row r="930" customFormat="false" ht="15" hidden="false" customHeight="false" outlineLevel="0" collapsed="false">
      <c r="A930" s="7"/>
      <c r="B930" s="8"/>
      <c r="C930" s="9"/>
      <c r="D930" s="10"/>
      <c r="E930" s="11"/>
      <c r="F930" s="11"/>
      <c r="G930" s="8"/>
      <c r="H930" s="11"/>
      <c r="I930" s="12"/>
      <c r="J930" s="13" t="str">
        <f aca="false">IF(OR($A930="",$D930=""),"",IF($C930="",1,$C930)*$D930+N($E930)-N($F930))</f>
        <v/>
      </c>
      <c r="K930" s="13" t="str">
        <f aca="false">IF($J930="","",IF($R930&lt;&gt;"",$R930,IF($G930="",0,MAX(IFERROR(INDEX(Settings!$D$6:$D$15,MATCH($G930,Settings!$A$6:$A$15,0)),0),$J930*IFERROR(INDEX(Settings!$B$6:$B$15,MATCH($G930,Settings!$A$6:$A$15,0)),0)+IFERROR(INDEX(Settings!$C$6:$C$15,MATCH($G930,Settings!$A$6:$A$15,0)),0)))))</f>
        <v/>
      </c>
      <c r="L930" s="13" t="str">
        <f aca="false">IF($J930="","",IF($C930="",1,$C930)*IF($Q930&lt;&gt;"",$Q930,IFERROR(INDEX(Products!$D$5:$D$54,MATCH($B930,Products!$A$5:$A$54,0)),0)))</f>
        <v/>
      </c>
      <c r="M930" s="14" t="str">
        <f aca="false">IF($J930="","",$J930-$K930-N($H930)-$L930)</f>
        <v/>
      </c>
      <c r="N930" s="15" t="str">
        <f aca="false">IF($J930="","",IF($J930&gt;0,$M930/$J930,""))</f>
        <v/>
      </c>
      <c r="O930" s="12"/>
      <c r="P930" s="12"/>
      <c r="Q930" s="11"/>
      <c r="R930" s="11"/>
      <c r="S930" s="12"/>
      <c r="T930" s="16" t="str">
        <f aca="false">IF($J930="","",IF($C930="",1,$C930))</f>
        <v/>
      </c>
    </row>
    <row r="931" customFormat="false" ht="15" hidden="false" customHeight="false" outlineLevel="0" collapsed="false">
      <c r="A931" s="7"/>
      <c r="B931" s="8"/>
      <c r="C931" s="9"/>
      <c r="D931" s="10"/>
      <c r="E931" s="11"/>
      <c r="F931" s="11"/>
      <c r="G931" s="8"/>
      <c r="H931" s="11"/>
      <c r="I931" s="12"/>
      <c r="J931" s="13" t="str">
        <f aca="false">IF(OR($A931="",$D931=""),"",IF($C931="",1,$C931)*$D931+N($E931)-N($F931))</f>
        <v/>
      </c>
      <c r="K931" s="13" t="str">
        <f aca="false">IF($J931="","",IF($R931&lt;&gt;"",$R931,IF($G931="",0,MAX(IFERROR(INDEX(Settings!$D$6:$D$15,MATCH($G931,Settings!$A$6:$A$15,0)),0),$J931*IFERROR(INDEX(Settings!$B$6:$B$15,MATCH($G931,Settings!$A$6:$A$15,0)),0)+IFERROR(INDEX(Settings!$C$6:$C$15,MATCH($G931,Settings!$A$6:$A$15,0)),0)))))</f>
        <v/>
      </c>
      <c r="L931" s="13" t="str">
        <f aca="false">IF($J931="","",IF($C931="",1,$C931)*IF($Q931&lt;&gt;"",$Q931,IFERROR(INDEX(Products!$D$5:$D$54,MATCH($B931,Products!$A$5:$A$54,0)),0)))</f>
        <v/>
      </c>
      <c r="M931" s="14" t="str">
        <f aca="false">IF($J931="","",$J931-$K931-N($H931)-$L931)</f>
        <v/>
      </c>
      <c r="N931" s="15" t="str">
        <f aca="false">IF($J931="","",IF($J931&gt;0,$M931/$J931,""))</f>
        <v/>
      </c>
      <c r="O931" s="12"/>
      <c r="P931" s="12"/>
      <c r="Q931" s="11"/>
      <c r="R931" s="11"/>
      <c r="S931" s="12"/>
      <c r="T931" s="16" t="str">
        <f aca="false">IF($J931="","",IF($C931="",1,$C931))</f>
        <v/>
      </c>
    </row>
    <row r="932" customFormat="false" ht="15" hidden="false" customHeight="false" outlineLevel="0" collapsed="false">
      <c r="A932" s="7"/>
      <c r="B932" s="8"/>
      <c r="C932" s="9"/>
      <c r="D932" s="10"/>
      <c r="E932" s="11"/>
      <c r="F932" s="11"/>
      <c r="G932" s="8"/>
      <c r="H932" s="11"/>
      <c r="I932" s="12"/>
      <c r="J932" s="13" t="str">
        <f aca="false">IF(OR($A932="",$D932=""),"",IF($C932="",1,$C932)*$D932+N($E932)-N($F932))</f>
        <v/>
      </c>
      <c r="K932" s="13" t="str">
        <f aca="false">IF($J932="","",IF($R932&lt;&gt;"",$R932,IF($G932="",0,MAX(IFERROR(INDEX(Settings!$D$6:$D$15,MATCH($G932,Settings!$A$6:$A$15,0)),0),$J932*IFERROR(INDEX(Settings!$B$6:$B$15,MATCH($G932,Settings!$A$6:$A$15,0)),0)+IFERROR(INDEX(Settings!$C$6:$C$15,MATCH($G932,Settings!$A$6:$A$15,0)),0)))))</f>
        <v/>
      </c>
      <c r="L932" s="13" t="str">
        <f aca="false">IF($J932="","",IF($C932="",1,$C932)*IF($Q932&lt;&gt;"",$Q932,IFERROR(INDEX(Products!$D$5:$D$54,MATCH($B932,Products!$A$5:$A$54,0)),0)))</f>
        <v/>
      </c>
      <c r="M932" s="14" t="str">
        <f aca="false">IF($J932="","",$J932-$K932-N($H932)-$L932)</f>
        <v/>
      </c>
      <c r="N932" s="15" t="str">
        <f aca="false">IF($J932="","",IF($J932&gt;0,$M932/$J932,""))</f>
        <v/>
      </c>
      <c r="O932" s="12"/>
      <c r="P932" s="12"/>
      <c r="Q932" s="11"/>
      <c r="R932" s="11"/>
      <c r="S932" s="12"/>
      <c r="T932" s="16" t="str">
        <f aca="false">IF($J932="","",IF($C932="",1,$C932))</f>
        <v/>
      </c>
    </row>
    <row r="933" customFormat="false" ht="15" hidden="false" customHeight="false" outlineLevel="0" collapsed="false">
      <c r="A933" s="7"/>
      <c r="B933" s="8"/>
      <c r="C933" s="9"/>
      <c r="D933" s="10"/>
      <c r="E933" s="11"/>
      <c r="F933" s="11"/>
      <c r="G933" s="8"/>
      <c r="H933" s="11"/>
      <c r="I933" s="12"/>
      <c r="J933" s="13" t="str">
        <f aca="false">IF(OR($A933="",$D933=""),"",IF($C933="",1,$C933)*$D933+N($E933)-N($F933))</f>
        <v/>
      </c>
      <c r="K933" s="13" t="str">
        <f aca="false">IF($J933="","",IF($R933&lt;&gt;"",$R933,IF($G933="",0,MAX(IFERROR(INDEX(Settings!$D$6:$D$15,MATCH($G933,Settings!$A$6:$A$15,0)),0),$J933*IFERROR(INDEX(Settings!$B$6:$B$15,MATCH($G933,Settings!$A$6:$A$15,0)),0)+IFERROR(INDEX(Settings!$C$6:$C$15,MATCH($G933,Settings!$A$6:$A$15,0)),0)))))</f>
        <v/>
      </c>
      <c r="L933" s="13" t="str">
        <f aca="false">IF($J933="","",IF($C933="",1,$C933)*IF($Q933&lt;&gt;"",$Q933,IFERROR(INDEX(Products!$D$5:$D$54,MATCH($B933,Products!$A$5:$A$54,0)),0)))</f>
        <v/>
      </c>
      <c r="M933" s="14" t="str">
        <f aca="false">IF($J933="","",$J933-$K933-N($H933)-$L933)</f>
        <v/>
      </c>
      <c r="N933" s="15" t="str">
        <f aca="false">IF($J933="","",IF($J933&gt;0,$M933/$J933,""))</f>
        <v/>
      </c>
      <c r="O933" s="12"/>
      <c r="P933" s="12"/>
      <c r="Q933" s="11"/>
      <c r="R933" s="11"/>
      <c r="S933" s="12"/>
      <c r="T933" s="16" t="str">
        <f aca="false">IF($J933="","",IF($C933="",1,$C933))</f>
        <v/>
      </c>
    </row>
    <row r="934" customFormat="false" ht="15" hidden="false" customHeight="false" outlineLevel="0" collapsed="false">
      <c r="A934" s="7"/>
      <c r="B934" s="8"/>
      <c r="C934" s="9"/>
      <c r="D934" s="10"/>
      <c r="E934" s="11"/>
      <c r="F934" s="11"/>
      <c r="G934" s="8"/>
      <c r="H934" s="11"/>
      <c r="I934" s="12"/>
      <c r="J934" s="13" t="str">
        <f aca="false">IF(OR($A934="",$D934=""),"",IF($C934="",1,$C934)*$D934+N($E934)-N($F934))</f>
        <v/>
      </c>
      <c r="K934" s="13" t="str">
        <f aca="false">IF($J934="","",IF($R934&lt;&gt;"",$R934,IF($G934="",0,MAX(IFERROR(INDEX(Settings!$D$6:$D$15,MATCH($G934,Settings!$A$6:$A$15,0)),0),$J934*IFERROR(INDEX(Settings!$B$6:$B$15,MATCH($G934,Settings!$A$6:$A$15,0)),0)+IFERROR(INDEX(Settings!$C$6:$C$15,MATCH($G934,Settings!$A$6:$A$15,0)),0)))))</f>
        <v/>
      </c>
      <c r="L934" s="13" t="str">
        <f aca="false">IF($J934="","",IF($C934="",1,$C934)*IF($Q934&lt;&gt;"",$Q934,IFERROR(INDEX(Products!$D$5:$D$54,MATCH($B934,Products!$A$5:$A$54,0)),0)))</f>
        <v/>
      </c>
      <c r="M934" s="14" t="str">
        <f aca="false">IF($J934="","",$J934-$K934-N($H934)-$L934)</f>
        <v/>
      </c>
      <c r="N934" s="15" t="str">
        <f aca="false">IF($J934="","",IF($J934&gt;0,$M934/$J934,""))</f>
        <v/>
      </c>
      <c r="O934" s="12"/>
      <c r="P934" s="12"/>
      <c r="Q934" s="11"/>
      <c r="R934" s="11"/>
      <c r="S934" s="12"/>
      <c r="T934" s="16" t="str">
        <f aca="false">IF($J934="","",IF($C934="",1,$C934))</f>
        <v/>
      </c>
    </row>
    <row r="935" customFormat="false" ht="15" hidden="false" customHeight="false" outlineLevel="0" collapsed="false">
      <c r="A935" s="7"/>
      <c r="B935" s="8"/>
      <c r="C935" s="9"/>
      <c r="D935" s="10"/>
      <c r="E935" s="11"/>
      <c r="F935" s="11"/>
      <c r="G935" s="8"/>
      <c r="H935" s="11"/>
      <c r="I935" s="12"/>
      <c r="J935" s="13" t="str">
        <f aca="false">IF(OR($A935="",$D935=""),"",IF($C935="",1,$C935)*$D935+N($E935)-N($F935))</f>
        <v/>
      </c>
      <c r="K935" s="13" t="str">
        <f aca="false">IF($J935="","",IF($R935&lt;&gt;"",$R935,IF($G935="",0,MAX(IFERROR(INDEX(Settings!$D$6:$D$15,MATCH($G935,Settings!$A$6:$A$15,0)),0),$J935*IFERROR(INDEX(Settings!$B$6:$B$15,MATCH($G935,Settings!$A$6:$A$15,0)),0)+IFERROR(INDEX(Settings!$C$6:$C$15,MATCH($G935,Settings!$A$6:$A$15,0)),0)))))</f>
        <v/>
      </c>
      <c r="L935" s="13" t="str">
        <f aca="false">IF($J935="","",IF($C935="",1,$C935)*IF($Q935&lt;&gt;"",$Q935,IFERROR(INDEX(Products!$D$5:$D$54,MATCH($B935,Products!$A$5:$A$54,0)),0)))</f>
        <v/>
      </c>
      <c r="M935" s="14" t="str">
        <f aca="false">IF($J935="","",$J935-$K935-N($H935)-$L935)</f>
        <v/>
      </c>
      <c r="N935" s="15" t="str">
        <f aca="false">IF($J935="","",IF($J935&gt;0,$M935/$J935,""))</f>
        <v/>
      </c>
      <c r="O935" s="12"/>
      <c r="P935" s="12"/>
      <c r="Q935" s="11"/>
      <c r="R935" s="11"/>
      <c r="S935" s="12"/>
      <c r="T935" s="16" t="str">
        <f aca="false">IF($J935="","",IF($C935="",1,$C935))</f>
        <v/>
      </c>
    </row>
    <row r="936" customFormat="false" ht="15" hidden="false" customHeight="false" outlineLevel="0" collapsed="false">
      <c r="A936" s="7"/>
      <c r="B936" s="8"/>
      <c r="C936" s="9"/>
      <c r="D936" s="10"/>
      <c r="E936" s="11"/>
      <c r="F936" s="11"/>
      <c r="G936" s="8"/>
      <c r="H936" s="11"/>
      <c r="I936" s="12"/>
      <c r="J936" s="13" t="str">
        <f aca="false">IF(OR($A936="",$D936=""),"",IF($C936="",1,$C936)*$D936+N($E936)-N($F936))</f>
        <v/>
      </c>
      <c r="K936" s="13" t="str">
        <f aca="false">IF($J936="","",IF($R936&lt;&gt;"",$R936,IF($G936="",0,MAX(IFERROR(INDEX(Settings!$D$6:$D$15,MATCH($G936,Settings!$A$6:$A$15,0)),0),$J936*IFERROR(INDEX(Settings!$B$6:$B$15,MATCH($G936,Settings!$A$6:$A$15,0)),0)+IFERROR(INDEX(Settings!$C$6:$C$15,MATCH($G936,Settings!$A$6:$A$15,0)),0)))))</f>
        <v/>
      </c>
      <c r="L936" s="13" t="str">
        <f aca="false">IF($J936="","",IF($C936="",1,$C936)*IF($Q936&lt;&gt;"",$Q936,IFERROR(INDEX(Products!$D$5:$D$54,MATCH($B936,Products!$A$5:$A$54,0)),0)))</f>
        <v/>
      </c>
      <c r="M936" s="14" t="str">
        <f aca="false">IF($J936="","",$J936-$K936-N($H936)-$L936)</f>
        <v/>
      </c>
      <c r="N936" s="15" t="str">
        <f aca="false">IF($J936="","",IF($J936&gt;0,$M936/$J936,""))</f>
        <v/>
      </c>
      <c r="O936" s="12"/>
      <c r="P936" s="12"/>
      <c r="Q936" s="11"/>
      <c r="R936" s="11"/>
      <c r="S936" s="12"/>
      <c r="T936" s="16" t="str">
        <f aca="false">IF($J936="","",IF($C936="",1,$C936))</f>
        <v/>
      </c>
    </row>
    <row r="937" customFormat="false" ht="15" hidden="false" customHeight="false" outlineLevel="0" collapsed="false">
      <c r="A937" s="7"/>
      <c r="B937" s="8"/>
      <c r="C937" s="9"/>
      <c r="D937" s="10"/>
      <c r="E937" s="11"/>
      <c r="F937" s="11"/>
      <c r="G937" s="8"/>
      <c r="H937" s="11"/>
      <c r="I937" s="12"/>
      <c r="J937" s="13" t="str">
        <f aca="false">IF(OR($A937="",$D937=""),"",IF($C937="",1,$C937)*$D937+N($E937)-N($F937))</f>
        <v/>
      </c>
      <c r="K937" s="13" t="str">
        <f aca="false">IF($J937="","",IF($R937&lt;&gt;"",$R937,IF($G937="",0,MAX(IFERROR(INDEX(Settings!$D$6:$D$15,MATCH($G937,Settings!$A$6:$A$15,0)),0),$J937*IFERROR(INDEX(Settings!$B$6:$B$15,MATCH($G937,Settings!$A$6:$A$15,0)),0)+IFERROR(INDEX(Settings!$C$6:$C$15,MATCH($G937,Settings!$A$6:$A$15,0)),0)))))</f>
        <v/>
      </c>
      <c r="L937" s="13" t="str">
        <f aca="false">IF($J937="","",IF($C937="",1,$C937)*IF($Q937&lt;&gt;"",$Q937,IFERROR(INDEX(Products!$D$5:$D$54,MATCH($B937,Products!$A$5:$A$54,0)),0)))</f>
        <v/>
      </c>
      <c r="M937" s="14" t="str">
        <f aca="false">IF($J937="","",$J937-$K937-N($H937)-$L937)</f>
        <v/>
      </c>
      <c r="N937" s="15" t="str">
        <f aca="false">IF($J937="","",IF($J937&gt;0,$M937/$J937,""))</f>
        <v/>
      </c>
      <c r="O937" s="12"/>
      <c r="P937" s="12"/>
      <c r="Q937" s="11"/>
      <c r="R937" s="11"/>
      <c r="S937" s="12"/>
      <c r="T937" s="16" t="str">
        <f aca="false">IF($J937="","",IF($C937="",1,$C937))</f>
        <v/>
      </c>
    </row>
    <row r="938" customFormat="false" ht="15" hidden="false" customHeight="false" outlineLevel="0" collapsed="false">
      <c r="A938" s="7"/>
      <c r="B938" s="8"/>
      <c r="C938" s="9"/>
      <c r="D938" s="10"/>
      <c r="E938" s="11"/>
      <c r="F938" s="11"/>
      <c r="G938" s="8"/>
      <c r="H938" s="11"/>
      <c r="I938" s="12"/>
      <c r="J938" s="13" t="str">
        <f aca="false">IF(OR($A938="",$D938=""),"",IF($C938="",1,$C938)*$D938+N($E938)-N($F938))</f>
        <v/>
      </c>
      <c r="K938" s="13" t="str">
        <f aca="false">IF($J938="","",IF($R938&lt;&gt;"",$R938,IF($G938="",0,MAX(IFERROR(INDEX(Settings!$D$6:$D$15,MATCH($G938,Settings!$A$6:$A$15,0)),0),$J938*IFERROR(INDEX(Settings!$B$6:$B$15,MATCH($G938,Settings!$A$6:$A$15,0)),0)+IFERROR(INDEX(Settings!$C$6:$C$15,MATCH($G938,Settings!$A$6:$A$15,0)),0)))))</f>
        <v/>
      </c>
      <c r="L938" s="13" t="str">
        <f aca="false">IF($J938="","",IF($C938="",1,$C938)*IF($Q938&lt;&gt;"",$Q938,IFERROR(INDEX(Products!$D$5:$D$54,MATCH($B938,Products!$A$5:$A$54,0)),0)))</f>
        <v/>
      </c>
      <c r="M938" s="14" t="str">
        <f aca="false">IF($J938="","",$J938-$K938-N($H938)-$L938)</f>
        <v/>
      </c>
      <c r="N938" s="15" t="str">
        <f aca="false">IF($J938="","",IF($J938&gt;0,$M938/$J938,""))</f>
        <v/>
      </c>
      <c r="O938" s="12"/>
      <c r="P938" s="12"/>
      <c r="Q938" s="11"/>
      <c r="R938" s="11"/>
      <c r="S938" s="12"/>
      <c r="T938" s="16" t="str">
        <f aca="false">IF($J938="","",IF($C938="",1,$C938))</f>
        <v/>
      </c>
    </row>
    <row r="939" customFormat="false" ht="15" hidden="false" customHeight="false" outlineLevel="0" collapsed="false">
      <c r="A939" s="7"/>
      <c r="B939" s="8"/>
      <c r="C939" s="9"/>
      <c r="D939" s="10"/>
      <c r="E939" s="11"/>
      <c r="F939" s="11"/>
      <c r="G939" s="8"/>
      <c r="H939" s="11"/>
      <c r="I939" s="12"/>
      <c r="J939" s="13" t="str">
        <f aca="false">IF(OR($A939="",$D939=""),"",IF($C939="",1,$C939)*$D939+N($E939)-N($F939))</f>
        <v/>
      </c>
      <c r="K939" s="13" t="str">
        <f aca="false">IF($J939="","",IF($R939&lt;&gt;"",$R939,IF($G939="",0,MAX(IFERROR(INDEX(Settings!$D$6:$D$15,MATCH($G939,Settings!$A$6:$A$15,0)),0),$J939*IFERROR(INDEX(Settings!$B$6:$B$15,MATCH($G939,Settings!$A$6:$A$15,0)),0)+IFERROR(INDEX(Settings!$C$6:$C$15,MATCH($G939,Settings!$A$6:$A$15,0)),0)))))</f>
        <v/>
      </c>
      <c r="L939" s="13" t="str">
        <f aca="false">IF($J939="","",IF($C939="",1,$C939)*IF($Q939&lt;&gt;"",$Q939,IFERROR(INDEX(Products!$D$5:$D$54,MATCH($B939,Products!$A$5:$A$54,0)),0)))</f>
        <v/>
      </c>
      <c r="M939" s="14" t="str">
        <f aca="false">IF($J939="","",$J939-$K939-N($H939)-$L939)</f>
        <v/>
      </c>
      <c r="N939" s="15" t="str">
        <f aca="false">IF($J939="","",IF($J939&gt;0,$M939/$J939,""))</f>
        <v/>
      </c>
      <c r="O939" s="12"/>
      <c r="P939" s="12"/>
      <c r="Q939" s="11"/>
      <c r="R939" s="11"/>
      <c r="S939" s="12"/>
      <c r="T939" s="16" t="str">
        <f aca="false">IF($J939="","",IF($C939="",1,$C939))</f>
        <v/>
      </c>
    </row>
    <row r="940" customFormat="false" ht="15" hidden="false" customHeight="false" outlineLevel="0" collapsed="false">
      <c r="A940" s="7"/>
      <c r="B940" s="8"/>
      <c r="C940" s="9"/>
      <c r="D940" s="10"/>
      <c r="E940" s="11"/>
      <c r="F940" s="11"/>
      <c r="G940" s="8"/>
      <c r="H940" s="11"/>
      <c r="I940" s="12"/>
      <c r="J940" s="13" t="str">
        <f aca="false">IF(OR($A940="",$D940=""),"",IF($C940="",1,$C940)*$D940+N($E940)-N($F940))</f>
        <v/>
      </c>
      <c r="K940" s="13" t="str">
        <f aca="false">IF($J940="","",IF($R940&lt;&gt;"",$R940,IF($G940="",0,MAX(IFERROR(INDEX(Settings!$D$6:$D$15,MATCH($G940,Settings!$A$6:$A$15,0)),0),$J940*IFERROR(INDEX(Settings!$B$6:$B$15,MATCH($G940,Settings!$A$6:$A$15,0)),0)+IFERROR(INDEX(Settings!$C$6:$C$15,MATCH($G940,Settings!$A$6:$A$15,0)),0)))))</f>
        <v/>
      </c>
      <c r="L940" s="13" t="str">
        <f aca="false">IF($J940="","",IF($C940="",1,$C940)*IF($Q940&lt;&gt;"",$Q940,IFERROR(INDEX(Products!$D$5:$D$54,MATCH($B940,Products!$A$5:$A$54,0)),0)))</f>
        <v/>
      </c>
      <c r="M940" s="14" t="str">
        <f aca="false">IF($J940="","",$J940-$K940-N($H940)-$L940)</f>
        <v/>
      </c>
      <c r="N940" s="15" t="str">
        <f aca="false">IF($J940="","",IF($J940&gt;0,$M940/$J940,""))</f>
        <v/>
      </c>
      <c r="O940" s="12"/>
      <c r="P940" s="12"/>
      <c r="Q940" s="11"/>
      <c r="R940" s="11"/>
      <c r="S940" s="12"/>
      <c r="T940" s="16" t="str">
        <f aca="false">IF($J940="","",IF($C940="",1,$C940))</f>
        <v/>
      </c>
    </row>
    <row r="941" customFormat="false" ht="15" hidden="false" customHeight="false" outlineLevel="0" collapsed="false">
      <c r="A941" s="7"/>
      <c r="B941" s="8"/>
      <c r="C941" s="9"/>
      <c r="D941" s="10"/>
      <c r="E941" s="11"/>
      <c r="F941" s="11"/>
      <c r="G941" s="8"/>
      <c r="H941" s="11"/>
      <c r="I941" s="12"/>
      <c r="J941" s="13" t="str">
        <f aca="false">IF(OR($A941="",$D941=""),"",IF($C941="",1,$C941)*$D941+N($E941)-N($F941))</f>
        <v/>
      </c>
      <c r="K941" s="13" t="str">
        <f aca="false">IF($J941="","",IF($R941&lt;&gt;"",$R941,IF($G941="",0,MAX(IFERROR(INDEX(Settings!$D$6:$D$15,MATCH($G941,Settings!$A$6:$A$15,0)),0),$J941*IFERROR(INDEX(Settings!$B$6:$B$15,MATCH($G941,Settings!$A$6:$A$15,0)),0)+IFERROR(INDEX(Settings!$C$6:$C$15,MATCH($G941,Settings!$A$6:$A$15,0)),0)))))</f>
        <v/>
      </c>
      <c r="L941" s="13" t="str">
        <f aca="false">IF($J941="","",IF($C941="",1,$C941)*IF($Q941&lt;&gt;"",$Q941,IFERROR(INDEX(Products!$D$5:$D$54,MATCH($B941,Products!$A$5:$A$54,0)),0)))</f>
        <v/>
      </c>
      <c r="M941" s="14" t="str">
        <f aca="false">IF($J941="","",$J941-$K941-N($H941)-$L941)</f>
        <v/>
      </c>
      <c r="N941" s="15" t="str">
        <f aca="false">IF($J941="","",IF($J941&gt;0,$M941/$J941,""))</f>
        <v/>
      </c>
      <c r="O941" s="12"/>
      <c r="P941" s="12"/>
      <c r="Q941" s="11"/>
      <c r="R941" s="11"/>
      <c r="S941" s="12"/>
      <c r="T941" s="16" t="str">
        <f aca="false">IF($J941="","",IF($C941="",1,$C941))</f>
        <v/>
      </c>
    </row>
    <row r="942" customFormat="false" ht="15" hidden="false" customHeight="false" outlineLevel="0" collapsed="false">
      <c r="A942" s="7"/>
      <c r="B942" s="8"/>
      <c r="C942" s="9"/>
      <c r="D942" s="10"/>
      <c r="E942" s="11"/>
      <c r="F942" s="11"/>
      <c r="G942" s="8"/>
      <c r="H942" s="11"/>
      <c r="I942" s="12"/>
      <c r="J942" s="13" t="str">
        <f aca="false">IF(OR($A942="",$D942=""),"",IF($C942="",1,$C942)*$D942+N($E942)-N($F942))</f>
        <v/>
      </c>
      <c r="K942" s="13" t="str">
        <f aca="false">IF($J942="","",IF($R942&lt;&gt;"",$R942,IF($G942="",0,MAX(IFERROR(INDEX(Settings!$D$6:$D$15,MATCH($G942,Settings!$A$6:$A$15,0)),0),$J942*IFERROR(INDEX(Settings!$B$6:$B$15,MATCH($G942,Settings!$A$6:$A$15,0)),0)+IFERROR(INDEX(Settings!$C$6:$C$15,MATCH($G942,Settings!$A$6:$A$15,0)),0)))))</f>
        <v/>
      </c>
      <c r="L942" s="13" t="str">
        <f aca="false">IF($J942="","",IF($C942="",1,$C942)*IF($Q942&lt;&gt;"",$Q942,IFERROR(INDEX(Products!$D$5:$D$54,MATCH($B942,Products!$A$5:$A$54,0)),0)))</f>
        <v/>
      </c>
      <c r="M942" s="14" t="str">
        <f aca="false">IF($J942="","",$J942-$K942-N($H942)-$L942)</f>
        <v/>
      </c>
      <c r="N942" s="15" t="str">
        <f aca="false">IF($J942="","",IF($J942&gt;0,$M942/$J942,""))</f>
        <v/>
      </c>
      <c r="O942" s="12"/>
      <c r="P942" s="12"/>
      <c r="Q942" s="11"/>
      <c r="R942" s="11"/>
      <c r="S942" s="12"/>
      <c r="T942" s="16" t="str">
        <f aca="false">IF($J942="","",IF($C942="",1,$C942))</f>
        <v/>
      </c>
    </row>
    <row r="943" customFormat="false" ht="15" hidden="false" customHeight="false" outlineLevel="0" collapsed="false">
      <c r="A943" s="7"/>
      <c r="B943" s="8"/>
      <c r="C943" s="9"/>
      <c r="D943" s="10"/>
      <c r="E943" s="11"/>
      <c r="F943" s="11"/>
      <c r="G943" s="8"/>
      <c r="H943" s="11"/>
      <c r="I943" s="12"/>
      <c r="J943" s="13" t="str">
        <f aca="false">IF(OR($A943="",$D943=""),"",IF($C943="",1,$C943)*$D943+N($E943)-N($F943))</f>
        <v/>
      </c>
      <c r="K943" s="13" t="str">
        <f aca="false">IF($J943="","",IF($R943&lt;&gt;"",$R943,IF($G943="",0,MAX(IFERROR(INDEX(Settings!$D$6:$D$15,MATCH($G943,Settings!$A$6:$A$15,0)),0),$J943*IFERROR(INDEX(Settings!$B$6:$B$15,MATCH($G943,Settings!$A$6:$A$15,0)),0)+IFERROR(INDEX(Settings!$C$6:$C$15,MATCH($G943,Settings!$A$6:$A$15,0)),0)))))</f>
        <v/>
      </c>
      <c r="L943" s="13" t="str">
        <f aca="false">IF($J943="","",IF($C943="",1,$C943)*IF($Q943&lt;&gt;"",$Q943,IFERROR(INDEX(Products!$D$5:$D$54,MATCH($B943,Products!$A$5:$A$54,0)),0)))</f>
        <v/>
      </c>
      <c r="M943" s="14" t="str">
        <f aca="false">IF($J943="","",$J943-$K943-N($H943)-$L943)</f>
        <v/>
      </c>
      <c r="N943" s="15" t="str">
        <f aca="false">IF($J943="","",IF($J943&gt;0,$M943/$J943,""))</f>
        <v/>
      </c>
      <c r="O943" s="12"/>
      <c r="P943" s="12"/>
      <c r="Q943" s="11"/>
      <c r="R943" s="11"/>
      <c r="S943" s="12"/>
      <c r="T943" s="16" t="str">
        <f aca="false">IF($J943="","",IF($C943="",1,$C943))</f>
        <v/>
      </c>
    </row>
    <row r="944" customFormat="false" ht="15" hidden="false" customHeight="false" outlineLevel="0" collapsed="false">
      <c r="A944" s="7"/>
      <c r="B944" s="8"/>
      <c r="C944" s="9"/>
      <c r="D944" s="10"/>
      <c r="E944" s="11"/>
      <c r="F944" s="11"/>
      <c r="G944" s="8"/>
      <c r="H944" s="11"/>
      <c r="I944" s="12"/>
      <c r="J944" s="13" t="str">
        <f aca="false">IF(OR($A944="",$D944=""),"",IF($C944="",1,$C944)*$D944+N($E944)-N($F944))</f>
        <v/>
      </c>
      <c r="K944" s="13" t="str">
        <f aca="false">IF($J944="","",IF($R944&lt;&gt;"",$R944,IF($G944="",0,MAX(IFERROR(INDEX(Settings!$D$6:$D$15,MATCH($G944,Settings!$A$6:$A$15,0)),0),$J944*IFERROR(INDEX(Settings!$B$6:$B$15,MATCH($G944,Settings!$A$6:$A$15,0)),0)+IFERROR(INDEX(Settings!$C$6:$C$15,MATCH($G944,Settings!$A$6:$A$15,0)),0)))))</f>
        <v/>
      </c>
      <c r="L944" s="13" t="str">
        <f aca="false">IF($J944="","",IF($C944="",1,$C944)*IF($Q944&lt;&gt;"",$Q944,IFERROR(INDEX(Products!$D$5:$D$54,MATCH($B944,Products!$A$5:$A$54,0)),0)))</f>
        <v/>
      </c>
      <c r="M944" s="14" t="str">
        <f aca="false">IF($J944="","",$J944-$K944-N($H944)-$L944)</f>
        <v/>
      </c>
      <c r="N944" s="15" t="str">
        <f aca="false">IF($J944="","",IF($J944&gt;0,$M944/$J944,""))</f>
        <v/>
      </c>
      <c r="O944" s="12"/>
      <c r="P944" s="12"/>
      <c r="Q944" s="11"/>
      <c r="R944" s="11"/>
      <c r="S944" s="12"/>
      <c r="T944" s="16" t="str">
        <f aca="false">IF($J944="","",IF($C944="",1,$C944))</f>
        <v/>
      </c>
    </row>
    <row r="945" customFormat="false" ht="15" hidden="false" customHeight="false" outlineLevel="0" collapsed="false">
      <c r="A945" s="7"/>
      <c r="B945" s="8"/>
      <c r="C945" s="9"/>
      <c r="D945" s="10"/>
      <c r="E945" s="11"/>
      <c r="F945" s="11"/>
      <c r="G945" s="8"/>
      <c r="H945" s="11"/>
      <c r="I945" s="12"/>
      <c r="J945" s="13" t="str">
        <f aca="false">IF(OR($A945="",$D945=""),"",IF($C945="",1,$C945)*$D945+N($E945)-N($F945))</f>
        <v/>
      </c>
      <c r="K945" s="13" t="str">
        <f aca="false">IF($J945="","",IF($R945&lt;&gt;"",$R945,IF($G945="",0,MAX(IFERROR(INDEX(Settings!$D$6:$D$15,MATCH($G945,Settings!$A$6:$A$15,0)),0),$J945*IFERROR(INDEX(Settings!$B$6:$B$15,MATCH($G945,Settings!$A$6:$A$15,0)),0)+IFERROR(INDEX(Settings!$C$6:$C$15,MATCH($G945,Settings!$A$6:$A$15,0)),0)))))</f>
        <v/>
      </c>
      <c r="L945" s="13" t="str">
        <f aca="false">IF($J945="","",IF($C945="",1,$C945)*IF($Q945&lt;&gt;"",$Q945,IFERROR(INDEX(Products!$D$5:$D$54,MATCH($B945,Products!$A$5:$A$54,0)),0)))</f>
        <v/>
      </c>
      <c r="M945" s="14" t="str">
        <f aca="false">IF($J945="","",$J945-$K945-N($H945)-$L945)</f>
        <v/>
      </c>
      <c r="N945" s="15" t="str">
        <f aca="false">IF($J945="","",IF($J945&gt;0,$M945/$J945,""))</f>
        <v/>
      </c>
      <c r="O945" s="12"/>
      <c r="P945" s="12"/>
      <c r="Q945" s="11"/>
      <c r="R945" s="11"/>
      <c r="S945" s="12"/>
      <c r="T945" s="16" t="str">
        <f aca="false">IF($J945="","",IF($C945="",1,$C945))</f>
        <v/>
      </c>
    </row>
    <row r="946" customFormat="false" ht="15" hidden="false" customHeight="false" outlineLevel="0" collapsed="false">
      <c r="A946" s="7"/>
      <c r="B946" s="8"/>
      <c r="C946" s="9"/>
      <c r="D946" s="10"/>
      <c r="E946" s="11"/>
      <c r="F946" s="11"/>
      <c r="G946" s="8"/>
      <c r="H946" s="11"/>
      <c r="I946" s="12"/>
      <c r="J946" s="13" t="str">
        <f aca="false">IF(OR($A946="",$D946=""),"",IF($C946="",1,$C946)*$D946+N($E946)-N($F946))</f>
        <v/>
      </c>
      <c r="K946" s="13" t="str">
        <f aca="false">IF($J946="","",IF($R946&lt;&gt;"",$R946,IF($G946="",0,MAX(IFERROR(INDEX(Settings!$D$6:$D$15,MATCH($G946,Settings!$A$6:$A$15,0)),0),$J946*IFERROR(INDEX(Settings!$B$6:$B$15,MATCH($G946,Settings!$A$6:$A$15,0)),0)+IFERROR(INDEX(Settings!$C$6:$C$15,MATCH($G946,Settings!$A$6:$A$15,0)),0)))))</f>
        <v/>
      </c>
      <c r="L946" s="13" t="str">
        <f aca="false">IF($J946="","",IF($C946="",1,$C946)*IF($Q946&lt;&gt;"",$Q946,IFERROR(INDEX(Products!$D$5:$D$54,MATCH($B946,Products!$A$5:$A$54,0)),0)))</f>
        <v/>
      </c>
      <c r="M946" s="14" t="str">
        <f aca="false">IF($J946="","",$J946-$K946-N($H946)-$L946)</f>
        <v/>
      </c>
      <c r="N946" s="15" t="str">
        <f aca="false">IF($J946="","",IF($J946&gt;0,$M946/$J946,""))</f>
        <v/>
      </c>
      <c r="O946" s="12"/>
      <c r="P946" s="12"/>
      <c r="Q946" s="11"/>
      <c r="R946" s="11"/>
      <c r="S946" s="12"/>
      <c r="T946" s="16" t="str">
        <f aca="false">IF($J946="","",IF($C946="",1,$C946))</f>
        <v/>
      </c>
    </row>
    <row r="947" customFormat="false" ht="15" hidden="false" customHeight="false" outlineLevel="0" collapsed="false">
      <c r="A947" s="7"/>
      <c r="B947" s="8"/>
      <c r="C947" s="9"/>
      <c r="D947" s="10"/>
      <c r="E947" s="11"/>
      <c r="F947" s="11"/>
      <c r="G947" s="8"/>
      <c r="H947" s="11"/>
      <c r="I947" s="12"/>
      <c r="J947" s="13" t="str">
        <f aca="false">IF(OR($A947="",$D947=""),"",IF($C947="",1,$C947)*$D947+N($E947)-N($F947))</f>
        <v/>
      </c>
      <c r="K947" s="13" t="str">
        <f aca="false">IF($J947="","",IF($R947&lt;&gt;"",$R947,IF($G947="",0,MAX(IFERROR(INDEX(Settings!$D$6:$D$15,MATCH($G947,Settings!$A$6:$A$15,0)),0),$J947*IFERROR(INDEX(Settings!$B$6:$B$15,MATCH($G947,Settings!$A$6:$A$15,0)),0)+IFERROR(INDEX(Settings!$C$6:$C$15,MATCH($G947,Settings!$A$6:$A$15,0)),0)))))</f>
        <v/>
      </c>
      <c r="L947" s="13" t="str">
        <f aca="false">IF($J947="","",IF($C947="",1,$C947)*IF($Q947&lt;&gt;"",$Q947,IFERROR(INDEX(Products!$D$5:$D$54,MATCH($B947,Products!$A$5:$A$54,0)),0)))</f>
        <v/>
      </c>
      <c r="M947" s="14" t="str">
        <f aca="false">IF($J947="","",$J947-$K947-N($H947)-$L947)</f>
        <v/>
      </c>
      <c r="N947" s="15" t="str">
        <f aca="false">IF($J947="","",IF($J947&gt;0,$M947/$J947,""))</f>
        <v/>
      </c>
      <c r="O947" s="12"/>
      <c r="P947" s="12"/>
      <c r="Q947" s="11"/>
      <c r="R947" s="11"/>
      <c r="S947" s="12"/>
      <c r="T947" s="16" t="str">
        <f aca="false">IF($J947="","",IF($C947="",1,$C947))</f>
        <v/>
      </c>
    </row>
    <row r="948" customFormat="false" ht="15" hidden="false" customHeight="false" outlineLevel="0" collapsed="false">
      <c r="A948" s="7"/>
      <c r="B948" s="8"/>
      <c r="C948" s="9"/>
      <c r="D948" s="10"/>
      <c r="E948" s="11"/>
      <c r="F948" s="11"/>
      <c r="G948" s="8"/>
      <c r="H948" s="11"/>
      <c r="I948" s="12"/>
      <c r="J948" s="13" t="str">
        <f aca="false">IF(OR($A948="",$D948=""),"",IF($C948="",1,$C948)*$D948+N($E948)-N($F948))</f>
        <v/>
      </c>
      <c r="K948" s="13" t="str">
        <f aca="false">IF($J948="","",IF($R948&lt;&gt;"",$R948,IF($G948="",0,MAX(IFERROR(INDEX(Settings!$D$6:$D$15,MATCH($G948,Settings!$A$6:$A$15,0)),0),$J948*IFERROR(INDEX(Settings!$B$6:$B$15,MATCH($G948,Settings!$A$6:$A$15,0)),0)+IFERROR(INDEX(Settings!$C$6:$C$15,MATCH($G948,Settings!$A$6:$A$15,0)),0)))))</f>
        <v/>
      </c>
      <c r="L948" s="13" t="str">
        <f aca="false">IF($J948="","",IF($C948="",1,$C948)*IF($Q948&lt;&gt;"",$Q948,IFERROR(INDEX(Products!$D$5:$D$54,MATCH($B948,Products!$A$5:$A$54,0)),0)))</f>
        <v/>
      </c>
      <c r="M948" s="14" t="str">
        <f aca="false">IF($J948="","",$J948-$K948-N($H948)-$L948)</f>
        <v/>
      </c>
      <c r="N948" s="15" t="str">
        <f aca="false">IF($J948="","",IF($J948&gt;0,$M948/$J948,""))</f>
        <v/>
      </c>
      <c r="O948" s="12"/>
      <c r="P948" s="12"/>
      <c r="Q948" s="11"/>
      <c r="R948" s="11"/>
      <c r="S948" s="12"/>
      <c r="T948" s="16" t="str">
        <f aca="false">IF($J948="","",IF($C948="",1,$C948))</f>
        <v/>
      </c>
    </row>
    <row r="949" customFormat="false" ht="15" hidden="false" customHeight="false" outlineLevel="0" collapsed="false">
      <c r="A949" s="7"/>
      <c r="B949" s="8"/>
      <c r="C949" s="9"/>
      <c r="D949" s="10"/>
      <c r="E949" s="11"/>
      <c r="F949" s="11"/>
      <c r="G949" s="8"/>
      <c r="H949" s="11"/>
      <c r="I949" s="12"/>
      <c r="J949" s="13" t="str">
        <f aca="false">IF(OR($A949="",$D949=""),"",IF($C949="",1,$C949)*$D949+N($E949)-N($F949))</f>
        <v/>
      </c>
      <c r="K949" s="13" t="str">
        <f aca="false">IF($J949="","",IF($R949&lt;&gt;"",$R949,IF($G949="",0,MAX(IFERROR(INDEX(Settings!$D$6:$D$15,MATCH($G949,Settings!$A$6:$A$15,0)),0),$J949*IFERROR(INDEX(Settings!$B$6:$B$15,MATCH($G949,Settings!$A$6:$A$15,0)),0)+IFERROR(INDEX(Settings!$C$6:$C$15,MATCH($G949,Settings!$A$6:$A$15,0)),0)))))</f>
        <v/>
      </c>
      <c r="L949" s="13" t="str">
        <f aca="false">IF($J949="","",IF($C949="",1,$C949)*IF($Q949&lt;&gt;"",$Q949,IFERROR(INDEX(Products!$D$5:$D$54,MATCH($B949,Products!$A$5:$A$54,0)),0)))</f>
        <v/>
      </c>
      <c r="M949" s="14" t="str">
        <f aca="false">IF($J949="","",$J949-$K949-N($H949)-$L949)</f>
        <v/>
      </c>
      <c r="N949" s="15" t="str">
        <f aca="false">IF($J949="","",IF($J949&gt;0,$M949/$J949,""))</f>
        <v/>
      </c>
      <c r="O949" s="12"/>
      <c r="P949" s="12"/>
      <c r="Q949" s="11"/>
      <c r="R949" s="11"/>
      <c r="S949" s="12"/>
      <c r="T949" s="16" t="str">
        <f aca="false">IF($J949="","",IF($C949="",1,$C949))</f>
        <v/>
      </c>
    </row>
    <row r="950" customFormat="false" ht="15" hidden="false" customHeight="false" outlineLevel="0" collapsed="false">
      <c r="A950" s="7"/>
      <c r="B950" s="8"/>
      <c r="C950" s="9"/>
      <c r="D950" s="10"/>
      <c r="E950" s="11"/>
      <c r="F950" s="11"/>
      <c r="G950" s="8"/>
      <c r="H950" s="11"/>
      <c r="I950" s="12"/>
      <c r="J950" s="13" t="str">
        <f aca="false">IF(OR($A950="",$D950=""),"",IF($C950="",1,$C950)*$D950+N($E950)-N($F950))</f>
        <v/>
      </c>
      <c r="K950" s="13" t="str">
        <f aca="false">IF($J950="","",IF($R950&lt;&gt;"",$R950,IF($G950="",0,MAX(IFERROR(INDEX(Settings!$D$6:$D$15,MATCH($G950,Settings!$A$6:$A$15,0)),0),$J950*IFERROR(INDEX(Settings!$B$6:$B$15,MATCH($G950,Settings!$A$6:$A$15,0)),0)+IFERROR(INDEX(Settings!$C$6:$C$15,MATCH($G950,Settings!$A$6:$A$15,0)),0)))))</f>
        <v/>
      </c>
      <c r="L950" s="13" t="str">
        <f aca="false">IF($J950="","",IF($C950="",1,$C950)*IF($Q950&lt;&gt;"",$Q950,IFERROR(INDEX(Products!$D$5:$D$54,MATCH($B950,Products!$A$5:$A$54,0)),0)))</f>
        <v/>
      </c>
      <c r="M950" s="14" t="str">
        <f aca="false">IF($J950="","",$J950-$K950-N($H950)-$L950)</f>
        <v/>
      </c>
      <c r="N950" s="15" t="str">
        <f aca="false">IF($J950="","",IF($J950&gt;0,$M950/$J950,""))</f>
        <v/>
      </c>
      <c r="O950" s="12"/>
      <c r="P950" s="12"/>
      <c r="Q950" s="11"/>
      <c r="R950" s="11"/>
      <c r="S950" s="12"/>
      <c r="T950" s="16" t="str">
        <f aca="false">IF($J950="","",IF($C950="",1,$C950))</f>
        <v/>
      </c>
    </row>
    <row r="951" customFormat="false" ht="15" hidden="false" customHeight="false" outlineLevel="0" collapsed="false">
      <c r="A951" s="7"/>
      <c r="B951" s="8"/>
      <c r="C951" s="9"/>
      <c r="D951" s="10"/>
      <c r="E951" s="11"/>
      <c r="F951" s="11"/>
      <c r="G951" s="8"/>
      <c r="H951" s="11"/>
      <c r="I951" s="12"/>
      <c r="J951" s="13" t="str">
        <f aca="false">IF(OR($A951="",$D951=""),"",IF($C951="",1,$C951)*$D951+N($E951)-N($F951))</f>
        <v/>
      </c>
      <c r="K951" s="13" t="str">
        <f aca="false">IF($J951="","",IF($R951&lt;&gt;"",$R951,IF($G951="",0,MAX(IFERROR(INDEX(Settings!$D$6:$D$15,MATCH($G951,Settings!$A$6:$A$15,0)),0),$J951*IFERROR(INDEX(Settings!$B$6:$B$15,MATCH($G951,Settings!$A$6:$A$15,0)),0)+IFERROR(INDEX(Settings!$C$6:$C$15,MATCH($G951,Settings!$A$6:$A$15,0)),0)))))</f>
        <v/>
      </c>
      <c r="L951" s="13" t="str">
        <f aca="false">IF($J951="","",IF($C951="",1,$C951)*IF($Q951&lt;&gt;"",$Q951,IFERROR(INDEX(Products!$D$5:$D$54,MATCH($B951,Products!$A$5:$A$54,0)),0)))</f>
        <v/>
      </c>
      <c r="M951" s="14" t="str">
        <f aca="false">IF($J951="","",$J951-$K951-N($H951)-$L951)</f>
        <v/>
      </c>
      <c r="N951" s="15" t="str">
        <f aca="false">IF($J951="","",IF($J951&gt;0,$M951/$J951,""))</f>
        <v/>
      </c>
      <c r="O951" s="12"/>
      <c r="P951" s="12"/>
      <c r="Q951" s="11"/>
      <c r="R951" s="11"/>
      <c r="S951" s="12"/>
      <c r="T951" s="16" t="str">
        <f aca="false">IF($J951="","",IF($C951="",1,$C951))</f>
        <v/>
      </c>
    </row>
    <row r="952" customFormat="false" ht="15" hidden="false" customHeight="false" outlineLevel="0" collapsed="false">
      <c r="A952" s="7"/>
      <c r="B952" s="8"/>
      <c r="C952" s="9"/>
      <c r="D952" s="10"/>
      <c r="E952" s="11"/>
      <c r="F952" s="11"/>
      <c r="G952" s="8"/>
      <c r="H952" s="11"/>
      <c r="I952" s="12"/>
      <c r="J952" s="13" t="str">
        <f aca="false">IF(OR($A952="",$D952=""),"",IF($C952="",1,$C952)*$D952+N($E952)-N($F952))</f>
        <v/>
      </c>
      <c r="K952" s="13" t="str">
        <f aca="false">IF($J952="","",IF($R952&lt;&gt;"",$R952,IF($G952="",0,MAX(IFERROR(INDEX(Settings!$D$6:$D$15,MATCH($G952,Settings!$A$6:$A$15,0)),0),$J952*IFERROR(INDEX(Settings!$B$6:$B$15,MATCH($G952,Settings!$A$6:$A$15,0)),0)+IFERROR(INDEX(Settings!$C$6:$C$15,MATCH($G952,Settings!$A$6:$A$15,0)),0)))))</f>
        <v/>
      </c>
      <c r="L952" s="13" t="str">
        <f aca="false">IF($J952="","",IF($C952="",1,$C952)*IF($Q952&lt;&gt;"",$Q952,IFERROR(INDEX(Products!$D$5:$D$54,MATCH($B952,Products!$A$5:$A$54,0)),0)))</f>
        <v/>
      </c>
      <c r="M952" s="14" t="str">
        <f aca="false">IF($J952="","",$J952-$K952-N($H952)-$L952)</f>
        <v/>
      </c>
      <c r="N952" s="15" t="str">
        <f aca="false">IF($J952="","",IF($J952&gt;0,$M952/$J952,""))</f>
        <v/>
      </c>
      <c r="O952" s="12"/>
      <c r="P952" s="12"/>
      <c r="Q952" s="11"/>
      <c r="R952" s="11"/>
      <c r="S952" s="12"/>
      <c r="T952" s="16" t="str">
        <f aca="false">IF($J952="","",IF($C952="",1,$C952))</f>
        <v/>
      </c>
    </row>
    <row r="953" customFormat="false" ht="15" hidden="false" customHeight="false" outlineLevel="0" collapsed="false">
      <c r="A953" s="7"/>
      <c r="B953" s="8"/>
      <c r="C953" s="9"/>
      <c r="D953" s="10"/>
      <c r="E953" s="11"/>
      <c r="F953" s="11"/>
      <c r="G953" s="8"/>
      <c r="H953" s="11"/>
      <c r="I953" s="12"/>
      <c r="J953" s="13" t="str">
        <f aca="false">IF(OR($A953="",$D953=""),"",IF($C953="",1,$C953)*$D953+N($E953)-N($F953))</f>
        <v/>
      </c>
      <c r="K953" s="13" t="str">
        <f aca="false">IF($J953="","",IF($R953&lt;&gt;"",$R953,IF($G953="",0,MAX(IFERROR(INDEX(Settings!$D$6:$D$15,MATCH($G953,Settings!$A$6:$A$15,0)),0),$J953*IFERROR(INDEX(Settings!$B$6:$B$15,MATCH($G953,Settings!$A$6:$A$15,0)),0)+IFERROR(INDEX(Settings!$C$6:$C$15,MATCH($G953,Settings!$A$6:$A$15,0)),0)))))</f>
        <v/>
      </c>
      <c r="L953" s="13" t="str">
        <f aca="false">IF($J953="","",IF($C953="",1,$C953)*IF($Q953&lt;&gt;"",$Q953,IFERROR(INDEX(Products!$D$5:$D$54,MATCH($B953,Products!$A$5:$A$54,0)),0)))</f>
        <v/>
      </c>
      <c r="M953" s="14" t="str">
        <f aca="false">IF($J953="","",$J953-$K953-N($H953)-$L953)</f>
        <v/>
      </c>
      <c r="N953" s="15" t="str">
        <f aca="false">IF($J953="","",IF($J953&gt;0,$M953/$J953,""))</f>
        <v/>
      </c>
      <c r="O953" s="12"/>
      <c r="P953" s="12"/>
      <c r="Q953" s="11"/>
      <c r="R953" s="11"/>
      <c r="S953" s="12"/>
      <c r="T953" s="16" t="str">
        <f aca="false">IF($J953="","",IF($C953="",1,$C953))</f>
        <v/>
      </c>
    </row>
    <row r="954" customFormat="false" ht="15" hidden="false" customHeight="false" outlineLevel="0" collapsed="false">
      <c r="A954" s="7"/>
      <c r="B954" s="8"/>
      <c r="C954" s="9"/>
      <c r="D954" s="10"/>
      <c r="E954" s="11"/>
      <c r="F954" s="11"/>
      <c r="G954" s="8"/>
      <c r="H954" s="11"/>
      <c r="I954" s="12"/>
      <c r="J954" s="13" t="str">
        <f aca="false">IF(OR($A954="",$D954=""),"",IF($C954="",1,$C954)*$D954+N($E954)-N($F954))</f>
        <v/>
      </c>
      <c r="K954" s="13" t="str">
        <f aca="false">IF($J954="","",IF($R954&lt;&gt;"",$R954,IF($G954="",0,MAX(IFERROR(INDEX(Settings!$D$6:$D$15,MATCH($G954,Settings!$A$6:$A$15,0)),0),$J954*IFERROR(INDEX(Settings!$B$6:$B$15,MATCH($G954,Settings!$A$6:$A$15,0)),0)+IFERROR(INDEX(Settings!$C$6:$C$15,MATCH($G954,Settings!$A$6:$A$15,0)),0)))))</f>
        <v/>
      </c>
      <c r="L954" s="13" t="str">
        <f aca="false">IF($J954="","",IF($C954="",1,$C954)*IF($Q954&lt;&gt;"",$Q954,IFERROR(INDEX(Products!$D$5:$D$54,MATCH($B954,Products!$A$5:$A$54,0)),0)))</f>
        <v/>
      </c>
      <c r="M954" s="14" t="str">
        <f aca="false">IF($J954="","",$J954-$K954-N($H954)-$L954)</f>
        <v/>
      </c>
      <c r="N954" s="15" t="str">
        <f aca="false">IF($J954="","",IF($J954&gt;0,$M954/$J954,""))</f>
        <v/>
      </c>
      <c r="O954" s="12"/>
      <c r="P954" s="12"/>
      <c r="Q954" s="11"/>
      <c r="R954" s="11"/>
      <c r="S954" s="12"/>
      <c r="T954" s="16" t="str">
        <f aca="false">IF($J954="","",IF($C954="",1,$C954))</f>
        <v/>
      </c>
    </row>
    <row r="955" customFormat="false" ht="15" hidden="false" customHeight="false" outlineLevel="0" collapsed="false">
      <c r="A955" s="7"/>
      <c r="B955" s="8"/>
      <c r="C955" s="9"/>
      <c r="D955" s="10"/>
      <c r="E955" s="11"/>
      <c r="F955" s="11"/>
      <c r="G955" s="8"/>
      <c r="H955" s="11"/>
      <c r="I955" s="12"/>
      <c r="J955" s="13" t="str">
        <f aca="false">IF(OR($A955="",$D955=""),"",IF($C955="",1,$C955)*$D955+N($E955)-N($F955))</f>
        <v/>
      </c>
      <c r="K955" s="13" t="str">
        <f aca="false">IF($J955="","",IF($R955&lt;&gt;"",$R955,IF($G955="",0,MAX(IFERROR(INDEX(Settings!$D$6:$D$15,MATCH($G955,Settings!$A$6:$A$15,0)),0),$J955*IFERROR(INDEX(Settings!$B$6:$B$15,MATCH($G955,Settings!$A$6:$A$15,0)),0)+IFERROR(INDEX(Settings!$C$6:$C$15,MATCH($G955,Settings!$A$6:$A$15,0)),0)))))</f>
        <v/>
      </c>
      <c r="L955" s="13" t="str">
        <f aca="false">IF($J955="","",IF($C955="",1,$C955)*IF($Q955&lt;&gt;"",$Q955,IFERROR(INDEX(Products!$D$5:$D$54,MATCH($B955,Products!$A$5:$A$54,0)),0)))</f>
        <v/>
      </c>
      <c r="M955" s="14" t="str">
        <f aca="false">IF($J955="","",$J955-$K955-N($H955)-$L955)</f>
        <v/>
      </c>
      <c r="N955" s="15" t="str">
        <f aca="false">IF($J955="","",IF($J955&gt;0,$M955/$J955,""))</f>
        <v/>
      </c>
      <c r="O955" s="12"/>
      <c r="P955" s="12"/>
      <c r="Q955" s="11"/>
      <c r="R955" s="11"/>
      <c r="S955" s="12"/>
      <c r="T955" s="16" t="str">
        <f aca="false">IF($J955="","",IF($C955="",1,$C955))</f>
        <v/>
      </c>
    </row>
    <row r="956" customFormat="false" ht="15" hidden="false" customHeight="false" outlineLevel="0" collapsed="false">
      <c r="A956" s="7"/>
      <c r="B956" s="8"/>
      <c r="C956" s="9"/>
      <c r="D956" s="10"/>
      <c r="E956" s="11"/>
      <c r="F956" s="11"/>
      <c r="G956" s="8"/>
      <c r="H956" s="11"/>
      <c r="I956" s="12"/>
      <c r="J956" s="13" t="str">
        <f aca="false">IF(OR($A956="",$D956=""),"",IF($C956="",1,$C956)*$D956+N($E956)-N($F956))</f>
        <v/>
      </c>
      <c r="K956" s="13" t="str">
        <f aca="false">IF($J956="","",IF($R956&lt;&gt;"",$R956,IF($G956="",0,MAX(IFERROR(INDEX(Settings!$D$6:$D$15,MATCH($G956,Settings!$A$6:$A$15,0)),0),$J956*IFERROR(INDEX(Settings!$B$6:$B$15,MATCH($G956,Settings!$A$6:$A$15,0)),0)+IFERROR(INDEX(Settings!$C$6:$C$15,MATCH($G956,Settings!$A$6:$A$15,0)),0)))))</f>
        <v/>
      </c>
      <c r="L956" s="13" t="str">
        <f aca="false">IF($J956="","",IF($C956="",1,$C956)*IF($Q956&lt;&gt;"",$Q956,IFERROR(INDEX(Products!$D$5:$D$54,MATCH($B956,Products!$A$5:$A$54,0)),0)))</f>
        <v/>
      </c>
      <c r="M956" s="14" t="str">
        <f aca="false">IF($J956="","",$J956-$K956-N($H956)-$L956)</f>
        <v/>
      </c>
      <c r="N956" s="15" t="str">
        <f aca="false">IF($J956="","",IF($J956&gt;0,$M956/$J956,""))</f>
        <v/>
      </c>
      <c r="O956" s="12"/>
      <c r="P956" s="12"/>
      <c r="Q956" s="11"/>
      <c r="R956" s="11"/>
      <c r="S956" s="12"/>
      <c r="T956" s="16" t="str">
        <f aca="false">IF($J956="","",IF($C956="",1,$C956))</f>
        <v/>
      </c>
    </row>
    <row r="957" customFormat="false" ht="15" hidden="false" customHeight="false" outlineLevel="0" collapsed="false">
      <c r="A957" s="7"/>
      <c r="B957" s="8"/>
      <c r="C957" s="9"/>
      <c r="D957" s="10"/>
      <c r="E957" s="11"/>
      <c r="F957" s="11"/>
      <c r="G957" s="8"/>
      <c r="H957" s="11"/>
      <c r="I957" s="12"/>
      <c r="J957" s="13" t="str">
        <f aca="false">IF(OR($A957="",$D957=""),"",IF($C957="",1,$C957)*$D957+N($E957)-N($F957))</f>
        <v/>
      </c>
      <c r="K957" s="13" t="str">
        <f aca="false">IF($J957="","",IF($R957&lt;&gt;"",$R957,IF($G957="",0,MAX(IFERROR(INDEX(Settings!$D$6:$D$15,MATCH($G957,Settings!$A$6:$A$15,0)),0),$J957*IFERROR(INDEX(Settings!$B$6:$B$15,MATCH($G957,Settings!$A$6:$A$15,0)),0)+IFERROR(INDEX(Settings!$C$6:$C$15,MATCH($G957,Settings!$A$6:$A$15,0)),0)))))</f>
        <v/>
      </c>
      <c r="L957" s="13" t="str">
        <f aca="false">IF($J957="","",IF($C957="",1,$C957)*IF($Q957&lt;&gt;"",$Q957,IFERROR(INDEX(Products!$D$5:$D$54,MATCH($B957,Products!$A$5:$A$54,0)),0)))</f>
        <v/>
      </c>
      <c r="M957" s="14" t="str">
        <f aca="false">IF($J957="","",$J957-$K957-N($H957)-$L957)</f>
        <v/>
      </c>
      <c r="N957" s="15" t="str">
        <f aca="false">IF($J957="","",IF($J957&gt;0,$M957/$J957,""))</f>
        <v/>
      </c>
      <c r="O957" s="12"/>
      <c r="P957" s="12"/>
      <c r="Q957" s="11"/>
      <c r="R957" s="11"/>
      <c r="S957" s="12"/>
      <c r="T957" s="16" t="str">
        <f aca="false">IF($J957="","",IF($C957="",1,$C957))</f>
        <v/>
      </c>
    </row>
    <row r="958" customFormat="false" ht="15" hidden="false" customHeight="false" outlineLevel="0" collapsed="false">
      <c r="A958" s="7"/>
      <c r="B958" s="8"/>
      <c r="C958" s="9"/>
      <c r="D958" s="10"/>
      <c r="E958" s="11"/>
      <c r="F958" s="11"/>
      <c r="G958" s="8"/>
      <c r="H958" s="11"/>
      <c r="I958" s="12"/>
      <c r="J958" s="13" t="str">
        <f aca="false">IF(OR($A958="",$D958=""),"",IF($C958="",1,$C958)*$D958+N($E958)-N($F958))</f>
        <v/>
      </c>
      <c r="K958" s="13" t="str">
        <f aca="false">IF($J958="","",IF($R958&lt;&gt;"",$R958,IF($G958="",0,MAX(IFERROR(INDEX(Settings!$D$6:$D$15,MATCH($G958,Settings!$A$6:$A$15,0)),0),$J958*IFERROR(INDEX(Settings!$B$6:$B$15,MATCH($G958,Settings!$A$6:$A$15,0)),0)+IFERROR(INDEX(Settings!$C$6:$C$15,MATCH($G958,Settings!$A$6:$A$15,0)),0)))))</f>
        <v/>
      </c>
      <c r="L958" s="13" t="str">
        <f aca="false">IF($J958="","",IF($C958="",1,$C958)*IF($Q958&lt;&gt;"",$Q958,IFERROR(INDEX(Products!$D$5:$D$54,MATCH($B958,Products!$A$5:$A$54,0)),0)))</f>
        <v/>
      </c>
      <c r="M958" s="14" t="str">
        <f aca="false">IF($J958="","",$J958-$K958-N($H958)-$L958)</f>
        <v/>
      </c>
      <c r="N958" s="15" t="str">
        <f aca="false">IF($J958="","",IF($J958&gt;0,$M958/$J958,""))</f>
        <v/>
      </c>
      <c r="O958" s="12"/>
      <c r="P958" s="12"/>
      <c r="Q958" s="11"/>
      <c r="R958" s="11"/>
      <c r="S958" s="12"/>
      <c r="T958" s="16" t="str">
        <f aca="false">IF($J958="","",IF($C958="",1,$C958))</f>
        <v/>
      </c>
    </row>
    <row r="959" customFormat="false" ht="15" hidden="false" customHeight="false" outlineLevel="0" collapsed="false">
      <c r="A959" s="7"/>
      <c r="B959" s="8"/>
      <c r="C959" s="9"/>
      <c r="D959" s="10"/>
      <c r="E959" s="11"/>
      <c r="F959" s="11"/>
      <c r="G959" s="8"/>
      <c r="H959" s="11"/>
      <c r="I959" s="12"/>
      <c r="J959" s="13" t="str">
        <f aca="false">IF(OR($A959="",$D959=""),"",IF($C959="",1,$C959)*$D959+N($E959)-N($F959))</f>
        <v/>
      </c>
      <c r="K959" s="13" t="str">
        <f aca="false">IF($J959="","",IF($R959&lt;&gt;"",$R959,IF($G959="",0,MAX(IFERROR(INDEX(Settings!$D$6:$D$15,MATCH($G959,Settings!$A$6:$A$15,0)),0),$J959*IFERROR(INDEX(Settings!$B$6:$B$15,MATCH($G959,Settings!$A$6:$A$15,0)),0)+IFERROR(INDEX(Settings!$C$6:$C$15,MATCH($G959,Settings!$A$6:$A$15,0)),0)))))</f>
        <v/>
      </c>
      <c r="L959" s="13" t="str">
        <f aca="false">IF($J959="","",IF($C959="",1,$C959)*IF($Q959&lt;&gt;"",$Q959,IFERROR(INDEX(Products!$D$5:$D$54,MATCH($B959,Products!$A$5:$A$54,0)),0)))</f>
        <v/>
      </c>
      <c r="M959" s="14" t="str">
        <f aca="false">IF($J959="","",$J959-$K959-N($H959)-$L959)</f>
        <v/>
      </c>
      <c r="N959" s="15" t="str">
        <f aca="false">IF($J959="","",IF($J959&gt;0,$M959/$J959,""))</f>
        <v/>
      </c>
      <c r="O959" s="12"/>
      <c r="P959" s="12"/>
      <c r="Q959" s="11"/>
      <c r="R959" s="11"/>
      <c r="S959" s="12"/>
      <c r="T959" s="16" t="str">
        <f aca="false">IF($J959="","",IF($C959="",1,$C959))</f>
        <v/>
      </c>
    </row>
    <row r="960" customFormat="false" ht="15" hidden="false" customHeight="false" outlineLevel="0" collapsed="false">
      <c r="A960" s="7"/>
      <c r="B960" s="8"/>
      <c r="C960" s="9"/>
      <c r="D960" s="10"/>
      <c r="E960" s="11"/>
      <c r="F960" s="11"/>
      <c r="G960" s="8"/>
      <c r="H960" s="11"/>
      <c r="I960" s="12"/>
      <c r="J960" s="13" t="str">
        <f aca="false">IF(OR($A960="",$D960=""),"",IF($C960="",1,$C960)*$D960+N($E960)-N($F960))</f>
        <v/>
      </c>
      <c r="K960" s="13" t="str">
        <f aca="false">IF($J960="","",IF($R960&lt;&gt;"",$R960,IF($G960="",0,MAX(IFERROR(INDEX(Settings!$D$6:$D$15,MATCH($G960,Settings!$A$6:$A$15,0)),0),$J960*IFERROR(INDEX(Settings!$B$6:$B$15,MATCH($G960,Settings!$A$6:$A$15,0)),0)+IFERROR(INDEX(Settings!$C$6:$C$15,MATCH($G960,Settings!$A$6:$A$15,0)),0)))))</f>
        <v/>
      </c>
      <c r="L960" s="13" t="str">
        <f aca="false">IF($J960="","",IF($C960="",1,$C960)*IF($Q960&lt;&gt;"",$Q960,IFERROR(INDEX(Products!$D$5:$D$54,MATCH($B960,Products!$A$5:$A$54,0)),0)))</f>
        <v/>
      </c>
      <c r="M960" s="14" t="str">
        <f aca="false">IF($J960="","",$J960-$K960-N($H960)-$L960)</f>
        <v/>
      </c>
      <c r="N960" s="15" t="str">
        <f aca="false">IF($J960="","",IF($J960&gt;0,$M960/$J960,""))</f>
        <v/>
      </c>
      <c r="O960" s="12"/>
      <c r="P960" s="12"/>
      <c r="Q960" s="11"/>
      <c r="R960" s="11"/>
      <c r="S960" s="12"/>
      <c r="T960" s="16" t="str">
        <f aca="false">IF($J960="","",IF($C960="",1,$C960))</f>
        <v/>
      </c>
    </row>
    <row r="961" customFormat="false" ht="15" hidden="false" customHeight="false" outlineLevel="0" collapsed="false">
      <c r="A961" s="7"/>
      <c r="B961" s="8"/>
      <c r="C961" s="9"/>
      <c r="D961" s="10"/>
      <c r="E961" s="11"/>
      <c r="F961" s="11"/>
      <c r="G961" s="8"/>
      <c r="H961" s="11"/>
      <c r="I961" s="12"/>
      <c r="J961" s="13" t="str">
        <f aca="false">IF(OR($A961="",$D961=""),"",IF($C961="",1,$C961)*$D961+N($E961)-N($F961))</f>
        <v/>
      </c>
      <c r="K961" s="13" t="str">
        <f aca="false">IF($J961="","",IF($R961&lt;&gt;"",$R961,IF($G961="",0,MAX(IFERROR(INDEX(Settings!$D$6:$D$15,MATCH($G961,Settings!$A$6:$A$15,0)),0),$J961*IFERROR(INDEX(Settings!$B$6:$B$15,MATCH($G961,Settings!$A$6:$A$15,0)),0)+IFERROR(INDEX(Settings!$C$6:$C$15,MATCH($G961,Settings!$A$6:$A$15,0)),0)))))</f>
        <v/>
      </c>
      <c r="L961" s="13" t="str">
        <f aca="false">IF($J961="","",IF($C961="",1,$C961)*IF($Q961&lt;&gt;"",$Q961,IFERROR(INDEX(Products!$D$5:$D$54,MATCH($B961,Products!$A$5:$A$54,0)),0)))</f>
        <v/>
      </c>
      <c r="M961" s="14" t="str">
        <f aca="false">IF($J961="","",$J961-$K961-N($H961)-$L961)</f>
        <v/>
      </c>
      <c r="N961" s="15" t="str">
        <f aca="false">IF($J961="","",IF($J961&gt;0,$M961/$J961,""))</f>
        <v/>
      </c>
      <c r="O961" s="12"/>
      <c r="P961" s="12"/>
      <c r="Q961" s="11"/>
      <c r="R961" s="11"/>
      <c r="S961" s="12"/>
      <c r="T961" s="16" t="str">
        <f aca="false">IF($J961="","",IF($C961="",1,$C961))</f>
        <v/>
      </c>
    </row>
    <row r="962" customFormat="false" ht="15" hidden="false" customHeight="false" outlineLevel="0" collapsed="false">
      <c r="A962" s="7"/>
      <c r="B962" s="8"/>
      <c r="C962" s="9"/>
      <c r="D962" s="10"/>
      <c r="E962" s="11"/>
      <c r="F962" s="11"/>
      <c r="G962" s="8"/>
      <c r="H962" s="11"/>
      <c r="I962" s="12"/>
      <c r="J962" s="13" t="str">
        <f aca="false">IF(OR($A962="",$D962=""),"",IF($C962="",1,$C962)*$D962+N($E962)-N($F962))</f>
        <v/>
      </c>
      <c r="K962" s="13" t="str">
        <f aca="false">IF($J962="","",IF($R962&lt;&gt;"",$R962,IF($G962="",0,MAX(IFERROR(INDEX(Settings!$D$6:$D$15,MATCH($G962,Settings!$A$6:$A$15,0)),0),$J962*IFERROR(INDEX(Settings!$B$6:$B$15,MATCH($G962,Settings!$A$6:$A$15,0)),0)+IFERROR(INDEX(Settings!$C$6:$C$15,MATCH($G962,Settings!$A$6:$A$15,0)),0)))))</f>
        <v/>
      </c>
      <c r="L962" s="13" t="str">
        <f aca="false">IF($J962="","",IF($C962="",1,$C962)*IF($Q962&lt;&gt;"",$Q962,IFERROR(INDEX(Products!$D$5:$D$54,MATCH($B962,Products!$A$5:$A$54,0)),0)))</f>
        <v/>
      </c>
      <c r="M962" s="14" t="str">
        <f aca="false">IF($J962="","",$J962-$K962-N($H962)-$L962)</f>
        <v/>
      </c>
      <c r="N962" s="15" t="str">
        <f aca="false">IF($J962="","",IF($J962&gt;0,$M962/$J962,""))</f>
        <v/>
      </c>
      <c r="O962" s="12"/>
      <c r="P962" s="12"/>
      <c r="Q962" s="11"/>
      <c r="R962" s="11"/>
      <c r="S962" s="12"/>
      <c r="T962" s="16" t="str">
        <f aca="false">IF($J962="","",IF($C962="",1,$C962))</f>
        <v/>
      </c>
    </row>
    <row r="963" customFormat="false" ht="15" hidden="false" customHeight="false" outlineLevel="0" collapsed="false">
      <c r="A963" s="7"/>
      <c r="B963" s="8"/>
      <c r="C963" s="9"/>
      <c r="D963" s="10"/>
      <c r="E963" s="11"/>
      <c r="F963" s="11"/>
      <c r="G963" s="8"/>
      <c r="H963" s="11"/>
      <c r="I963" s="12"/>
      <c r="J963" s="13" t="str">
        <f aca="false">IF(OR($A963="",$D963=""),"",IF($C963="",1,$C963)*$D963+N($E963)-N($F963))</f>
        <v/>
      </c>
      <c r="K963" s="13" t="str">
        <f aca="false">IF($J963="","",IF($R963&lt;&gt;"",$R963,IF($G963="",0,MAX(IFERROR(INDEX(Settings!$D$6:$D$15,MATCH($G963,Settings!$A$6:$A$15,0)),0),$J963*IFERROR(INDEX(Settings!$B$6:$B$15,MATCH($G963,Settings!$A$6:$A$15,0)),0)+IFERROR(INDEX(Settings!$C$6:$C$15,MATCH($G963,Settings!$A$6:$A$15,0)),0)))))</f>
        <v/>
      </c>
      <c r="L963" s="13" t="str">
        <f aca="false">IF($J963="","",IF($C963="",1,$C963)*IF($Q963&lt;&gt;"",$Q963,IFERROR(INDEX(Products!$D$5:$D$54,MATCH($B963,Products!$A$5:$A$54,0)),0)))</f>
        <v/>
      </c>
      <c r="M963" s="14" t="str">
        <f aca="false">IF($J963="","",$J963-$K963-N($H963)-$L963)</f>
        <v/>
      </c>
      <c r="N963" s="15" t="str">
        <f aca="false">IF($J963="","",IF($J963&gt;0,$M963/$J963,""))</f>
        <v/>
      </c>
      <c r="O963" s="12"/>
      <c r="P963" s="12"/>
      <c r="Q963" s="11"/>
      <c r="R963" s="11"/>
      <c r="S963" s="12"/>
      <c r="T963" s="16" t="str">
        <f aca="false">IF($J963="","",IF($C963="",1,$C963))</f>
        <v/>
      </c>
    </row>
    <row r="964" customFormat="false" ht="15" hidden="false" customHeight="false" outlineLevel="0" collapsed="false">
      <c r="A964" s="7"/>
      <c r="B964" s="8"/>
      <c r="C964" s="9"/>
      <c r="D964" s="10"/>
      <c r="E964" s="11"/>
      <c r="F964" s="11"/>
      <c r="G964" s="8"/>
      <c r="H964" s="11"/>
      <c r="I964" s="12"/>
      <c r="J964" s="13" t="str">
        <f aca="false">IF(OR($A964="",$D964=""),"",IF($C964="",1,$C964)*$D964+N($E964)-N($F964))</f>
        <v/>
      </c>
      <c r="K964" s="13" t="str">
        <f aca="false">IF($J964="","",IF($R964&lt;&gt;"",$R964,IF($G964="",0,MAX(IFERROR(INDEX(Settings!$D$6:$D$15,MATCH($G964,Settings!$A$6:$A$15,0)),0),$J964*IFERROR(INDEX(Settings!$B$6:$B$15,MATCH($G964,Settings!$A$6:$A$15,0)),0)+IFERROR(INDEX(Settings!$C$6:$C$15,MATCH($G964,Settings!$A$6:$A$15,0)),0)))))</f>
        <v/>
      </c>
      <c r="L964" s="13" t="str">
        <f aca="false">IF($J964="","",IF($C964="",1,$C964)*IF($Q964&lt;&gt;"",$Q964,IFERROR(INDEX(Products!$D$5:$D$54,MATCH($B964,Products!$A$5:$A$54,0)),0)))</f>
        <v/>
      </c>
      <c r="M964" s="14" t="str">
        <f aca="false">IF($J964="","",$J964-$K964-N($H964)-$L964)</f>
        <v/>
      </c>
      <c r="N964" s="15" t="str">
        <f aca="false">IF($J964="","",IF($J964&gt;0,$M964/$J964,""))</f>
        <v/>
      </c>
      <c r="O964" s="12"/>
      <c r="P964" s="12"/>
      <c r="Q964" s="11"/>
      <c r="R964" s="11"/>
      <c r="S964" s="12"/>
      <c r="T964" s="16" t="str">
        <f aca="false">IF($J964="","",IF($C964="",1,$C964))</f>
        <v/>
      </c>
    </row>
    <row r="965" customFormat="false" ht="15" hidden="false" customHeight="false" outlineLevel="0" collapsed="false">
      <c r="A965" s="7"/>
      <c r="B965" s="8"/>
      <c r="C965" s="9"/>
      <c r="D965" s="10"/>
      <c r="E965" s="11"/>
      <c r="F965" s="11"/>
      <c r="G965" s="8"/>
      <c r="H965" s="11"/>
      <c r="I965" s="12"/>
      <c r="J965" s="13" t="str">
        <f aca="false">IF(OR($A965="",$D965=""),"",IF($C965="",1,$C965)*$D965+N($E965)-N($F965))</f>
        <v/>
      </c>
      <c r="K965" s="13" t="str">
        <f aca="false">IF($J965="","",IF($R965&lt;&gt;"",$R965,IF($G965="",0,MAX(IFERROR(INDEX(Settings!$D$6:$D$15,MATCH($G965,Settings!$A$6:$A$15,0)),0),$J965*IFERROR(INDEX(Settings!$B$6:$B$15,MATCH($G965,Settings!$A$6:$A$15,0)),0)+IFERROR(INDEX(Settings!$C$6:$C$15,MATCH($G965,Settings!$A$6:$A$15,0)),0)))))</f>
        <v/>
      </c>
      <c r="L965" s="13" t="str">
        <f aca="false">IF($J965="","",IF($C965="",1,$C965)*IF($Q965&lt;&gt;"",$Q965,IFERROR(INDEX(Products!$D$5:$D$54,MATCH($B965,Products!$A$5:$A$54,0)),0)))</f>
        <v/>
      </c>
      <c r="M965" s="14" t="str">
        <f aca="false">IF($J965="","",$J965-$K965-N($H965)-$L965)</f>
        <v/>
      </c>
      <c r="N965" s="15" t="str">
        <f aca="false">IF($J965="","",IF($J965&gt;0,$M965/$J965,""))</f>
        <v/>
      </c>
      <c r="O965" s="12"/>
      <c r="P965" s="12"/>
      <c r="Q965" s="11"/>
      <c r="R965" s="11"/>
      <c r="S965" s="12"/>
      <c r="T965" s="16" t="str">
        <f aca="false">IF($J965="","",IF($C965="",1,$C965))</f>
        <v/>
      </c>
    </row>
    <row r="966" customFormat="false" ht="15" hidden="false" customHeight="false" outlineLevel="0" collapsed="false">
      <c r="A966" s="7"/>
      <c r="B966" s="8"/>
      <c r="C966" s="9"/>
      <c r="D966" s="10"/>
      <c r="E966" s="11"/>
      <c r="F966" s="11"/>
      <c r="G966" s="8"/>
      <c r="H966" s="11"/>
      <c r="I966" s="12"/>
      <c r="J966" s="13" t="str">
        <f aca="false">IF(OR($A966="",$D966=""),"",IF($C966="",1,$C966)*$D966+N($E966)-N($F966))</f>
        <v/>
      </c>
      <c r="K966" s="13" t="str">
        <f aca="false">IF($J966="","",IF($R966&lt;&gt;"",$R966,IF($G966="",0,MAX(IFERROR(INDEX(Settings!$D$6:$D$15,MATCH($G966,Settings!$A$6:$A$15,0)),0),$J966*IFERROR(INDEX(Settings!$B$6:$B$15,MATCH($G966,Settings!$A$6:$A$15,0)),0)+IFERROR(INDEX(Settings!$C$6:$C$15,MATCH($G966,Settings!$A$6:$A$15,0)),0)))))</f>
        <v/>
      </c>
      <c r="L966" s="13" t="str">
        <f aca="false">IF($J966="","",IF($C966="",1,$C966)*IF($Q966&lt;&gt;"",$Q966,IFERROR(INDEX(Products!$D$5:$D$54,MATCH($B966,Products!$A$5:$A$54,0)),0)))</f>
        <v/>
      </c>
      <c r="M966" s="14" t="str">
        <f aca="false">IF($J966="","",$J966-$K966-N($H966)-$L966)</f>
        <v/>
      </c>
      <c r="N966" s="15" t="str">
        <f aca="false">IF($J966="","",IF($J966&gt;0,$M966/$J966,""))</f>
        <v/>
      </c>
      <c r="O966" s="12"/>
      <c r="P966" s="12"/>
      <c r="Q966" s="11"/>
      <c r="R966" s="11"/>
      <c r="S966" s="12"/>
      <c r="T966" s="16" t="str">
        <f aca="false">IF($J966="","",IF($C966="",1,$C966))</f>
        <v/>
      </c>
    </row>
    <row r="967" customFormat="false" ht="15" hidden="false" customHeight="false" outlineLevel="0" collapsed="false">
      <c r="A967" s="7"/>
      <c r="B967" s="8"/>
      <c r="C967" s="9"/>
      <c r="D967" s="10"/>
      <c r="E967" s="11"/>
      <c r="F967" s="11"/>
      <c r="G967" s="8"/>
      <c r="H967" s="11"/>
      <c r="I967" s="12"/>
      <c r="J967" s="13" t="str">
        <f aca="false">IF(OR($A967="",$D967=""),"",IF($C967="",1,$C967)*$D967+N($E967)-N($F967))</f>
        <v/>
      </c>
      <c r="K967" s="13" t="str">
        <f aca="false">IF($J967="","",IF($R967&lt;&gt;"",$R967,IF($G967="",0,MAX(IFERROR(INDEX(Settings!$D$6:$D$15,MATCH($G967,Settings!$A$6:$A$15,0)),0),$J967*IFERROR(INDEX(Settings!$B$6:$B$15,MATCH($G967,Settings!$A$6:$A$15,0)),0)+IFERROR(INDEX(Settings!$C$6:$C$15,MATCH($G967,Settings!$A$6:$A$15,0)),0)))))</f>
        <v/>
      </c>
      <c r="L967" s="13" t="str">
        <f aca="false">IF($J967="","",IF($C967="",1,$C967)*IF($Q967&lt;&gt;"",$Q967,IFERROR(INDEX(Products!$D$5:$D$54,MATCH($B967,Products!$A$5:$A$54,0)),0)))</f>
        <v/>
      </c>
      <c r="M967" s="14" t="str">
        <f aca="false">IF($J967="","",$J967-$K967-N($H967)-$L967)</f>
        <v/>
      </c>
      <c r="N967" s="15" t="str">
        <f aca="false">IF($J967="","",IF($J967&gt;0,$M967/$J967,""))</f>
        <v/>
      </c>
      <c r="O967" s="12"/>
      <c r="P967" s="12"/>
      <c r="Q967" s="11"/>
      <c r="R967" s="11"/>
      <c r="S967" s="12"/>
      <c r="T967" s="16" t="str">
        <f aca="false">IF($J967="","",IF($C967="",1,$C967))</f>
        <v/>
      </c>
    </row>
    <row r="968" customFormat="false" ht="15" hidden="false" customHeight="false" outlineLevel="0" collapsed="false">
      <c r="A968" s="7"/>
      <c r="B968" s="8"/>
      <c r="C968" s="9"/>
      <c r="D968" s="10"/>
      <c r="E968" s="11"/>
      <c r="F968" s="11"/>
      <c r="G968" s="8"/>
      <c r="H968" s="11"/>
      <c r="I968" s="12"/>
      <c r="J968" s="13" t="str">
        <f aca="false">IF(OR($A968="",$D968=""),"",IF($C968="",1,$C968)*$D968+N($E968)-N($F968))</f>
        <v/>
      </c>
      <c r="K968" s="13" t="str">
        <f aca="false">IF($J968="","",IF($R968&lt;&gt;"",$R968,IF($G968="",0,MAX(IFERROR(INDEX(Settings!$D$6:$D$15,MATCH($G968,Settings!$A$6:$A$15,0)),0),$J968*IFERROR(INDEX(Settings!$B$6:$B$15,MATCH($G968,Settings!$A$6:$A$15,0)),0)+IFERROR(INDEX(Settings!$C$6:$C$15,MATCH($G968,Settings!$A$6:$A$15,0)),0)))))</f>
        <v/>
      </c>
      <c r="L968" s="13" t="str">
        <f aca="false">IF($J968="","",IF($C968="",1,$C968)*IF($Q968&lt;&gt;"",$Q968,IFERROR(INDEX(Products!$D$5:$D$54,MATCH($B968,Products!$A$5:$A$54,0)),0)))</f>
        <v/>
      </c>
      <c r="M968" s="14" t="str">
        <f aca="false">IF($J968="","",$J968-$K968-N($H968)-$L968)</f>
        <v/>
      </c>
      <c r="N968" s="15" t="str">
        <f aca="false">IF($J968="","",IF($J968&gt;0,$M968/$J968,""))</f>
        <v/>
      </c>
      <c r="O968" s="12"/>
      <c r="P968" s="12"/>
      <c r="Q968" s="11"/>
      <c r="R968" s="11"/>
      <c r="S968" s="12"/>
      <c r="T968" s="16" t="str">
        <f aca="false">IF($J968="","",IF($C968="",1,$C968))</f>
        <v/>
      </c>
    </row>
    <row r="969" customFormat="false" ht="15" hidden="false" customHeight="false" outlineLevel="0" collapsed="false">
      <c r="A969" s="7"/>
      <c r="B969" s="8"/>
      <c r="C969" s="9"/>
      <c r="D969" s="10"/>
      <c r="E969" s="11"/>
      <c r="F969" s="11"/>
      <c r="G969" s="8"/>
      <c r="H969" s="11"/>
      <c r="I969" s="12"/>
      <c r="J969" s="13" t="str">
        <f aca="false">IF(OR($A969="",$D969=""),"",IF($C969="",1,$C969)*$D969+N($E969)-N($F969))</f>
        <v/>
      </c>
      <c r="K969" s="13" t="str">
        <f aca="false">IF($J969="","",IF($R969&lt;&gt;"",$R969,IF($G969="",0,MAX(IFERROR(INDEX(Settings!$D$6:$D$15,MATCH($G969,Settings!$A$6:$A$15,0)),0),$J969*IFERROR(INDEX(Settings!$B$6:$B$15,MATCH($G969,Settings!$A$6:$A$15,0)),0)+IFERROR(INDEX(Settings!$C$6:$C$15,MATCH($G969,Settings!$A$6:$A$15,0)),0)))))</f>
        <v/>
      </c>
      <c r="L969" s="13" t="str">
        <f aca="false">IF($J969="","",IF($C969="",1,$C969)*IF($Q969&lt;&gt;"",$Q969,IFERROR(INDEX(Products!$D$5:$D$54,MATCH($B969,Products!$A$5:$A$54,0)),0)))</f>
        <v/>
      </c>
      <c r="M969" s="14" t="str">
        <f aca="false">IF($J969="","",$J969-$K969-N($H969)-$L969)</f>
        <v/>
      </c>
      <c r="N969" s="15" t="str">
        <f aca="false">IF($J969="","",IF($J969&gt;0,$M969/$J969,""))</f>
        <v/>
      </c>
      <c r="O969" s="12"/>
      <c r="P969" s="12"/>
      <c r="Q969" s="11"/>
      <c r="R969" s="11"/>
      <c r="S969" s="12"/>
      <c r="T969" s="16" t="str">
        <f aca="false">IF($J969="","",IF($C969="",1,$C969))</f>
        <v/>
      </c>
    </row>
    <row r="970" customFormat="false" ht="15" hidden="false" customHeight="false" outlineLevel="0" collapsed="false">
      <c r="A970" s="7"/>
      <c r="B970" s="8"/>
      <c r="C970" s="9"/>
      <c r="D970" s="10"/>
      <c r="E970" s="11"/>
      <c r="F970" s="11"/>
      <c r="G970" s="8"/>
      <c r="H970" s="11"/>
      <c r="I970" s="12"/>
      <c r="J970" s="13" t="str">
        <f aca="false">IF(OR($A970="",$D970=""),"",IF($C970="",1,$C970)*$D970+N($E970)-N($F970))</f>
        <v/>
      </c>
      <c r="K970" s="13" t="str">
        <f aca="false">IF($J970="","",IF($R970&lt;&gt;"",$R970,IF($G970="",0,MAX(IFERROR(INDEX(Settings!$D$6:$D$15,MATCH($G970,Settings!$A$6:$A$15,0)),0),$J970*IFERROR(INDEX(Settings!$B$6:$B$15,MATCH($G970,Settings!$A$6:$A$15,0)),0)+IFERROR(INDEX(Settings!$C$6:$C$15,MATCH($G970,Settings!$A$6:$A$15,0)),0)))))</f>
        <v/>
      </c>
      <c r="L970" s="13" t="str">
        <f aca="false">IF($J970="","",IF($C970="",1,$C970)*IF($Q970&lt;&gt;"",$Q970,IFERROR(INDEX(Products!$D$5:$D$54,MATCH($B970,Products!$A$5:$A$54,0)),0)))</f>
        <v/>
      </c>
      <c r="M970" s="14" t="str">
        <f aca="false">IF($J970="","",$J970-$K970-N($H970)-$L970)</f>
        <v/>
      </c>
      <c r="N970" s="15" t="str">
        <f aca="false">IF($J970="","",IF($J970&gt;0,$M970/$J970,""))</f>
        <v/>
      </c>
      <c r="O970" s="12"/>
      <c r="P970" s="12"/>
      <c r="Q970" s="11"/>
      <c r="R970" s="11"/>
      <c r="S970" s="12"/>
      <c r="T970" s="16" t="str">
        <f aca="false">IF($J970="","",IF($C970="",1,$C970))</f>
        <v/>
      </c>
    </row>
    <row r="971" customFormat="false" ht="15" hidden="false" customHeight="false" outlineLevel="0" collapsed="false">
      <c r="A971" s="7"/>
      <c r="B971" s="8"/>
      <c r="C971" s="9"/>
      <c r="D971" s="10"/>
      <c r="E971" s="11"/>
      <c r="F971" s="11"/>
      <c r="G971" s="8"/>
      <c r="H971" s="11"/>
      <c r="I971" s="12"/>
      <c r="J971" s="13" t="str">
        <f aca="false">IF(OR($A971="",$D971=""),"",IF($C971="",1,$C971)*$D971+N($E971)-N($F971))</f>
        <v/>
      </c>
      <c r="K971" s="13" t="str">
        <f aca="false">IF($J971="","",IF($R971&lt;&gt;"",$R971,IF($G971="",0,MAX(IFERROR(INDEX(Settings!$D$6:$D$15,MATCH($G971,Settings!$A$6:$A$15,0)),0),$J971*IFERROR(INDEX(Settings!$B$6:$B$15,MATCH($G971,Settings!$A$6:$A$15,0)),0)+IFERROR(INDEX(Settings!$C$6:$C$15,MATCH($G971,Settings!$A$6:$A$15,0)),0)))))</f>
        <v/>
      </c>
      <c r="L971" s="13" t="str">
        <f aca="false">IF($J971="","",IF($C971="",1,$C971)*IF($Q971&lt;&gt;"",$Q971,IFERROR(INDEX(Products!$D$5:$D$54,MATCH($B971,Products!$A$5:$A$54,0)),0)))</f>
        <v/>
      </c>
      <c r="M971" s="14" t="str">
        <f aca="false">IF($J971="","",$J971-$K971-N($H971)-$L971)</f>
        <v/>
      </c>
      <c r="N971" s="15" t="str">
        <f aca="false">IF($J971="","",IF($J971&gt;0,$M971/$J971,""))</f>
        <v/>
      </c>
      <c r="O971" s="12"/>
      <c r="P971" s="12"/>
      <c r="Q971" s="11"/>
      <c r="R971" s="11"/>
      <c r="S971" s="12"/>
      <c r="T971" s="16" t="str">
        <f aca="false">IF($J971="","",IF($C971="",1,$C971))</f>
        <v/>
      </c>
    </row>
    <row r="972" customFormat="false" ht="15" hidden="false" customHeight="false" outlineLevel="0" collapsed="false">
      <c r="A972" s="7"/>
      <c r="B972" s="8"/>
      <c r="C972" s="9"/>
      <c r="D972" s="10"/>
      <c r="E972" s="11"/>
      <c r="F972" s="11"/>
      <c r="G972" s="8"/>
      <c r="H972" s="11"/>
      <c r="I972" s="12"/>
      <c r="J972" s="13" t="str">
        <f aca="false">IF(OR($A972="",$D972=""),"",IF($C972="",1,$C972)*$D972+N($E972)-N($F972))</f>
        <v/>
      </c>
      <c r="K972" s="13" t="str">
        <f aca="false">IF($J972="","",IF($R972&lt;&gt;"",$R972,IF($G972="",0,MAX(IFERROR(INDEX(Settings!$D$6:$D$15,MATCH($G972,Settings!$A$6:$A$15,0)),0),$J972*IFERROR(INDEX(Settings!$B$6:$B$15,MATCH($G972,Settings!$A$6:$A$15,0)),0)+IFERROR(INDEX(Settings!$C$6:$C$15,MATCH($G972,Settings!$A$6:$A$15,0)),0)))))</f>
        <v/>
      </c>
      <c r="L972" s="13" t="str">
        <f aca="false">IF($J972="","",IF($C972="",1,$C972)*IF($Q972&lt;&gt;"",$Q972,IFERROR(INDEX(Products!$D$5:$D$54,MATCH($B972,Products!$A$5:$A$54,0)),0)))</f>
        <v/>
      </c>
      <c r="M972" s="14" t="str">
        <f aca="false">IF($J972="","",$J972-$K972-N($H972)-$L972)</f>
        <v/>
      </c>
      <c r="N972" s="15" t="str">
        <f aca="false">IF($J972="","",IF($J972&gt;0,$M972/$J972,""))</f>
        <v/>
      </c>
      <c r="O972" s="12"/>
      <c r="P972" s="12"/>
      <c r="Q972" s="11"/>
      <c r="R972" s="11"/>
      <c r="S972" s="12"/>
      <c r="T972" s="16" t="str">
        <f aca="false">IF($J972="","",IF($C972="",1,$C972))</f>
        <v/>
      </c>
    </row>
    <row r="973" customFormat="false" ht="15" hidden="false" customHeight="false" outlineLevel="0" collapsed="false">
      <c r="A973" s="7"/>
      <c r="B973" s="8"/>
      <c r="C973" s="9"/>
      <c r="D973" s="10"/>
      <c r="E973" s="11"/>
      <c r="F973" s="11"/>
      <c r="G973" s="8"/>
      <c r="H973" s="11"/>
      <c r="I973" s="12"/>
      <c r="J973" s="13" t="str">
        <f aca="false">IF(OR($A973="",$D973=""),"",IF($C973="",1,$C973)*$D973+N($E973)-N($F973))</f>
        <v/>
      </c>
      <c r="K973" s="13" t="str">
        <f aca="false">IF($J973="","",IF($R973&lt;&gt;"",$R973,IF($G973="",0,MAX(IFERROR(INDEX(Settings!$D$6:$D$15,MATCH($G973,Settings!$A$6:$A$15,0)),0),$J973*IFERROR(INDEX(Settings!$B$6:$B$15,MATCH($G973,Settings!$A$6:$A$15,0)),0)+IFERROR(INDEX(Settings!$C$6:$C$15,MATCH($G973,Settings!$A$6:$A$15,0)),0)))))</f>
        <v/>
      </c>
      <c r="L973" s="13" t="str">
        <f aca="false">IF($J973="","",IF($C973="",1,$C973)*IF($Q973&lt;&gt;"",$Q973,IFERROR(INDEX(Products!$D$5:$D$54,MATCH($B973,Products!$A$5:$A$54,0)),0)))</f>
        <v/>
      </c>
      <c r="M973" s="14" t="str">
        <f aca="false">IF($J973="","",$J973-$K973-N($H973)-$L973)</f>
        <v/>
      </c>
      <c r="N973" s="15" t="str">
        <f aca="false">IF($J973="","",IF($J973&gt;0,$M973/$J973,""))</f>
        <v/>
      </c>
      <c r="O973" s="12"/>
      <c r="P973" s="12"/>
      <c r="Q973" s="11"/>
      <c r="R973" s="11"/>
      <c r="S973" s="12"/>
      <c r="T973" s="16" t="str">
        <f aca="false">IF($J973="","",IF($C973="",1,$C973))</f>
        <v/>
      </c>
    </row>
    <row r="974" customFormat="false" ht="15" hidden="false" customHeight="false" outlineLevel="0" collapsed="false">
      <c r="A974" s="7"/>
      <c r="B974" s="8"/>
      <c r="C974" s="9"/>
      <c r="D974" s="10"/>
      <c r="E974" s="11"/>
      <c r="F974" s="11"/>
      <c r="G974" s="8"/>
      <c r="H974" s="11"/>
      <c r="I974" s="12"/>
      <c r="J974" s="13" t="str">
        <f aca="false">IF(OR($A974="",$D974=""),"",IF($C974="",1,$C974)*$D974+N($E974)-N($F974))</f>
        <v/>
      </c>
      <c r="K974" s="13" t="str">
        <f aca="false">IF($J974="","",IF($R974&lt;&gt;"",$R974,IF($G974="",0,MAX(IFERROR(INDEX(Settings!$D$6:$D$15,MATCH($G974,Settings!$A$6:$A$15,0)),0),$J974*IFERROR(INDEX(Settings!$B$6:$B$15,MATCH($G974,Settings!$A$6:$A$15,0)),0)+IFERROR(INDEX(Settings!$C$6:$C$15,MATCH($G974,Settings!$A$6:$A$15,0)),0)))))</f>
        <v/>
      </c>
      <c r="L974" s="13" t="str">
        <f aca="false">IF($J974="","",IF($C974="",1,$C974)*IF($Q974&lt;&gt;"",$Q974,IFERROR(INDEX(Products!$D$5:$D$54,MATCH($B974,Products!$A$5:$A$54,0)),0)))</f>
        <v/>
      </c>
      <c r="M974" s="14" t="str">
        <f aca="false">IF($J974="","",$J974-$K974-N($H974)-$L974)</f>
        <v/>
      </c>
      <c r="N974" s="15" t="str">
        <f aca="false">IF($J974="","",IF($J974&gt;0,$M974/$J974,""))</f>
        <v/>
      </c>
      <c r="O974" s="12"/>
      <c r="P974" s="12"/>
      <c r="Q974" s="11"/>
      <c r="R974" s="11"/>
      <c r="S974" s="12"/>
      <c r="T974" s="16" t="str">
        <f aca="false">IF($J974="","",IF($C974="",1,$C974))</f>
        <v/>
      </c>
    </row>
    <row r="975" customFormat="false" ht="15" hidden="false" customHeight="false" outlineLevel="0" collapsed="false">
      <c r="A975" s="7"/>
      <c r="B975" s="8"/>
      <c r="C975" s="9"/>
      <c r="D975" s="10"/>
      <c r="E975" s="11"/>
      <c r="F975" s="11"/>
      <c r="G975" s="8"/>
      <c r="H975" s="11"/>
      <c r="I975" s="12"/>
      <c r="J975" s="13" t="str">
        <f aca="false">IF(OR($A975="",$D975=""),"",IF($C975="",1,$C975)*$D975+N($E975)-N($F975))</f>
        <v/>
      </c>
      <c r="K975" s="13" t="str">
        <f aca="false">IF($J975="","",IF($R975&lt;&gt;"",$R975,IF($G975="",0,MAX(IFERROR(INDEX(Settings!$D$6:$D$15,MATCH($G975,Settings!$A$6:$A$15,0)),0),$J975*IFERROR(INDEX(Settings!$B$6:$B$15,MATCH($G975,Settings!$A$6:$A$15,0)),0)+IFERROR(INDEX(Settings!$C$6:$C$15,MATCH($G975,Settings!$A$6:$A$15,0)),0)))))</f>
        <v/>
      </c>
      <c r="L975" s="13" t="str">
        <f aca="false">IF($J975="","",IF($C975="",1,$C975)*IF($Q975&lt;&gt;"",$Q975,IFERROR(INDEX(Products!$D$5:$D$54,MATCH($B975,Products!$A$5:$A$54,0)),0)))</f>
        <v/>
      </c>
      <c r="M975" s="14" t="str">
        <f aca="false">IF($J975="","",$J975-$K975-N($H975)-$L975)</f>
        <v/>
      </c>
      <c r="N975" s="15" t="str">
        <f aca="false">IF($J975="","",IF($J975&gt;0,$M975/$J975,""))</f>
        <v/>
      </c>
      <c r="O975" s="12"/>
      <c r="P975" s="12"/>
      <c r="Q975" s="11"/>
      <c r="R975" s="11"/>
      <c r="S975" s="12"/>
      <c r="T975" s="16" t="str">
        <f aca="false">IF($J975="","",IF($C975="",1,$C975))</f>
        <v/>
      </c>
    </row>
    <row r="976" customFormat="false" ht="15" hidden="false" customHeight="false" outlineLevel="0" collapsed="false">
      <c r="A976" s="7"/>
      <c r="B976" s="8"/>
      <c r="C976" s="9"/>
      <c r="D976" s="10"/>
      <c r="E976" s="11"/>
      <c r="F976" s="11"/>
      <c r="G976" s="8"/>
      <c r="H976" s="11"/>
      <c r="I976" s="12"/>
      <c r="J976" s="13" t="str">
        <f aca="false">IF(OR($A976="",$D976=""),"",IF($C976="",1,$C976)*$D976+N($E976)-N($F976))</f>
        <v/>
      </c>
      <c r="K976" s="13" t="str">
        <f aca="false">IF($J976="","",IF($R976&lt;&gt;"",$R976,IF($G976="",0,MAX(IFERROR(INDEX(Settings!$D$6:$D$15,MATCH($G976,Settings!$A$6:$A$15,0)),0),$J976*IFERROR(INDEX(Settings!$B$6:$B$15,MATCH($G976,Settings!$A$6:$A$15,0)),0)+IFERROR(INDEX(Settings!$C$6:$C$15,MATCH($G976,Settings!$A$6:$A$15,0)),0)))))</f>
        <v/>
      </c>
      <c r="L976" s="13" t="str">
        <f aca="false">IF($J976="","",IF($C976="",1,$C976)*IF($Q976&lt;&gt;"",$Q976,IFERROR(INDEX(Products!$D$5:$D$54,MATCH($B976,Products!$A$5:$A$54,0)),0)))</f>
        <v/>
      </c>
      <c r="M976" s="14" t="str">
        <f aca="false">IF($J976="","",$J976-$K976-N($H976)-$L976)</f>
        <v/>
      </c>
      <c r="N976" s="15" t="str">
        <f aca="false">IF($J976="","",IF($J976&gt;0,$M976/$J976,""))</f>
        <v/>
      </c>
      <c r="O976" s="12"/>
      <c r="P976" s="12"/>
      <c r="Q976" s="11"/>
      <c r="R976" s="11"/>
      <c r="S976" s="12"/>
      <c r="T976" s="16" t="str">
        <f aca="false">IF($J976="","",IF($C976="",1,$C976))</f>
        <v/>
      </c>
    </row>
    <row r="977" customFormat="false" ht="15" hidden="false" customHeight="false" outlineLevel="0" collapsed="false">
      <c r="A977" s="7"/>
      <c r="B977" s="8"/>
      <c r="C977" s="9"/>
      <c r="D977" s="10"/>
      <c r="E977" s="11"/>
      <c r="F977" s="11"/>
      <c r="G977" s="8"/>
      <c r="H977" s="11"/>
      <c r="I977" s="12"/>
      <c r="J977" s="13" t="str">
        <f aca="false">IF(OR($A977="",$D977=""),"",IF($C977="",1,$C977)*$D977+N($E977)-N($F977))</f>
        <v/>
      </c>
      <c r="K977" s="13" t="str">
        <f aca="false">IF($J977="","",IF($R977&lt;&gt;"",$R977,IF($G977="",0,MAX(IFERROR(INDEX(Settings!$D$6:$D$15,MATCH($G977,Settings!$A$6:$A$15,0)),0),$J977*IFERROR(INDEX(Settings!$B$6:$B$15,MATCH($G977,Settings!$A$6:$A$15,0)),0)+IFERROR(INDEX(Settings!$C$6:$C$15,MATCH($G977,Settings!$A$6:$A$15,0)),0)))))</f>
        <v/>
      </c>
      <c r="L977" s="13" t="str">
        <f aca="false">IF($J977="","",IF($C977="",1,$C977)*IF($Q977&lt;&gt;"",$Q977,IFERROR(INDEX(Products!$D$5:$D$54,MATCH($B977,Products!$A$5:$A$54,0)),0)))</f>
        <v/>
      </c>
      <c r="M977" s="14" t="str">
        <f aca="false">IF($J977="","",$J977-$K977-N($H977)-$L977)</f>
        <v/>
      </c>
      <c r="N977" s="15" t="str">
        <f aca="false">IF($J977="","",IF($J977&gt;0,$M977/$J977,""))</f>
        <v/>
      </c>
      <c r="O977" s="12"/>
      <c r="P977" s="12"/>
      <c r="Q977" s="11"/>
      <c r="R977" s="11"/>
      <c r="S977" s="12"/>
      <c r="T977" s="16" t="str">
        <f aca="false">IF($J977="","",IF($C977="",1,$C977))</f>
        <v/>
      </c>
    </row>
    <row r="978" customFormat="false" ht="15" hidden="false" customHeight="false" outlineLevel="0" collapsed="false">
      <c r="A978" s="7"/>
      <c r="B978" s="8"/>
      <c r="C978" s="9"/>
      <c r="D978" s="10"/>
      <c r="E978" s="11"/>
      <c r="F978" s="11"/>
      <c r="G978" s="8"/>
      <c r="H978" s="11"/>
      <c r="I978" s="12"/>
      <c r="J978" s="13" t="str">
        <f aca="false">IF(OR($A978="",$D978=""),"",IF($C978="",1,$C978)*$D978+N($E978)-N($F978))</f>
        <v/>
      </c>
      <c r="K978" s="13" t="str">
        <f aca="false">IF($J978="","",IF($R978&lt;&gt;"",$R978,IF($G978="",0,MAX(IFERROR(INDEX(Settings!$D$6:$D$15,MATCH($G978,Settings!$A$6:$A$15,0)),0),$J978*IFERROR(INDEX(Settings!$B$6:$B$15,MATCH($G978,Settings!$A$6:$A$15,0)),0)+IFERROR(INDEX(Settings!$C$6:$C$15,MATCH($G978,Settings!$A$6:$A$15,0)),0)))))</f>
        <v/>
      </c>
      <c r="L978" s="13" t="str">
        <f aca="false">IF($J978="","",IF($C978="",1,$C978)*IF($Q978&lt;&gt;"",$Q978,IFERROR(INDEX(Products!$D$5:$D$54,MATCH($B978,Products!$A$5:$A$54,0)),0)))</f>
        <v/>
      </c>
      <c r="M978" s="14" t="str">
        <f aca="false">IF($J978="","",$J978-$K978-N($H978)-$L978)</f>
        <v/>
      </c>
      <c r="N978" s="15" t="str">
        <f aca="false">IF($J978="","",IF($J978&gt;0,$M978/$J978,""))</f>
        <v/>
      </c>
      <c r="O978" s="12"/>
      <c r="P978" s="12"/>
      <c r="Q978" s="11"/>
      <c r="R978" s="11"/>
      <c r="S978" s="12"/>
      <c r="T978" s="16" t="str">
        <f aca="false">IF($J978="","",IF($C978="",1,$C978))</f>
        <v/>
      </c>
    </row>
    <row r="979" customFormat="false" ht="15" hidden="false" customHeight="false" outlineLevel="0" collapsed="false">
      <c r="A979" s="7"/>
      <c r="B979" s="8"/>
      <c r="C979" s="9"/>
      <c r="D979" s="10"/>
      <c r="E979" s="11"/>
      <c r="F979" s="11"/>
      <c r="G979" s="8"/>
      <c r="H979" s="11"/>
      <c r="I979" s="12"/>
      <c r="J979" s="13" t="str">
        <f aca="false">IF(OR($A979="",$D979=""),"",IF($C979="",1,$C979)*$D979+N($E979)-N($F979))</f>
        <v/>
      </c>
      <c r="K979" s="13" t="str">
        <f aca="false">IF($J979="","",IF($R979&lt;&gt;"",$R979,IF($G979="",0,MAX(IFERROR(INDEX(Settings!$D$6:$D$15,MATCH($G979,Settings!$A$6:$A$15,0)),0),$J979*IFERROR(INDEX(Settings!$B$6:$B$15,MATCH($G979,Settings!$A$6:$A$15,0)),0)+IFERROR(INDEX(Settings!$C$6:$C$15,MATCH($G979,Settings!$A$6:$A$15,0)),0)))))</f>
        <v/>
      </c>
      <c r="L979" s="13" t="str">
        <f aca="false">IF($J979="","",IF($C979="",1,$C979)*IF($Q979&lt;&gt;"",$Q979,IFERROR(INDEX(Products!$D$5:$D$54,MATCH($B979,Products!$A$5:$A$54,0)),0)))</f>
        <v/>
      </c>
      <c r="M979" s="14" t="str">
        <f aca="false">IF($J979="","",$J979-$K979-N($H979)-$L979)</f>
        <v/>
      </c>
      <c r="N979" s="15" t="str">
        <f aca="false">IF($J979="","",IF($J979&gt;0,$M979/$J979,""))</f>
        <v/>
      </c>
      <c r="O979" s="12"/>
      <c r="P979" s="12"/>
      <c r="Q979" s="11"/>
      <c r="R979" s="11"/>
      <c r="S979" s="12"/>
      <c r="T979" s="16" t="str">
        <f aca="false">IF($J979="","",IF($C979="",1,$C979))</f>
        <v/>
      </c>
    </row>
    <row r="980" customFormat="false" ht="15" hidden="false" customHeight="false" outlineLevel="0" collapsed="false">
      <c r="A980" s="7"/>
      <c r="B980" s="8"/>
      <c r="C980" s="9"/>
      <c r="D980" s="10"/>
      <c r="E980" s="11"/>
      <c r="F980" s="11"/>
      <c r="G980" s="8"/>
      <c r="H980" s="11"/>
      <c r="I980" s="12"/>
      <c r="J980" s="13" t="str">
        <f aca="false">IF(OR($A980="",$D980=""),"",IF($C980="",1,$C980)*$D980+N($E980)-N($F980))</f>
        <v/>
      </c>
      <c r="K980" s="13" t="str">
        <f aca="false">IF($J980="","",IF($R980&lt;&gt;"",$R980,IF($G980="",0,MAX(IFERROR(INDEX(Settings!$D$6:$D$15,MATCH($G980,Settings!$A$6:$A$15,0)),0),$J980*IFERROR(INDEX(Settings!$B$6:$B$15,MATCH($G980,Settings!$A$6:$A$15,0)),0)+IFERROR(INDEX(Settings!$C$6:$C$15,MATCH($G980,Settings!$A$6:$A$15,0)),0)))))</f>
        <v/>
      </c>
      <c r="L980" s="13" t="str">
        <f aca="false">IF($J980="","",IF($C980="",1,$C980)*IF($Q980&lt;&gt;"",$Q980,IFERROR(INDEX(Products!$D$5:$D$54,MATCH($B980,Products!$A$5:$A$54,0)),0)))</f>
        <v/>
      </c>
      <c r="M980" s="14" t="str">
        <f aca="false">IF($J980="","",$J980-$K980-N($H980)-$L980)</f>
        <v/>
      </c>
      <c r="N980" s="15" t="str">
        <f aca="false">IF($J980="","",IF($J980&gt;0,$M980/$J980,""))</f>
        <v/>
      </c>
      <c r="O980" s="12"/>
      <c r="P980" s="12"/>
      <c r="Q980" s="11"/>
      <c r="R980" s="11"/>
      <c r="S980" s="12"/>
      <c r="T980" s="16" t="str">
        <f aca="false">IF($J980="","",IF($C980="",1,$C980))</f>
        <v/>
      </c>
    </row>
    <row r="981" customFormat="false" ht="15" hidden="false" customHeight="false" outlineLevel="0" collapsed="false">
      <c r="A981" s="7"/>
      <c r="B981" s="8"/>
      <c r="C981" s="9"/>
      <c r="D981" s="10"/>
      <c r="E981" s="11"/>
      <c r="F981" s="11"/>
      <c r="G981" s="8"/>
      <c r="H981" s="11"/>
      <c r="I981" s="12"/>
      <c r="J981" s="13" t="str">
        <f aca="false">IF(OR($A981="",$D981=""),"",IF($C981="",1,$C981)*$D981+N($E981)-N($F981))</f>
        <v/>
      </c>
      <c r="K981" s="13" t="str">
        <f aca="false">IF($J981="","",IF($R981&lt;&gt;"",$R981,IF($G981="",0,MAX(IFERROR(INDEX(Settings!$D$6:$D$15,MATCH($G981,Settings!$A$6:$A$15,0)),0),$J981*IFERROR(INDEX(Settings!$B$6:$B$15,MATCH($G981,Settings!$A$6:$A$15,0)),0)+IFERROR(INDEX(Settings!$C$6:$C$15,MATCH($G981,Settings!$A$6:$A$15,0)),0)))))</f>
        <v/>
      </c>
      <c r="L981" s="13" t="str">
        <f aca="false">IF($J981="","",IF($C981="",1,$C981)*IF($Q981&lt;&gt;"",$Q981,IFERROR(INDEX(Products!$D$5:$D$54,MATCH($B981,Products!$A$5:$A$54,0)),0)))</f>
        <v/>
      </c>
      <c r="M981" s="14" t="str">
        <f aca="false">IF($J981="","",$J981-$K981-N($H981)-$L981)</f>
        <v/>
      </c>
      <c r="N981" s="15" t="str">
        <f aca="false">IF($J981="","",IF($J981&gt;0,$M981/$J981,""))</f>
        <v/>
      </c>
      <c r="O981" s="12"/>
      <c r="P981" s="12"/>
      <c r="Q981" s="11"/>
      <c r="R981" s="11"/>
      <c r="S981" s="12"/>
      <c r="T981" s="16" t="str">
        <f aca="false">IF($J981="","",IF($C981="",1,$C981))</f>
        <v/>
      </c>
    </row>
    <row r="982" customFormat="false" ht="15" hidden="false" customHeight="false" outlineLevel="0" collapsed="false">
      <c r="A982" s="7"/>
      <c r="B982" s="8"/>
      <c r="C982" s="9"/>
      <c r="D982" s="10"/>
      <c r="E982" s="11"/>
      <c r="F982" s="11"/>
      <c r="G982" s="8"/>
      <c r="H982" s="11"/>
      <c r="I982" s="12"/>
      <c r="J982" s="13" t="str">
        <f aca="false">IF(OR($A982="",$D982=""),"",IF($C982="",1,$C982)*$D982+N($E982)-N($F982))</f>
        <v/>
      </c>
      <c r="K982" s="13" t="str">
        <f aca="false">IF($J982="","",IF($R982&lt;&gt;"",$R982,IF($G982="",0,MAX(IFERROR(INDEX(Settings!$D$6:$D$15,MATCH($G982,Settings!$A$6:$A$15,0)),0),$J982*IFERROR(INDEX(Settings!$B$6:$B$15,MATCH($G982,Settings!$A$6:$A$15,0)),0)+IFERROR(INDEX(Settings!$C$6:$C$15,MATCH($G982,Settings!$A$6:$A$15,0)),0)))))</f>
        <v/>
      </c>
      <c r="L982" s="13" t="str">
        <f aca="false">IF($J982="","",IF($C982="",1,$C982)*IF($Q982&lt;&gt;"",$Q982,IFERROR(INDEX(Products!$D$5:$D$54,MATCH($B982,Products!$A$5:$A$54,0)),0)))</f>
        <v/>
      </c>
      <c r="M982" s="14" t="str">
        <f aca="false">IF($J982="","",$J982-$K982-N($H982)-$L982)</f>
        <v/>
      </c>
      <c r="N982" s="15" t="str">
        <f aca="false">IF($J982="","",IF($J982&gt;0,$M982/$J982,""))</f>
        <v/>
      </c>
      <c r="O982" s="12"/>
      <c r="P982" s="12"/>
      <c r="Q982" s="11"/>
      <c r="R982" s="11"/>
      <c r="S982" s="12"/>
      <c r="T982" s="16" t="str">
        <f aca="false">IF($J982="","",IF($C982="",1,$C982))</f>
        <v/>
      </c>
    </row>
    <row r="983" customFormat="false" ht="15" hidden="false" customHeight="false" outlineLevel="0" collapsed="false">
      <c r="A983" s="7"/>
      <c r="B983" s="8"/>
      <c r="C983" s="9"/>
      <c r="D983" s="10"/>
      <c r="E983" s="11"/>
      <c r="F983" s="11"/>
      <c r="G983" s="8"/>
      <c r="H983" s="11"/>
      <c r="I983" s="12"/>
      <c r="J983" s="13" t="str">
        <f aca="false">IF(OR($A983="",$D983=""),"",IF($C983="",1,$C983)*$D983+N($E983)-N($F983))</f>
        <v/>
      </c>
      <c r="K983" s="13" t="str">
        <f aca="false">IF($J983="","",IF($R983&lt;&gt;"",$R983,IF($G983="",0,MAX(IFERROR(INDEX(Settings!$D$6:$D$15,MATCH($G983,Settings!$A$6:$A$15,0)),0),$J983*IFERROR(INDEX(Settings!$B$6:$B$15,MATCH($G983,Settings!$A$6:$A$15,0)),0)+IFERROR(INDEX(Settings!$C$6:$C$15,MATCH($G983,Settings!$A$6:$A$15,0)),0)))))</f>
        <v/>
      </c>
      <c r="L983" s="13" t="str">
        <f aca="false">IF($J983="","",IF($C983="",1,$C983)*IF($Q983&lt;&gt;"",$Q983,IFERROR(INDEX(Products!$D$5:$D$54,MATCH($B983,Products!$A$5:$A$54,0)),0)))</f>
        <v/>
      </c>
      <c r="M983" s="14" t="str">
        <f aca="false">IF($J983="","",$J983-$K983-N($H983)-$L983)</f>
        <v/>
      </c>
      <c r="N983" s="15" t="str">
        <f aca="false">IF($J983="","",IF($J983&gt;0,$M983/$J983,""))</f>
        <v/>
      </c>
      <c r="O983" s="12"/>
      <c r="P983" s="12"/>
      <c r="Q983" s="11"/>
      <c r="R983" s="11"/>
      <c r="S983" s="12"/>
      <c r="T983" s="16" t="str">
        <f aca="false">IF($J983="","",IF($C983="",1,$C983))</f>
        <v/>
      </c>
    </row>
    <row r="984" customFormat="false" ht="15" hidden="false" customHeight="false" outlineLevel="0" collapsed="false">
      <c r="A984" s="7"/>
      <c r="B984" s="8"/>
      <c r="C984" s="9"/>
      <c r="D984" s="10"/>
      <c r="E984" s="11"/>
      <c r="F984" s="11"/>
      <c r="G984" s="8"/>
      <c r="H984" s="11"/>
      <c r="I984" s="12"/>
      <c r="J984" s="13" t="str">
        <f aca="false">IF(OR($A984="",$D984=""),"",IF($C984="",1,$C984)*$D984+N($E984)-N($F984))</f>
        <v/>
      </c>
      <c r="K984" s="13" t="str">
        <f aca="false">IF($J984="","",IF($R984&lt;&gt;"",$R984,IF($G984="",0,MAX(IFERROR(INDEX(Settings!$D$6:$D$15,MATCH($G984,Settings!$A$6:$A$15,0)),0),$J984*IFERROR(INDEX(Settings!$B$6:$B$15,MATCH($G984,Settings!$A$6:$A$15,0)),0)+IFERROR(INDEX(Settings!$C$6:$C$15,MATCH($G984,Settings!$A$6:$A$15,0)),0)))))</f>
        <v/>
      </c>
      <c r="L984" s="13" t="str">
        <f aca="false">IF($J984="","",IF($C984="",1,$C984)*IF($Q984&lt;&gt;"",$Q984,IFERROR(INDEX(Products!$D$5:$D$54,MATCH($B984,Products!$A$5:$A$54,0)),0)))</f>
        <v/>
      </c>
      <c r="M984" s="14" t="str">
        <f aca="false">IF($J984="","",$J984-$K984-N($H984)-$L984)</f>
        <v/>
      </c>
      <c r="N984" s="15" t="str">
        <f aca="false">IF($J984="","",IF($J984&gt;0,$M984/$J984,""))</f>
        <v/>
      </c>
      <c r="O984" s="12"/>
      <c r="P984" s="12"/>
      <c r="Q984" s="11"/>
      <c r="R984" s="11"/>
      <c r="S984" s="12"/>
      <c r="T984" s="16" t="str">
        <f aca="false">IF($J984="","",IF($C984="",1,$C984))</f>
        <v/>
      </c>
    </row>
    <row r="985" customFormat="false" ht="15" hidden="false" customHeight="false" outlineLevel="0" collapsed="false">
      <c r="A985" s="7"/>
      <c r="B985" s="8"/>
      <c r="C985" s="9"/>
      <c r="D985" s="10"/>
      <c r="E985" s="11"/>
      <c r="F985" s="11"/>
      <c r="G985" s="8"/>
      <c r="H985" s="11"/>
      <c r="I985" s="12"/>
      <c r="J985" s="13" t="str">
        <f aca="false">IF(OR($A985="",$D985=""),"",IF($C985="",1,$C985)*$D985+N($E985)-N($F985))</f>
        <v/>
      </c>
      <c r="K985" s="13" t="str">
        <f aca="false">IF($J985="","",IF($R985&lt;&gt;"",$R985,IF($G985="",0,MAX(IFERROR(INDEX(Settings!$D$6:$D$15,MATCH($G985,Settings!$A$6:$A$15,0)),0),$J985*IFERROR(INDEX(Settings!$B$6:$B$15,MATCH($G985,Settings!$A$6:$A$15,0)),0)+IFERROR(INDEX(Settings!$C$6:$C$15,MATCH($G985,Settings!$A$6:$A$15,0)),0)))))</f>
        <v/>
      </c>
      <c r="L985" s="13" t="str">
        <f aca="false">IF($J985="","",IF($C985="",1,$C985)*IF($Q985&lt;&gt;"",$Q985,IFERROR(INDEX(Products!$D$5:$D$54,MATCH($B985,Products!$A$5:$A$54,0)),0)))</f>
        <v/>
      </c>
      <c r="M985" s="14" t="str">
        <f aca="false">IF($J985="","",$J985-$K985-N($H985)-$L985)</f>
        <v/>
      </c>
      <c r="N985" s="15" t="str">
        <f aca="false">IF($J985="","",IF($J985&gt;0,$M985/$J985,""))</f>
        <v/>
      </c>
      <c r="O985" s="12"/>
      <c r="P985" s="12"/>
      <c r="Q985" s="11"/>
      <c r="R985" s="11"/>
      <c r="S985" s="12"/>
      <c r="T985" s="16" t="str">
        <f aca="false">IF($J985="","",IF($C985="",1,$C985))</f>
        <v/>
      </c>
    </row>
    <row r="986" customFormat="false" ht="15" hidden="false" customHeight="false" outlineLevel="0" collapsed="false">
      <c r="A986" s="7"/>
      <c r="B986" s="8"/>
      <c r="C986" s="9"/>
      <c r="D986" s="10"/>
      <c r="E986" s="11"/>
      <c r="F986" s="11"/>
      <c r="G986" s="8"/>
      <c r="H986" s="11"/>
      <c r="I986" s="12"/>
      <c r="J986" s="13" t="str">
        <f aca="false">IF(OR($A986="",$D986=""),"",IF($C986="",1,$C986)*$D986+N($E986)-N($F986))</f>
        <v/>
      </c>
      <c r="K986" s="13" t="str">
        <f aca="false">IF($J986="","",IF($R986&lt;&gt;"",$R986,IF($G986="",0,MAX(IFERROR(INDEX(Settings!$D$6:$D$15,MATCH($G986,Settings!$A$6:$A$15,0)),0),$J986*IFERROR(INDEX(Settings!$B$6:$B$15,MATCH($G986,Settings!$A$6:$A$15,0)),0)+IFERROR(INDEX(Settings!$C$6:$C$15,MATCH($G986,Settings!$A$6:$A$15,0)),0)))))</f>
        <v/>
      </c>
      <c r="L986" s="13" t="str">
        <f aca="false">IF($J986="","",IF($C986="",1,$C986)*IF($Q986&lt;&gt;"",$Q986,IFERROR(INDEX(Products!$D$5:$D$54,MATCH($B986,Products!$A$5:$A$54,0)),0)))</f>
        <v/>
      </c>
      <c r="M986" s="14" t="str">
        <f aca="false">IF($J986="","",$J986-$K986-N($H986)-$L986)</f>
        <v/>
      </c>
      <c r="N986" s="15" t="str">
        <f aca="false">IF($J986="","",IF($J986&gt;0,$M986/$J986,""))</f>
        <v/>
      </c>
      <c r="O986" s="12"/>
      <c r="P986" s="12"/>
      <c r="Q986" s="11"/>
      <c r="R986" s="11"/>
      <c r="S986" s="12"/>
      <c r="T986" s="16" t="str">
        <f aca="false">IF($J986="","",IF($C986="",1,$C986))</f>
        <v/>
      </c>
    </row>
    <row r="987" customFormat="false" ht="15" hidden="false" customHeight="false" outlineLevel="0" collapsed="false">
      <c r="A987" s="7"/>
      <c r="B987" s="8"/>
      <c r="C987" s="9"/>
      <c r="D987" s="10"/>
      <c r="E987" s="11"/>
      <c r="F987" s="11"/>
      <c r="G987" s="8"/>
      <c r="H987" s="11"/>
      <c r="I987" s="12"/>
      <c r="J987" s="13" t="str">
        <f aca="false">IF(OR($A987="",$D987=""),"",IF($C987="",1,$C987)*$D987+N($E987)-N($F987))</f>
        <v/>
      </c>
      <c r="K987" s="13" t="str">
        <f aca="false">IF($J987="","",IF($R987&lt;&gt;"",$R987,IF($G987="",0,MAX(IFERROR(INDEX(Settings!$D$6:$D$15,MATCH($G987,Settings!$A$6:$A$15,0)),0),$J987*IFERROR(INDEX(Settings!$B$6:$B$15,MATCH($G987,Settings!$A$6:$A$15,0)),0)+IFERROR(INDEX(Settings!$C$6:$C$15,MATCH($G987,Settings!$A$6:$A$15,0)),0)))))</f>
        <v/>
      </c>
      <c r="L987" s="13" t="str">
        <f aca="false">IF($J987="","",IF($C987="",1,$C987)*IF($Q987&lt;&gt;"",$Q987,IFERROR(INDEX(Products!$D$5:$D$54,MATCH($B987,Products!$A$5:$A$54,0)),0)))</f>
        <v/>
      </c>
      <c r="M987" s="14" t="str">
        <f aca="false">IF($J987="","",$J987-$K987-N($H987)-$L987)</f>
        <v/>
      </c>
      <c r="N987" s="15" t="str">
        <f aca="false">IF($J987="","",IF($J987&gt;0,$M987/$J987,""))</f>
        <v/>
      </c>
      <c r="O987" s="12"/>
      <c r="P987" s="12"/>
      <c r="Q987" s="11"/>
      <c r="R987" s="11"/>
      <c r="S987" s="12"/>
      <c r="T987" s="16" t="str">
        <f aca="false">IF($J987="","",IF($C987="",1,$C987))</f>
        <v/>
      </c>
    </row>
    <row r="988" customFormat="false" ht="15" hidden="false" customHeight="false" outlineLevel="0" collapsed="false">
      <c r="A988" s="7"/>
      <c r="B988" s="8"/>
      <c r="C988" s="9"/>
      <c r="D988" s="10"/>
      <c r="E988" s="11"/>
      <c r="F988" s="11"/>
      <c r="G988" s="8"/>
      <c r="H988" s="11"/>
      <c r="I988" s="12"/>
      <c r="J988" s="13" t="str">
        <f aca="false">IF(OR($A988="",$D988=""),"",IF($C988="",1,$C988)*$D988+N($E988)-N($F988))</f>
        <v/>
      </c>
      <c r="K988" s="13" t="str">
        <f aca="false">IF($J988="","",IF($R988&lt;&gt;"",$R988,IF($G988="",0,MAX(IFERROR(INDEX(Settings!$D$6:$D$15,MATCH($G988,Settings!$A$6:$A$15,0)),0),$J988*IFERROR(INDEX(Settings!$B$6:$B$15,MATCH($G988,Settings!$A$6:$A$15,0)),0)+IFERROR(INDEX(Settings!$C$6:$C$15,MATCH($G988,Settings!$A$6:$A$15,0)),0)))))</f>
        <v/>
      </c>
      <c r="L988" s="13" t="str">
        <f aca="false">IF($J988="","",IF($C988="",1,$C988)*IF($Q988&lt;&gt;"",$Q988,IFERROR(INDEX(Products!$D$5:$D$54,MATCH($B988,Products!$A$5:$A$54,0)),0)))</f>
        <v/>
      </c>
      <c r="M988" s="14" t="str">
        <f aca="false">IF($J988="","",$J988-$K988-N($H988)-$L988)</f>
        <v/>
      </c>
      <c r="N988" s="15" t="str">
        <f aca="false">IF($J988="","",IF($J988&gt;0,$M988/$J988,""))</f>
        <v/>
      </c>
      <c r="O988" s="12"/>
      <c r="P988" s="12"/>
      <c r="Q988" s="11"/>
      <c r="R988" s="11"/>
      <c r="S988" s="12"/>
      <c r="T988" s="16" t="str">
        <f aca="false">IF($J988="","",IF($C988="",1,$C988))</f>
        <v/>
      </c>
    </row>
    <row r="989" customFormat="false" ht="15" hidden="false" customHeight="false" outlineLevel="0" collapsed="false">
      <c r="A989" s="7"/>
      <c r="B989" s="8"/>
      <c r="C989" s="9"/>
      <c r="D989" s="10"/>
      <c r="E989" s="11"/>
      <c r="F989" s="11"/>
      <c r="G989" s="8"/>
      <c r="H989" s="11"/>
      <c r="I989" s="12"/>
      <c r="J989" s="13" t="str">
        <f aca="false">IF(OR($A989="",$D989=""),"",IF($C989="",1,$C989)*$D989+N($E989)-N($F989))</f>
        <v/>
      </c>
      <c r="K989" s="13" t="str">
        <f aca="false">IF($J989="","",IF($R989&lt;&gt;"",$R989,IF($G989="",0,MAX(IFERROR(INDEX(Settings!$D$6:$D$15,MATCH($G989,Settings!$A$6:$A$15,0)),0),$J989*IFERROR(INDEX(Settings!$B$6:$B$15,MATCH($G989,Settings!$A$6:$A$15,0)),0)+IFERROR(INDEX(Settings!$C$6:$C$15,MATCH($G989,Settings!$A$6:$A$15,0)),0)))))</f>
        <v/>
      </c>
      <c r="L989" s="13" t="str">
        <f aca="false">IF($J989="","",IF($C989="",1,$C989)*IF($Q989&lt;&gt;"",$Q989,IFERROR(INDEX(Products!$D$5:$D$54,MATCH($B989,Products!$A$5:$A$54,0)),0)))</f>
        <v/>
      </c>
      <c r="M989" s="14" t="str">
        <f aca="false">IF($J989="","",$J989-$K989-N($H989)-$L989)</f>
        <v/>
      </c>
      <c r="N989" s="15" t="str">
        <f aca="false">IF($J989="","",IF($J989&gt;0,$M989/$J989,""))</f>
        <v/>
      </c>
      <c r="O989" s="12"/>
      <c r="P989" s="12"/>
      <c r="Q989" s="11"/>
      <c r="R989" s="11"/>
      <c r="S989" s="12"/>
      <c r="T989" s="16" t="str">
        <f aca="false">IF($J989="","",IF($C989="",1,$C989))</f>
        <v/>
      </c>
    </row>
    <row r="990" customFormat="false" ht="15" hidden="false" customHeight="false" outlineLevel="0" collapsed="false">
      <c r="A990" s="7"/>
      <c r="B990" s="8"/>
      <c r="C990" s="9"/>
      <c r="D990" s="10"/>
      <c r="E990" s="11"/>
      <c r="F990" s="11"/>
      <c r="G990" s="8"/>
      <c r="H990" s="11"/>
      <c r="I990" s="12"/>
      <c r="J990" s="13" t="str">
        <f aca="false">IF(OR($A990="",$D990=""),"",IF($C990="",1,$C990)*$D990+N($E990)-N($F990))</f>
        <v/>
      </c>
      <c r="K990" s="13" t="str">
        <f aca="false">IF($J990="","",IF($R990&lt;&gt;"",$R990,IF($G990="",0,MAX(IFERROR(INDEX(Settings!$D$6:$D$15,MATCH($G990,Settings!$A$6:$A$15,0)),0),$J990*IFERROR(INDEX(Settings!$B$6:$B$15,MATCH($G990,Settings!$A$6:$A$15,0)),0)+IFERROR(INDEX(Settings!$C$6:$C$15,MATCH($G990,Settings!$A$6:$A$15,0)),0)))))</f>
        <v/>
      </c>
      <c r="L990" s="13" t="str">
        <f aca="false">IF($J990="","",IF($C990="",1,$C990)*IF($Q990&lt;&gt;"",$Q990,IFERROR(INDEX(Products!$D$5:$D$54,MATCH($B990,Products!$A$5:$A$54,0)),0)))</f>
        <v/>
      </c>
      <c r="M990" s="14" t="str">
        <f aca="false">IF($J990="","",$J990-$K990-N($H990)-$L990)</f>
        <v/>
      </c>
      <c r="N990" s="15" t="str">
        <f aca="false">IF($J990="","",IF($J990&gt;0,$M990/$J990,""))</f>
        <v/>
      </c>
      <c r="O990" s="12"/>
      <c r="P990" s="12"/>
      <c r="Q990" s="11"/>
      <c r="R990" s="11"/>
      <c r="S990" s="12"/>
      <c r="T990" s="16" t="str">
        <f aca="false">IF($J990="","",IF($C990="",1,$C990))</f>
        <v/>
      </c>
    </row>
    <row r="991" customFormat="false" ht="15" hidden="false" customHeight="false" outlineLevel="0" collapsed="false">
      <c r="A991" s="7"/>
      <c r="B991" s="8"/>
      <c r="C991" s="9"/>
      <c r="D991" s="10"/>
      <c r="E991" s="11"/>
      <c r="F991" s="11"/>
      <c r="G991" s="8"/>
      <c r="H991" s="11"/>
      <c r="I991" s="12"/>
      <c r="J991" s="13" t="str">
        <f aca="false">IF(OR($A991="",$D991=""),"",IF($C991="",1,$C991)*$D991+N($E991)-N($F991))</f>
        <v/>
      </c>
      <c r="K991" s="13" t="str">
        <f aca="false">IF($J991="","",IF($R991&lt;&gt;"",$R991,IF($G991="",0,MAX(IFERROR(INDEX(Settings!$D$6:$D$15,MATCH($G991,Settings!$A$6:$A$15,0)),0),$J991*IFERROR(INDEX(Settings!$B$6:$B$15,MATCH($G991,Settings!$A$6:$A$15,0)),0)+IFERROR(INDEX(Settings!$C$6:$C$15,MATCH($G991,Settings!$A$6:$A$15,0)),0)))))</f>
        <v/>
      </c>
      <c r="L991" s="13" t="str">
        <f aca="false">IF($J991="","",IF($C991="",1,$C991)*IF($Q991&lt;&gt;"",$Q991,IFERROR(INDEX(Products!$D$5:$D$54,MATCH($B991,Products!$A$5:$A$54,0)),0)))</f>
        <v/>
      </c>
      <c r="M991" s="14" t="str">
        <f aca="false">IF($J991="","",$J991-$K991-N($H991)-$L991)</f>
        <v/>
      </c>
      <c r="N991" s="15" t="str">
        <f aca="false">IF($J991="","",IF($J991&gt;0,$M991/$J991,""))</f>
        <v/>
      </c>
      <c r="O991" s="12"/>
      <c r="P991" s="12"/>
      <c r="Q991" s="11"/>
      <c r="R991" s="11"/>
      <c r="S991" s="12"/>
      <c r="T991" s="16" t="str">
        <f aca="false">IF($J991="","",IF($C991="",1,$C991))</f>
        <v/>
      </c>
    </row>
    <row r="992" customFormat="false" ht="15" hidden="false" customHeight="false" outlineLevel="0" collapsed="false">
      <c r="A992" s="7"/>
      <c r="B992" s="8"/>
      <c r="C992" s="9"/>
      <c r="D992" s="10"/>
      <c r="E992" s="11"/>
      <c r="F992" s="11"/>
      <c r="G992" s="8"/>
      <c r="H992" s="11"/>
      <c r="I992" s="12"/>
      <c r="J992" s="13" t="str">
        <f aca="false">IF(OR($A992="",$D992=""),"",IF($C992="",1,$C992)*$D992+N($E992)-N($F992))</f>
        <v/>
      </c>
      <c r="K992" s="13" t="str">
        <f aca="false">IF($J992="","",IF($R992&lt;&gt;"",$R992,IF($G992="",0,MAX(IFERROR(INDEX(Settings!$D$6:$D$15,MATCH($G992,Settings!$A$6:$A$15,0)),0),$J992*IFERROR(INDEX(Settings!$B$6:$B$15,MATCH($G992,Settings!$A$6:$A$15,0)),0)+IFERROR(INDEX(Settings!$C$6:$C$15,MATCH($G992,Settings!$A$6:$A$15,0)),0)))))</f>
        <v/>
      </c>
      <c r="L992" s="13" t="str">
        <f aca="false">IF($J992="","",IF($C992="",1,$C992)*IF($Q992&lt;&gt;"",$Q992,IFERROR(INDEX(Products!$D$5:$D$54,MATCH($B992,Products!$A$5:$A$54,0)),0)))</f>
        <v/>
      </c>
      <c r="M992" s="14" t="str">
        <f aca="false">IF($J992="","",$J992-$K992-N($H992)-$L992)</f>
        <v/>
      </c>
      <c r="N992" s="15" t="str">
        <f aca="false">IF($J992="","",IF($J992&gt;0,$M992/$J992,""))</f>
        <v/>
      </c>
      <c r="O992" s="12"/>
      <c r="P992" s="12"/>
      <c r="Q992" s="11"/>
      <c r="R992" s="11"/>
      <c r="S992" s="12"/>
      <c r="T992" s="16" t="str">
        <f aca="false">IF($J992="","",IF($C992="",1,$C992))</f>
        <v/>
      </c>
    </row>
    <row r="993" customFormat="false" ht="15" hidden="false" customHeight="false" outlineLevel="0" collapsed="false">
      <c r="A993" s="7"/>
      <c r="B993" s="8"/>
      <c r="C993" s="9"/>
      <c r="D993" s="10"/>
      <c r="E993" s="11"/>
      <c r="F993" s="11"/>
      <c r="G993" s="8"/>
      <c r="H993" s="11"/>
      <c r="I993" s="12"/>
      <c r="J993" s="13" t="str">
        <f aca="false">IF(OR($A993="",$D993=""),"",IF($C993="",1,$C993)*$D993+N($E993)-N($F993))</f>
        <v/>
      </c>
      <c r="K993" s="13" t="str">
        <f aca="false">IF($J993="","",IF($R993&lt;&gt;"",$R993,IF($G993="",0,MAX(IFERROR(INDEX(Settings!$D$6:$D$15,MATCH($G993,Settings!$A$6:$A$15,0)),0),$J993*IFERROR(INDEX(Settings!$B$6:$B$15,MATCH($G993,Settings!$A$6:$A$15,0)),0)+IFERROR(INDEX(Settings!$C$6:$C$15,MATCH($G993,Settings!$A$6:$A$15,0)),0)))))</f>
        <v/>
      </c>
      <c r="L993" s="13" t="str">
        <f aca="false">IF($J993="","",IF($C993="",1,$C993)*IF($Q993&lt;&gt;"",$Q993,IFERROR(INDEX(Products!$D$5:$D$54,MATCH($B993,Products!$A$5:$A$54,0)),0)))</f>
        <v/>
      </c>
      <c r="M993" s="14" t="str">
        <f aca="false">IF($J993="","",$J993-$K993-N($H993)-$L993)</f>
        <v/>
      </c>
      <c r="N993" s="15" t="str">
        <f aca="false">IF($J993="","",IF($J993&gt;0,$M993/$J993,""))</f>
        <v/>
      </c>
      <c r="O993" s="12"/>
      <c r="P993" s="12"/>
      <c r="Q993" s="11"/>
      <c r="R993" s="11"/>
      <c r="S993" s="12"/>
      <c r="T993" s="16" t="str">
        <f aca="false">IF($J993="","",IF($C993="",1,$C993))</f>
        <v/>
      </c>
    </row>
    <row r="994" customFormat="false" ht="15" hidden="false" customHeight="false" outlineLevel="0" collapsed="false">
      <c r="A994" s="7"/>
      <c r="B994" s="8"/>
      <c r="C994" s="9"/>
      <c r="D994" s="10"/>
      <c r="E994" s="11"/>
      <c r="F994" s="11"/>
      <c r="G994" s="8"/>
      <c r="H994" s="11"/>
      <c r="I994" s="12"/>
      <c r="J994" s="13" t="str">
        <f aca="false">IF(OR($A994="",$D994=""),"",IF($C994="",1,$C994)*$D994+N($E994)-N($F994))</f>
        <v/>
      </c>
      <c r="K994" s="13" t="str">
        <f aca="false">IF($J994="","",IF($R994&lt;&gt;"",$R994,IF($G994="",0,MAX(IFERROR(INDEX(Settings!$D$6:$D$15,MATCH($G994,Settings!$A$6:$A$15,0)),0),$J994*IFERROR(INDEX(Settings!$B$6:$B$15,MATCH($G994,Settings!$A$6:$A$15,0)),0)+IFERROR(INDEX(Settings!$C$6:$C$15,MATCH($G994,Settings!$A$6:$A$15,0)),0)))))</f>
        <v/>
      </c>
      <c r="L994" s="13" t="str">
        <f aca="false">IF($J994="","",IF($C994="",1,$C994)*IF($Q994&lt;&gt;"",$Q994,IFERROR(INDEX(Products!$D$5:$D$54,MATCH($B994,Products!$A$5:$A$54,0)),0)))</f>
        <v/>
      </c>
      <c r="M994" s="14" t="str">
        <f aca="false">IF($J994="","",$J994-$K994-N($H994)-$L994)</f>
        <v/>
      </c>
      <c r="N994" s="15" t="str">
        <f aca="false">IF($J994="","",IF($J994&gt;0,$M994/$J994,""))</f>
        <v/>
      </c>
      <c r="O994" s="12"/>
      <c r="P994" s="12"/>
      <c r="Q994" s="11"/>
      <c r="R994" s="11"/>
      <c r="S994" s="12"/>
      <c r="T994" s="16" t="str">
        <f aca="false">IF($J994="","",IF($C994="",1,$C994))</f>
        <v/>
      </c>
    </row>
    <row r="995" customFormat="false" ht="15" hidden="false" customHeight="false" outlineLevel="0" collapsed="false">
      <c r="A995" s="7"/>
      <c r="B995" s="8"/>
      <c r="C995" s="9"/>
      <c r="D995" s="10"/>
      <c r="E995" s="11"/>
      <c r="F995" s="11"/>
      <c r="G995" s="8"/>
      <c r="H995" s="11"/>
      <c r="I995" s="12"/>
      <c r="J995" s="13" t="str">
        <f aca="false">IF(OR($A995="",$D995=""),"",IF($C995="",1,$C995)*$D995+N($E995)-N($F995))</f>
        <v/>
      </c>
      <c r="K995" s="13" t="str">
        <f aca="false">IF($J995="","",IF($R995&lt;&gt;"",$R995,IF($G995="",0,MAX(IFERROR(INDEX(Settings!$D$6:$D$15,MATCH($G995,Settings!$A$6:$A$15,0)),0),$J995*IFERROR(INDEX(Settings!$B$6:$B$15,MATCH($G995,Settings!$A$6:$A$15,0)),0)+IFERROR(INDEX(Settings!$C$6:$C$15,MATCH($G995,Settings!$A$6:$A$15,0)),0)))))</f>
        <v/>
      </c>
      <c r="L995" s="13" t="str">
        <f aca="false">IF($J995="","",IF($C995="",1,$C995)*IF($Q995&lt;&gt;"",$Q995,IFERROR(INDEX(Products!$D$5:$D$54,MATCH($B995,Products!$A$5:$A$54,0)),0)))</f>
        <v/>
      </c>
      <c r="M995" s="14" t="str">
        <f aca="false">IF($J995="","",$J995-$K995-N($H995)-$L995)</f>
        <v/>
      </c>
      <c r="N995" s="15" t="str">
        <f aca="false">IF($J995="","",IF($J995&gt;0,$M995/$J995,""))</f>
        <v/>
      </c>
      <c r="O995" s="12"/>
      <c r="P995" s="12"/>
      <c r="Q995" s="11"/>
      <c r="R995" s="11"/>
      <c r="S995" s="12"/>
      <c r="T995" s="16" t="str">
        <f aca="false">IF($J995="","",IF($C995="",1,$C995))</f>
        <v/>
      </c>
    </row>
    <row r="996" customFormat="false" ht="15" hidden="false" customHeight="false" outlineLevel="0" collapsed="false">
      <c r="A996" s="7"/>
      <c r="B996" s="8"/>
      <c r="C996" s="9"/>
      <c r="D996" s="10"/>
      <c r="E996" s="11"/>
      <c r="F996" s="11"/>
      <c r="G996" s="8"/>
      <c r="H996" s="11"/>
      <c r="I996" s="12"/>
      <c r="J996" s="13" t="str">
        <f aca="false">IF(OR($A996="",$D996=""),"",IF($C996="",1,$C996)*$D996+N($E996)-N($F996))</f>
        <v/>
      </c>
      <c r="K996" s="13" t="str">
        <f aca="false">IF($J996="","",IF($R996&lt;&gt;"",$R996,IF($G996="",0,MAX(IFERROR(INDEX(Settings!$D$6:$D$15,MATCH($G996,Settings!$A$6:$A$15,0)),0),$J996*IFERROR(INDEX(Settings!$B$6:$B$15,MATCH($G996,Settings!$A$6:$A$15,0)),0)+IFERROR(INDEX(Settings!$C$6:$C$15,MATCH($G996,Settings!$A$6:$A$15,0)),0)))))</f>
        <v/>
      </c>
      <c r="L996" s="13" t="str">
        <f aca="false">IF($J996="","",IF($C996="",1,$C996)*IF($Q996&lt;&gt;"",$Q996,IFERROR(INDEX(Products!$D$5:$D$54,MATCH($B996,Products!$A$5:$A$54,0)),0)))</f>
        <v/>
      </c>
      <c r="M996" s="14" t="str">
        <f aca="false">IF($J996="","",$J996-$K996-N($H996)-$L996)</f>
        <v/>
      </c>
      <c r="N996" s="15" t="str">
        <f aca="false">IF($J996="","",IF($J996&gt;0,$M996/$J996,""))</f>
        <v/>
      </c>
      <c r="O996" s="12"/>
      <c r="P996" s="12"/>
      <c r="Q996" s="11"/>
      <c r="R996" s="11"/>
      <c r="S996" s="12"/>
      <c r="T996" s="16" t="str">
        <f aca="false">IF($J996="","",IF($C996="",1,$C996))</f>
        <v/>
      </c>
    </row>
    <row r="997" customFormat="false" ht="15" hidden="false" customHeight="false" outlineLevel="0" collapsed="false">
      <c r="A997" s="7"/>
      <c r="B997" s="8"/>
      <c r="C997" s="9"/>
      <c r="D997" s="10"/>
      <c r="E997" s="11"/>
      <c r="F997" s="11"/>
      <c r="G997" s="8"/>
      <c r="H997" s="11"/>
      <c r="I997" s="12"/>
      <c r="J997" s="13" t="str">
        <f aca="false">IF(OR($A997="",$D997=""),"",IF($C997="",1,$C997)*$D997+N($E997)-N($F997))</f>
        <v/>
      </c>
      <c r="K997" s="13" t="str">
        <f aca="false">IF($J997="","",IF($R997&lt;&gt;"",$R997,IF($G997="",0,MAX(IFERROR(INDEX(Settings!$D$6:$D$15,MATCH($G997,Settings!$A$6:$A$15,0)),0),$J997*IFERROR(INDEX(Settings!$B$6:$B$15,MATCH($G997,Settings!$A$6:$A$15,0)),0)+IFERROR(INDEX(Settings!$C$6:$C$15,MATCH($G997,Settings!$A$6:$A$15,0)),0)))))</f>
        <v/>
      </c>
      <c r="L997" s="13" t="str">
        <f aca="false">IF($J997="","",IF($C997="",1,$C997)*IF($Q997&lt;&gt;"",$Q997,IFERROR(INDEX(Products!$D$5:$D$54,MATCH($B997,Products!$A$5:$A$54,0)),0)))</f>
        <v/>
      </c>
      <c r="M997" s="14" t="str">
        <f aca="false">IF($J997="","",$J997-$K997-N($H997)-$L997)</f>
        <v/>
      </c>
      <c r="N997" s="15" t="str">
        <f aca="false">IF($J997="","",IF($J997&gt;0,$M997/$J997,""))</f>
        <v/>
      </c>
      <c r="O997" s="12"/>
      <c r="P997" s="12"/>
      <c r="Q997" s="11"/>
      <c r="R997" s="11"/>
      <c r="S997" s="12"/>
      <c r="T997" s="16" t="str">
        <f aca="false">IF($J997="","",IF($C997="",1,$C997))</f>
        <v/>
      </c>
    </row>
    <row r="998" customFormat="false" ht="15" hidden="false" customHeight="false" outlineLevel="0" collapsed="false">
      <c r="A998" s="7"/>
      <c r="B998" s="8"/>
      <c r="C998" s="9"/>
      <c r="D998" s="10"/>
      <c r="E998" s="11"/>
      <c r="F998" s="11"/>
      <c r="G998" s="8"/>
      <c r="H998" s="11"/>
      <c r="I998" s="12"/>
      <c r="J998" s="13" t="str">
        <f aca="false">IF(OR($A998="",$D998=""),"",IF($C998="",1,$C998)*$D998+N($E998)-N($F998))</f>
        <v/>
      </c>
      <c r="K998" s="13" t="str">
        <f aca="false">IF($J998="","",IF($R998&lt;&gt;"",$R998,IF($G998="",0,MAX(IFERROR(INDEX(Settings!$D$6:$D$15,MATCH($G998,Settings!$A$6:$A$15,0)),0),$J998*IFERROR(INDEX(Settings!$B$6:$B$15,MATCH($G998,Settings!$A$6:$A$15,0)),0)+IFERROR(INDEX(Settings!$C$6:$C$15,MATCH($G998,Settings!$A$6:$A$15,0)),0)))))</f>
        <v/>
      </c>
      <c r="L998" s="13" t="str">
        <f aca="false">IF($J998="","",IF($C998="",1,$C998)*IF($Q998&lt;&gt;"",$Q998,IFERROR(INDEX(Products!$D$5:$D$54,MATCH($B998,Products!$A$5:$A$54,0)),0)))</f>
        <v/>
      </c>
      <c r="M998" s="14" t="str">
        <f aca="false">IF($J998="","",$J998-$K998-N($H998)-$L998)</f>
        <v/>
      </c>
      <c r="N998" s="15" t="str">
        <f aca="false">IF($J998="","",IF($J998&gt;0,$M998/$J998,""))</f>
        <v/>
      </c>
      <c r="O998" s="12"/>
      <c r="P998" s="12"/>
      <c r="Q998" s="11"/>
      <c r="R998" s="11"/>
      <c r="S998" s="12"/>
      <c r="T998" s="16" t="str">
        <f aca="false">IF($J998="","",IF($C998="",1,$C998))</f>
        <v/>
      </c>
    </row>
    <row r="999" customFormat="false" ht="15" hidden="false" customHeight="false" outlineLevel="0" collapsed="false">
      <c r="A999" s="7"/>
      <c r="B999" s="8"/>
      <c r="C999" s="9"/>
      <c r="D999" s="10"/>
      <c r="E999" s="11"/>
      <c r="F999" s="11"/>
      <c r="G999" s="8"/>
      <c r="H999" s="11"/>
      <c r="I999" s="12"/>
      <c r="J999" s="13" t="str">
        <f aca="false">IF(OR($A999="",$D999=""),"",IF($C999="",1,$C999)*$D999+N($E999)-N($F999))</f>
        <v/>
      </c>
      <c r="K999" s="13" t="str">
        <f aca="false">IF($J999="","",IF($R999&lt;&gt;"",$R999,IF($G999="",0,MAX(IFERROR(INDEX(Settings!$D$6:$D$15,MATCH($G999,Settings!$A$6:$A$15,0)),0),$J999*IFERROR(INDEX(Settings!$B$6:$B$15,MATCH($G999,Settings!$A$6:$A$15,0)),0)+IFERROR(INDEX(Settings!$C$6:$C$15,MATCH($G999,Settings!$A$6:$A$15,0)),0)))))</f>
        <v/>
      </c>
      <c r="L999" s="13" t="str">
        <f aca="false">IF($J999="","",IF($C999="",1,$C999)*IF($Q999&lt;&gt;"",$Q999,IFERROR(INDEX(Products!$D$5:$D$54,MATCH($B999,Products!$A$5:$A$54,0)),0)))</f>
        <v/>
      </c>
      <c r="M999" s="14" t="str">
        <f aca="false">IF($J999="","",$J999-$K999-N($H999)-$L999)</f>
        <v/>
      </c>
      <c r="N999" s="15" t="str">
        <f aca="false">IF($J999="","",IF($J999&gt;0,$M999/$J999,""))</f>
        <v/>
      </c>
      <c r="O999" s="12"/>
      <c r="P999" s="12"/>
      <c r="Q999" s="11"/>
      <c r="R999" s="11"/>
      <c r="S999" s="12"/>
      <c r="T999" s="16" t="str">
        <f aca="false">IF($J999="","",IF($C999="",1,$C999))</f>
        <v/>
      </c>
    </row>
    <row r="1000" customFormat="false" ht="15" hidden="false" customHeight="false" outlineLevel="0" collapsed="false">
      <c r="A1000" s="7"/>
      <c r="B1000" s="8"/>
      <c r="C1000" s="9"/>
      <c r="D1000" s="10"/>
      <c r="E1000" s="11"/>
      <c r="F1000" s="11"/>
      <c r="G1000" s="8"/>
      <c r="H1000" s="11"/>
      <c r="I1000" s="12"/>
      <c r="J1000" s="13" t="str">
        <f aca="false">IF(OR($A1000="",$D1000=""),"",IF($C1000="",1,$C1000)*$D1000+N($E1000)-N($F1000))</f>
        <v/>
      </c>
      <c r="K1000" s="13" t="str">
        <f aca="false">IF($J1000="","",IF($R1000&lt;&gt;"",$R1000,IF($G1000="",0,MAX(IFERROR(INDEX(Settings!$D$6:$D$15,MATCH($G1000,Settings!$A$6:$A$15,0)),0),$J1000*IFERROR(INDEX(Settings!$B$6:$B$15,MATCH($G1000,Settings!$A$6:$A$15,0)),0)+IFERROR(INDEX(Settings!$C$6:$C$15,MATCH($G1000,Settings!$A$6:$A$15,0)),0)))))</f>
        <v/>
      </c>
      <c r="L1000" s="13" t="str">
        <f aca="false">IF($J1000="","",IF($C1000="",1,$C1000)*IF($Q1000&lt;&gt;"",$Q1000,IFERROR(INDEX(Products!$D$5:$D$54,MATCH($B1000,Products!$A$5:$A$54,0)),0)))</f>
        <v/>
      </c>
      <c r="M1000" s="14" t="str">
        <f aca="false">IF($J1000="","",$J1000-$K1000-N($H1000)-$L1000)</f>
        <v/>
      </c>
      <c r="N1000" s="15" t="str">
        <f aca="false">IF($J1000="","",IF($J1000&gt;0,$M1000/$J1000,""))</f>
        <v/>
      </c>
      <c r="O1000" s="12"/>
      <c r="P1000" s="12"/>
      <c r="Q1000" s="11"/>
      <c r="R1000" s="11"/>
      <c r="S1000" s="12"/>
      <c r="T1000" s="16" t="str">
        <f aca="false">IF($J1000="","",IF($C1000="",1,$C1000))</f>
        <v/>
      </c>
    </row>
    <row r="1001" customFormat="false" ht="15" hidden="false" customHeight="false" outlineLevel="0" collapsed="false">
      <c r="A1001" s="7"/>
      <c r="B1001" s="8"/>
      <c r="C1001" s="9"/>
      <c r="D1001" s="10"/>
      <c r="E1001" s="11"/>
      <c r="F1001" s="11"/>
      <c r="G1001" s="8"/>
      <c r="H1001" s="11"/>
      <c r="I1001" s="12"/>
      <c r="J1001" s="13" t="str">
        <f aca="false">IF(OR($A1001="",$D1001=""),"",IF($C1001="",1,$C1001)*$D1001+N($E1001)-N($F1001))</f>
        <v/>
      </c>
      <c r="K1001" s="13" t="str">
        <f aca="false">IF($J1001="","",IF($R1001&lt;&gt;"",$R1001,IF($G1001="",0,MAX(IFERROR(INDEX(Settings!$D$6:$D$15,MATCH($G1001,Settings!$A$6:$A$15,0)),0),$J1001*IFERROR(INDEX(Settings!$B$6:$B$15,MATCH($G1001,Settings!$A$6:$A$15,0)),0)+IFERROR(INDEX(Settings!$C$6:$C$15,MATCH($G1001,Settings!$A$6:$A$15,0)),0)))))</f>
        <v/>
      </c>
      <c r="L1001" s="13" t="str">
        <f aca="false">IF($J1001="","",IF($C1001="",1,$C1001)*IF($Q1001&lt;&gt;"",$Q1001,IFERROR(INDEX(Products!$D$5:$D$54,MATCH($B1001,Products!$A$5:$A$54,0)),0)))</f>
        <v/>
      </c>
      <c r="M1001" s="14" t="str">
        <f aca="false">IF($J1001="","",$J1001-$K1001-N($H1001)-$L1001)</f>
        <v/>
      </c>
      <c r="N1001" s="15" t="str">
        <f aca="false">IF($J1001="","",IF($J1001&gt;0,$M1001/$J1001,""))</f>
        <v/>
      </c>
      <c r="O1001" s="12"/>
      <c r="P1001" s="12"/>
      <c r="Q1001" s="11"/>
      <c r="R1001" s="11"/>
      <c r="S1001" s="12"/>
      <c r="T1001" s="16" t="str">
        <f aca="false">IF($J1001="","",IF($C1001="",1,$C1001))</f>
        <v/>
      </c>
    </row>
    <row r="1002" customFormat="false" ht="15" hidden="false" customHeight="false" outlineLevel="0" collapsed="false">
      <c r="A1002" s="7"/>
      <c r="B1002" s="8"/>
      <c r="C1002" s="9"/>
      <c r="D1002" s="10"/>
      <c r="E1002" s="11"/>
      <c r="F1002" s="11"/>
      <c r="G1002" s="8"/>
      <c r="H1002" s="11"/>
      <c r="I1002" s="12"/>
      <c r="J1002" s="13" t="str">
        <f aca="false">IF(OR($A1002="",$D1002=""),"",IF($C1002="",1,$C1002)*$D1002+N($E1002)-N($F1002))</f>
        <v/>
      </c>
      <c r="K1002" s="13" t="str">
        <f aca="false">IF($J1002="","",IF($R1002&lt;&gt;"",$R1002,IF($G1002="",0,MAX(IFERROR(INDEX(Settings!$D$6:$D$15,MATCH($G1002,Settings!$A$6:$A$15,0)),0),$J1002*IFERROR(INDEX(Settings!$B$6:$B$15,MATCH($G1002,Settings!$A$6:$A$15,0)),0)+IFERROR(INDEX(Settings!$C$6:$C$15,MATCH($G1002,Settings!$A$6:$A$15,0)),0)))))</f>
        <v/>
      </c>
      <c r="L1002" s="13" t="str">
        <f aca="false">IF($J1002="","",IF($C1002="",1,$C1002)*IF($Q1002&lt;&gt;"",$Q1002,IFERROR(INDEX(Products!$D$5:$D$54,MATCH($B1002,Products!$A$5:$A$54,0)),0)))</f>
        <v/>
      </c>
      <c r="M1002" s="14" t="str">
        <f aca="false">IF($J1002="","",$J1002-$K1002-N($H1002)-$L1002)</f>
        <v/>
      </c>
      <c r="N1002" s="15" t="str">
        <f aca="false">IF($J1002="","",IF($J1002&gt;0,$M1002/$J1002,""))</f>
        <v/>
      </c>
      <c r="O1002" s="12"/>
      <c r="P1002" s="12"/>
      <c r="Q1002" s="11"/>
      <c r="R1002" s="11"/>
      <c r="S1002" s="12"/>
      <c r="T1002" s="16" t="str">
        <f aca="false">IF($J1002="","",IF($C1002="",1,$C1002))</f>
        <v/>
      </c>
    </row>
    <row r="1003" customFormat="false" ht="15" hidden="false" customHeight="false" outlineLevel="0" collapsed="false">
      <c r="A1003" s="7"/>
      <c r="B1003" s="8"/>
      <c r="C1003" s="9"/>
      <c r="D1003" s="10"/>
      <c r="E1003" s="11"/>
      <c r="F1003" s="11"/>
      <c r="G1003" s="8"/>
      <c r="H1003" s="11"/>
      <c r="I1003" s="12"/>
      <c r="J1003" s="13" t="str">
        <f aca="false">IF(OR($A1003="",$D1003=""),"",IF($C1003="",1,$C1003)*$D1003+N($E1003)-N($F1003))</f>
        <v/>
      </c>
      <c r="K1003" s="13" t="str">
        <f aca="false">IF($J1003="","",IF($R1003&lt;&gt;"",$R1003,IF($G1003="",0,MAX(IFERROR(INDEX(Settings!$D$6:$D$15,MATCH($G1003,Settings!$A$6:$A$15,0)),0),$J1003*IFERROR(INDEX(Settings!$B$6:$B$15,MATCH($G1003,Settings!$A$6:$A$15,0)),0)+IFERROR(INDEX(Settings!$C$6:$C$15,MATCH($G1003,Settings!$A$6:$A$15,0)),0)))))</f>
        <v/>
      </c>
      <c r="L1003" s="13" t="str">
        <f aca="false">IF($J1003="","",IF($C1003="",1,$C1003)*IF($Q1003&lt;&gt;"",$Q1003,IFERROR(INDEX(Products!$D$5:$D$54,MATCH($B1003,Products!$A$5:$A$54,0)),0)))</f>
        <v/>
      </c>
      <c r="M1003" s="14" t="str">
        <f aca="false">IF($J1003="","",$J1003-$K1003-N($H1003)-$L1003)</f>
        <v/>
      </c>
      <c r="N1003" s="15" t="str">
        <f aca="false">IF($J1003="","",IF($J1003&gt;0,$M1003/$J1003,""))</f>
        <v/>
      </c>
      <c r="O1003" s="12"/>
      <c r="P1003" s="12"/>
      <c r="Q1003" s="11"/>
      <c r="R1003" s="11"/>
      <c r="S1003" s="12"/>
      <c r="T1003" s="16" t="str">
        <f aca="false">IF($J1003="","",IF($C1003="",1,$C1003))</f>
        <v/>
      </c>
    </row>
    <row r="1004" customFormat="false" ht="15" hidden="false" customHeight="false" outlineLevel="0" collapsed="false">
      <c r="A1004" s="7"/>
      <c r="B1004" s="8"/>
      <c r="C1004" s="9"/>
      <c r="D1004" s="10"/>
      <c r="E1004" s="11"/>
      <c r="F1004" s="11"/>
      <c r="G1004" s="8"/>
      <c r="H1004" s="11"/>
      <c r="I1004" s="12"/>
      <c r="J1004" s="13" t="str">
        <f aca="false">IF(OR($A1004="",$D1004=""),"",IF($C1004="",1,$C1004)*$D1004+N($E1004)-N($F1004))</f>
        <v/>
      </c>
      <c r="K1004" s="13" t="str">
        <f aca="false">IF($J1004="","",IF($R1004&lt;&gt;"",$R1004,IF($G1004="",0,MAX(IFERROR(INDEX(Settings!$D$6:$D$15,MATCH($G1004,Settings!$A$6:$A$15,0)),0),$J1004*IFERROR(INDEX(Settings!$B$6:$B$15,MATCH($G1004,Settings!$A$6:$A$15,0)),0)+IFERROR(INDEX(Settings!$C$6:$C$15,MATCH($G1004,Settings!$A$6:$A$15,0)),0)))))</f>
        <v/>
      </c>
      <c r="L1004" s="13" t="str">
        <f aca="false">IF($J1004="","",IF($C1004="",1,$C1004)*IF($Q1004&lt;&gt;"",$Q1004,IFERROR(INDEX(Products!$D$5:$D$54,MATCH($B1004,Products!$A$5:$A$54,0)),0)))</f>
        <v/>
      </c>
      <c r="M1004" s="14" t="str">
        <f aca="false">IF($J1004="","",$J1004-$K1004-N($H1004)-$L1004)</f>
        <v/>
      </c>
      <c r="N1004" s="15" t="str">
        <f aca="false">IF($J1004="","",IF($J1004&gt;0,$M1004/$J1004,""))</f>
        <v/>
      </c>
      <c r="O1004" s="12"/>
      <c r="P1004" s="12"/>
      <c r="Q1004" s="11"/>
      <c r="R1004" s="11"/>
      <c r="S1004" s="12"/>
      <c r="T1004" s="16" t="str">
        <f aca="false">IF($J1004="","",IF($C1004="",1,$C1004))</f>
        <v/>
      </c>
    </row>
  </sheetData>
  <conditionalFormatting sqref="A5:S1004">
    <cfRule type="expression" priority="2" aboveAverage="0" equalAverage="0" bottom="0" percent="0" rank="0" text="" dxfId="0">
      <formula>OR($I5="Refunded",$I5="Cancelled")</formula>
    </cfRule>
  </conditionalFormatting>
  <conditionalFormatting sqref="M5:N1004">
    <cfRule type="cellIs" priority="3" operator="lessThan" aboveAverage="0" equalAverage="0" bottom="0" percent="0" rank="0" text="" dxfId="1">
      <formula>0</formula>
    </cfRule>
  </conditionalFormatting>
  <dataValidations count="6">
    <dataValidation allowBlank="true" error="Enter the sale date, e.g. 10/15/2026." errorStyle="stop" errorTitle="Date needed" operator="greaterThanOrEqual" showDropDown="false" showErrorMessage="true" showInputMessage="false" sqref="A5:A1004" type="date">
      <formula1>43831</formula1>
      <formula2>0</formula2>
    </dataValidation>
    <dataValidation allowBlank="true" errorStyle="stop" operator="between" showDropDown="false" showErrorMessage="false" showInputMessage="false" sqref="B5:B1004" type="list">
      <formula1>Products!$A$5:$A$54</formula1>
      <formula2>0</formula2>
    </dataValidation>
    <dataValidation allowBlank="true" error="Enter 1 or more." errorStyle="stop" errorTitle="Whole number" operator="greaterThanOrEqual" showDropDown="false" showErrorMessage="true" showInputMessage="false" sqref="C5:C1004" type="whole">
      <formula1>1</formula1>
      <formula2>0</formula2>
    </dataValidation>
    <dataValidation allowBlank="true" error="Enter an amount of 0 or more." errorStyle="stop" errorTitle="Number needed" operator="greaterThanOrEqual" showDropDown="false" showErrorMessage="true" showInputMessage="false" sqref="D5:F1004 H5:H1004 Q5:R1004" type="decimal">
      <formula1>0</formula1>
      <formula2>0</formula2>
    </dataValidation>
    <dataValidation allowBlank="true" error="Pick a platform from the list, or add a new one on the Settings tab." errorStyle="stop" errorTitle="Pick a platform" operator="between" showDropDown="false" showErrorMessage="true" showInputMessage="false" sqref="G5:G1004" type="list">
      <formula1>Settings!$A$6:$A$15</formula1>
      <formula2>0</formula2>
    </dataValidation>
    <dataValidation allowBlank="true" error="Choose Paid, Shipped, Delivered, Refunded or Cancelled." errorStyle="stop" errorTitle="Pick a status" operator="between" showDropDown="false" showErrorMessage="true" showInputMessage="false" sqref="I5:I1004" type="list">
      <formula1>"Paid,Shipped,Delivered,Refunded,Cancelled"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9"/>
    <col collapsed="false" customWidth="true" hidden="false" outlineLevel="0" max="4" min="4" style="0" width="12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17" t="s">
        <v>41</v>
      </c>
      <c r="B4" s="18" t="n">
        <f aca="true">YEAR(TODAY())</f>
        <v>2026</v>
      </c>
      <c r="C4" s="2" t="s">
        <v>42</v>
      </c>
    </row>
    <row r="6" customFormat="false" ht="31.5" hidden="false" customHeight="true" outlineLevel="0" collapsed="false">
      <c r="A6" s="3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3" t="s">
        <v>50</v>
      </c>
      <c r="I6" s="3" t="s">
        <v>16</v>
      </c>
    </row>
    <row r="7" customFormat="false" ht="15" hidden="false" customHeight="false" outlineLevel="0" collapsed="false">
      <c r="A7" s="19" t="n">
        <f aca="false">DATE($B$4,1,1)</f>
        <v>46023</v>
      </c>
      <c r="B7" s="20" t="n">
        <f aca="false">COUNTIFS('Sales Log'!$A$5:$A$1004,"&gt;="&amp;DATE($B$4,1,1),'Sales Log'!$A$5:$A$1004,"&lt;"&amp;DATE($B$4,2,1),'Sales Log'!$I$5:$I$1004,"&lt;&gt;Refunded",'Sales Log'!$I$5:$I$1004,"&lt;&gt;Cancelled")</f>
        <v>0</v>
      </c>
      <c r="C7" s="20" t="n">
        <f aca="false">SUMIFS('Sales Log'!$T$5:$T$1004,'Sales Log'!$A$5:$A$1004,"&gt;="&amp;DATE($B$4,1,1),'Sales Log'!$A$5:$A$1004,"&lt;"&amp;DATE($B$4,2,1),'Sales Log'!$I$5:$I$1004,"&lt;&gt;Refunded",'Sales Log'!$I$5:$I$1004,"&lt;&gt;Cancelled")</f>
        <v>0</v>
      </c>
      <c r="D7" s="21" t="n">
        <f aca="false">SUMIFS('Sales Log'!$J$5:$J$1004,'Sales Log'!$A$5:$A$1004,"&gt;="&amp;DATE($B$4,1,1),'Sales Log'!$A$5:$A$1004,"&lt;"&amp;DATE($B$4,2,1),'Sales Log'!$I$5:$I$1004,"&lt;&gt;Refunded",'Sales Log'!$I$5:$I$1004,"&lt;&gt;Cancelled")</f>
        <v>0</v>
      </c>
      <c r="E7" s="21" t="n">
        <f aca="false">SUMIFS('Sales Log'!$K$5:$K$1004,'Sales Log'!$A$5:$A$1004,"&gt;="&amp;DATE($B$4,1,1),'Sales Log'!$A$5:$A$1004,"&lt;"&amp;DATE($B$4,2,1),'Sales Log'!$I$5:$I$1004,"&lt;&gt;Refunded",'Sales Log'!$I$5:$I$1004,"&lt;&gt;Cancelled")</f>
        <v>0</v>
      </c>
      <c r="F7" s="21" t="n">
        <f aca="false">SUMIFS('Sales Log'!$H$5:$H$1004,'Sales Log'!$A$5:$A$1004,"&gt;="&amp;DATE($B$4,1,1),'Sales Log'!$A$5:$A$1004,"&lt;"&amp;DATE($B$4,2,1),'Sales Log'!$I$5:$I$1004,"&lt;&gt;Refunded",'Sales Log'!$I$5:$I$1004,"&lt;&gt;Cancelled")</f>
        <v>0</v>
      </c>
      <c r="G7" s="21" t="n">
        <f aca="false">SUMIFS('Sales Log'!$L$5:$L$1004,'Sales Log'!$A$5:$A$1004,"&gt;="&amp;DATE($B$4,1,1),'Sales Log'!$A$5:$A$1004,"&lt;"&amp;DATE($B$4,2,1),'Sales Log'!$I$5:$I$1004,"&lt;&gt;Refunded",'Sales Log'!$I$5:$I$1004,"&lt;&gt;Cancelled")</f>
        <v>0</v>
      </c>
      <c r="H7" s="21" t="n">
        <f aca="false">SUMIFS('Sales Log'!$M$5:$M$1004,'Sales Log'!$A$5:$A$1004,"&gt;="&amp;DATE($B$4,1,1),'Sales Log'!$A$5:$A$1004,"&lt;"&amp;DATE($B$4,2,1),'Sales Log'!$I$5:$I$1004,"&lt;&gt;Refunded",'Sales Log'!$I$5:$I$1004,"&lt;&gt;Cancelled")</f>
        <v>0</v>
      </c>
      <c r="I7" s="22" t="str">
        <f aca="false">IF(D7&gt;0,H7/D7,"")</f>
        <v/>
      </c>
    </row>
    <row r="8" customFormat="false" ht="15" hidden="false" customHeight="false" outlineLevel="0" collapsed="false">
      <c r="A8" s="19" t="n">
        <f aca="false">DATE($B$4,2,1)</f>
        <v>46054</v>
      </c>
      <c r="B8" s="20" t="n">
        <f aca="false">COUNTIFS('Sales Log'!$A$5:$A$1004,"&gt;="&amp;DATE($B$4,2,1),'Sales Log'!$A$5:$A$1004,"&lt;"&amp;DATE($B$4,3,1),'Sales Log'!$I$5:$I$1004,"&lt;&gt;Refunded",'Sales Log'!$I$5:$I$1004,"&lt;&gt;Cancelled")</f>
        <v>0</v>
      </c>
      <c r="C8" s="20" t="n">
        <f aca="false">SUMIFS('Sales Log'!$T$5:$T$1004,'Sales Log'!$A$5:$A$1004,"&gt;="&amp;DATE($B$4,2,1),'Sales Log'!$A$5:$A$1004,"&lt;"&amp;DATE($B$4,3,1),'Sales Log'!$I$5:$I$1004,"&lt;&gt;Refunded",'Sales Log'!$I$5:$I$1004,"&lt;&gt;Cancelled")</f>
        <v>0</v>
      </c>
      <c r="D8" s="21" t="n">
        <f aca="false">SUMIFS('Sales Log'!$J$5:$J$1004,'Sales Log'!$A$5:$A$1004,"&gt;="&amp;DATE($B$4,2,1),'Sales Log'!$A$5:$A$1004,"&lt;"&amp;DATE($B$4,3,1),'Sales Log'!$I$5:$I$1004,"&lt;&gt;Refunded",'Sales Log'!$I$5:$I$1004,"&lt;&gt;Cancelled")</f>
        <v>0</v>
      </c>
      <c r="E8" s="21" t="n">
        <f aca="false">SUMIFS('Sales Log'!$K$5:$K$1004,'Sales Log'!$A$5:$A$1004,"&gt;="&amp;DATE($B$4,2,1),'Sales Log'!$A$5:$A$1004,"&lt;"&amp;DATE($B$4,3,1),'Sales Log'!$I$5:$I$1004,"&lt;&gt;Refunded",'Sales Log'!$I$5:$I$1004,"&lt;&gt;Cancelled")</f>
        <v>0</v>
      </c>
      <c r="F8" s="21" t="n">
        <f aca="false">SUMIFS('Sales Log'!$H$5:$H$1004,'Sales Log'!$A$5:$A$1004,"&gt;="&amp;DATE($B$4,2,1),'Sales Log'!$A$5:$A$1004,"&lt;"&amp;DATE($B$4,3,1),'Sales Log'!$I$5:$I$1004,"&lt;&gt;Refunded",'Sales Log'!$I$5:$I$1004,"&lt;&gt;Cancelled")</f>
        <v>0</v>
      </c>
      <c r="G8" s="21" t="n">
        <f aca="false">SUMIFS('Sales Log'!$L$5:$L$1004,'Sales Log'!$A$5:$A$1004,"&gt;="&amp;DATE($B$4,2,1),'Sales Log'!$A$5:$A$1004,"&lt;"&amp;DATE($B$4,3,1),'Sales Log'!$I$5:$I$1004,"&lt;&gt;Refunded",'Sales Log'!$I$5:$I$1004,"&lt;&gt;Cancelled")</f>
        <v>0</v>
      </c>
      <c r="H8" s="21" t="n">
        <f aca="false">SUMIFS('Sales Log'!$M$5:$M$1004,'Sales Log'!$A$5:$A$1004,"&gt;="&amp;DATE($B$4,2,1),'Sales Log'!$A$5:$A$1004,"&lt;"&amp;DATE($B$4,3,1),'Sales Log'!$I$5:$I$1004,"&lt;&gt;Refunded",'Sales Log'!$I$5:$I$1004,"&lt;&gt;Cancelled")</f>
        <v>0</v>
      </c>
      <c r="I8" s="22" t="str">
        <f aca="false">IF(D8&gt;0,H8/D8,"")</f>
        <v/>
      </c>
    </row>
    <row r="9" customFormat="false" ht="15" hidden="false" customHeight="false" outlineLevel="0" collapsed="false">
      <c r="A9" s="19" t="n">
        <f aca="false">DATE($B$4,3,1)</f>
        <v>46082</v>
      </c>
      <c r="B9" s="20" t="n">
        <f aca="false">COUNTIFS('Sales Log'!$A$5:$A$1004,"&gt;="&amp;DATE($B$4,3,1),'Sales Log'!$A$5:$A$1004,"&lt;"&amp;DATE($B$4,4,1),'Sales Log'!$I$5:$I$1004,"&lt;&gt;Refunded",'Sales Log'!$I$5:$I$1004,"&lt;&gt;Cancelled")</f>
        <v>0</v>
      </c>
      <c r="C9" s="20" t="n">
        <f aca="false">SUMIFS('Sales Log'!$T$5:$T$1004,'Sales Log'!$A$5:$A$1004,"&gt;="&amp;DATE($B$4,3,1),'Sales Log'!$A$5:$A$1004,"&lt;"&amp;DATE($B$4,4,1),'Sales Log'!$I$5:$I$1004,"&lt;&gt;Refunded",'Sales Log'!$I$5:$I$1004,"&lt;&gt;Cancelled")</f>
        <v>0</v>
      </c>
      <c r="D9" s="21" t="n">
        <f aca="false">SUMIFS('Sales Log'!$J$5:$J$1004,'Sales Log'!$A$5:$A$1004,"&gt;="&amp;DATE($B$4,3,1),'Sales Log'!$A$5:$A$1004,"&lt;"&amp;DATE($B$4,4,1),'Sales Log'!$I$5:$I$1004,"&lt;&gt;Refunded",'Sales Log'!$I$5:$I$1004,"&lt;&gt;Cancelled")</f>
        <v>0</v>
      </c>
      <c r="E9" s="21" t="n">
        <f aca="false">SUMIFS('Sales Log'!$K$5:$K$1004,'Sales Log'!$A$5:$A$1004,"&gt;="&amp;DATE($B$4,3,1),'Sales Log'!$A$5:$A$1004,"&lt;"&amp;DATE($B$4,4,1),'Sales Log'!$I$5:$I$1004,"&lt;&gt;Refunded",'Sales Log'!$I$5:$I$1004,"&lt;&gt;Cancelled")</f>
        <v>0</v>
      </c>
      <c r="F9" s="21" t="n">
        <f aca="false">SUMIFS('Sales Log'!$H$5:$H$1004,'Sales Log'!$A$5:$A$1004,"&gt;="&amp;DATE($B$4,3,1),'Sales Log'!$A$5:$A$1004,"&lt;"&amp;DATE($B$4,4,1),'Sales Log'!$I$5:$I$1004,"&lt;&gt;Refunded",'Sales Log'!$I$5:$I$1004,"&lt;&gt;Cancelled")</f>
        <v>0</v>
      </c>
      <c r="G9" s="21" t="n">
        <f aca="false">SUMIFS('Sales Log'!$L$5:$L$1004,'Sales Log'!$A$5:$A$1004,"&gt;="&amp;DATE($B$4,3,1),'Sales Log'!$A$5:$A$1004,"&lt;"&amp;DATE($B$4,4,1),'Sales Log'!$I$5:$I$1004,"&lt;&gt;Refunded",'Sales Log'!$I$5:$I$1004,"&lt;&gt;Cancelled")</f>
        <v>0</v>
      </c>
      <c r="H9" s="21" t="n">
        <f aca="false">SUMIFS('Sales Log'!$M$5:$M$1004,'Sales Log'!$A$5:$A$1004,"&gt;="&amp;DATE($B$4,3,1),'Sales Log'!$A$5:$A$1004,"&lt;"&amp;DATE($B$4,4,1),'Sales Log'!$I$5:$I$1004,"&lt;&gt;Refunded",'Sales Log'!$I$5:$I$1004,"&lt;&gt;Cancelled")</f>
        <v>0</v>
      </c>
      <c r="I9" s="22" t="str">
        <f aca="false">IF(D9&gt;0,H9/D9,"")</f>
        <v/>
      </c>
    </row>
    <row r="10" customFormat="false" ht="15" hidden="false" customHeight="false" outlineLevel="0" collapsed="false">
      <c r="A10" s="19" t="n">
        <f aca="false">DATE($B$4,4,1)</f>
        <v>46113</v>
      </c>
      <c r="B10" s="20" t="n">
        <f aca="false">COUNTIFS('Sales Log'!$A$5:$A$1004,"&gt;="&amp;DATE($B$4,4,1),'Sales Log'!$A$5:$A$1004,"&lt;"&amp;DATE($B$4,5,1),'Sales Log'!$I$5:$I$1004,"&lt;&gt;Refunded",'Sales Log'!$I$5:$I$1004,"&lt;&gt;Cancelled")</f>
        <v>0</v>
      </c>
      <c r="C10" s="20" t="n">
        <f aca="false">SUMIFS('Sales Log'!$T$5:$T$1004,'Sales Log'!$A$5:$A$1004,"&gt;="&amp;DATE($B$4,4,1),'Sales Log'!$A$5:$A$1004,"&lt;"&amp;DATE($B$4,5,1),'Sales Log'!$I$5:$I$1004,"&lt;&gt;Refunded",'Sales Log'!$I$5:$I$1004,"&lt;&gt;Cancelled")</f>
        <v>0</v>
      </c>
      <c r="D10" s="21" t="n">
        <f aca="false">SUMIFS('Sales Log'!$J$5:$J$1004,'Sales Log'!$A$5:$A$1004,"&gt;="&amp;DATE($B$4,4,1),'Sales Log'!$A$5:$A$1004,"&lt;"&amp;DATE($B$4,5,1),'Sales Log'!$I$5:$I$1004,"&lt;&gt;Refunded",'Sales Log'!$I$5:$I$1004,"&lt;&gt;Cancelled")</f>
        <v>0</v>
      </c>
      <c r="E10" s="21" t="n">
        <f aca="false">SUMIFS('Sales Log'!$K$5:$K$1004,'Sales Log'!$A$5:$A$1004,"&gt;="&amp;DATE($B$4,4,1),'Sales Log'!$A$5:$A$1004,"&lt;"&amp;DATE($B$4,5,1),'Sales Log'!$I$5:$I$1004,"&lt;&gt;Refunded",'Sales Log'!$I$5:$I$1004,"&lt;&gt;Cancelled")</f>
        <v>0</v>
      </c>
      <c r="F10" s="21" t="n">
        <f aca="false">SUMIFS('Sales Log'!$H$5:$H$1004,'Sales Log'!$A$5:$A$1004,"&gt;="&amp;DATE($B$4,4,1),'Sales Log'!$A$5:$A$1004,"&lt;"&amp;DATE($B$4,5,1),'Sales Log'!$I$5:$I$1004,"&lt;&gt;Refunded",'Sales Log'!$I$5:$I$1004,"&lt;&gt;Cancelled")</f>
        <v>0</v>
      </c>
      <c r="G10" s="21" t="n">
        <f aca="false">SUMIFS('Sales Log'!$L$5:$L$1004,'Sales Log'!$A$5:$A$1004,"&gt;="&amp;DATE($B$4,4,1),'Sales Log'!$A$5:$A$1004,"&lt;"&amp;DATE($B$4,5,1),'Sales Log'!$I$5:$I$1004,"&lt;&gt;Refunded",'Sales Log'!$I$5:$I$1004,"&lt;&gt;Cancelled")</f>
        <v>0</v>
      </c>
      <c r="H10" s="21" t="n">
        <f aca="false">SUMIFS('Sales Log'!$M$5:$M$1004,'Sales Log'!$A$5:$A$1004,"&gt;="&amp;DATE($B$4,4,1),'Sales Log'!$A$5:$A$1004,"&lt;"&amp;DATE($B$4,5,1),'Sales Log'!$I$5:$I$1004,"&lt;&gt;Refunded",'Sales Log'!$I$5:$I$1004,"&lt;&gt;Cancelled")</f>
        <v>0</v>
      </c>
      <c r="I10" s="22" t="str">
        <f aca="false">IF(D10&gt;0,H10/D10,"")</f>
        <v/>
      </c>
    </row>
    <row r="11" customFormat="false" ht="15" hidden="false" customHeight="false" outlineLevel="0" collapsed="false">
      <c r="A11" s="19" t="n">
        <f aca="false">DATE($B$4,5,1)</f>
        <v>46143</v>
      </c>
      <c r="B11" s="20" t="n">
        <f aca="false">COUNTIFS('Sales Log'!$A$5:$A$1004,"&gt;="&amp;DATE($B$4,5,1),'Sales Log'!$A$5:$A$1004,"&lt;"&amp;DATE($B$4,6,1),'Sales Log'!$I$5:$I$1004,"&lt;&gt;Refunded",'Sales Log'!$I$5:$I$1004,"&lt;&gt;Cancelled")</f>
        <v>0</v>
      </c>
      <c r="C11" s="20" t="n">
        <f aca="false">SUMIFS('Sales Log'!$T$5:$T$1004,'Sales Log'!$A$5:$A$1004,"&gt;="&amp;DATE($B$4,5,1),'Sales Log'!$A$5:$A$1004,"&lt;"&amp;DATE($B$4,6,1),'Sales Log'!$I$5:$I$1004,"&lt;&gt;Refunded",'Sales Log'!$I$5:$I$1004,"&lt;&gt;Cancelled")</f>
        <v>0</v>
      </c>
      <c r="D11" s="21" t="n">
        <f aca="false">SUMIFS('Sales Log'!$J$5:$J$1004,'Sales Log'!$A$5:$A$1004,"&gt;="&amp;DATE($B$4,5,1),'Sales Log'!$A$5:$A$1004,"&lt;"&amp;DATE($B$4,6,1),'Sales Log'!$I$5:$I$1004,"&lt;&gt;Refunded",'Sales Log'!$I$5:$I$1004,"&lt;&gt;Cancelled")</f>
        <v>0</v>
      </c>
      <c r="E11" s="21" t="n">
        <f aca="false">SUMIFS('Sales Log'!$K$5:$K$1004,'Sales Log'!$A$5:$A$1004,"&gt;="&amp;DATE($B$4,5,1),'Sales Log'!$A$5:$A$1004,"&lt;"&amp;DATE($B$4,6,1),'Sales Log'!$I$5:$I$1004,"&lt;&gt;Refunded",'Sales Log'!$I$5:$I$1004,"&lt;&gt;Cancelled")</f>
        <v>0</v>
      </c>
      <c r="F11" s="21" t="n">
        <f aca="false">SUMIFS('Sales Log'!$H$5:$H$1004,'Sales Log'!$A$5:$A$1004,"&gt;="&amp;DATE($B$4,5,1),'Sales Log'!$A$5:$A$1004,"&lt;"&amp;DATE($B$4,6,1),'Sales Log'!$I$5:$I$1004,"&lt;&gt;Refunded",'Sales Log'!$I$5:$I$1004,"&lt;&gt;Cancelled")</f>
        <v>0</v>
      </c>
      <c r="G11" s="21" t="n">
        <f aca="false">SUMIFS('Sales Log'!$L$5:$L$1004,'Sales Log'!$A$5:$A$1004,"&gt;="&amp;DATE($B$4,5,1),'Sales Log'!$A$5:$A$1004,"&lt;"&amp;DATE($B$4,6,1),'Sales Log'!$I$5:$I$1004,"&lt;&gt;Refunded",'Sales Log'!$I$5:$I$1004,"&lt;&gt;Cancelled")</f>
        <v>0</v>
      </c>
      <c r="H11" s="21" t="n">
        <f aca="false">SUMIFS('Sales Log'!$M$5:$M$1004,'Sales Log'!$A$5:$A$1004,"&gt;="&amp;DATE($B$4,5,1),'Sales Log'!$A$5:$A$1004,"&lt;"&amp;DATE($B$4,6,1),'Sales Log'!$I$5:$I$1004,"&lt;&gt;Refunded",'Sales Log'!$I$5:$I$1004,"&lt;&gt;Cancelled")</f>
        <v>0</v>
      </c>
      <c r="I11" s="22" t="str">
        <f aca="false">IF(D11&gt;0,H11/D11,"")</f>
        <v/>
      </c>
    </row>
    <row r="12" customFormat="false" ht="15" hidden="false" customHeight="false" outlineLevel="0" collapsed="false">
      <c r="A12" s="19" t="n">
        <f aca="false">DATE($B$4,6,1)</f>
        <v>46174</v>
      </c>
      <c r="B12" s="20" t="n">
        <f aca="false">COUNTIFS('Sales Log'!$A$5:$A$1004,"&gt;="&amp;DATE($B$4,6,1),'Sales Log'!$A$5:$A$1004,"&lt;"&amp;DATE($B$4,7,1),'Sales Log'!$I$5:$I$1004,"&lt;&gt;Refunded",'Sales Log'!$I$5:$I$1004,"&lt;&gt;Cancelled")</f>
        <v>0</v>
      </c>
      <c r="C12" s="20" t="n">
        <f aca="false">SUMIFS('Sales Log'!$T$5:$T$1004,'Sales Log'!$A$5:$A$1004,"&gt;="&amp;DATE($B$4,6,1),'Sales Log'!$A$5:$A$1004,"&lt;"&amp;DATE($B$4,7,1),'Sales Log'!$I$5:$I$1004,"&lt;&gt;Refunded",'Sales Log'!$I$5:$I$1004,"&lt;&gt;Cancelled")</f>
        <v>0</v>
      </c>
      <c r="D12" s="21" t="n">
        <f aca="false">SUMIFS('Sales Log'!$J$5:$J$1004,'Sales Log'!$A$5:$A$1004,"&gt;="&amp;DATE($B$4,6,1),'Sales Log'!$A$5:$A$1004,"&lt;"&amp;DATE($B$4,7,1),'Sales Log'!$I$5:$I$1004,"&lt;&gt;Refunded",'Sales Log'!$I$5:$I$1004,"&lt;&gt;Cancelled")</f>
        <v>0</v>
      </c>
      <c r="E12" s="21" t="n">
        <f aca="false">SUMIFS('Sales Log'!$K$5:$K$1004,'Sales Log'!$A$5:$A$1004,"&gt;="&amp;DATE($B$4,6,1),'Sales Log'!$A$5:$A$1004,"&lt;"&amp;DATE($B$4,7,1),'Sales Log'!$I$5:$I$1004,"&lt;&gt;Refunded",'Sales Log'!$I$5:$I$1004,"&lt;&gt;Cancelled")</f>
        <v>0</v>
      </c>
      <c r="F12" s="21" t="n">
        <f aca="false">SUMIFS('Sales Log'!$H$5:$H$1004,'Sales Log'!$A$5:$A$1004,"&gt;="&amp;DATE($B$4,6,1),'Sales Log'!$A$5:$A$1004,"&lt;"&amp;DATE($B$4,7,1),'Sales Log'!$I$5:$I$1004,"&lt;&gt;Refunded",'Sales Log'!$I$5:$I$1004,"&lt;&gt;Cancelled")</f>
        <v>0</v>
      </c>
      <c r="G12" s="21" t="n">
        <f aca="false">SUMIFS('Sales Log'!$L$5:$L$1004,'Sales Log'!$A$5:$A$1004,"&gt;="&amp;DATE($B$4,6,1),'Sales Log'!$A$5:$A$1004,"&lt;"&amp;DATE($B$4,7,1),'Sales Log'!$I$5:$I$1004,"&lt;&gt;Refunded",'Sales Log'!$I$5:$I$1004,"&lt;&gt;Cancelled")</f>
        <v>0</v>
      </c>
      <c r="H12" s="21" t="n">
        <f aca="false">SUMIFS('Sales Log'!$M$5:$M$1004,'Sales Log'!$A$5:$A$1004,"&gt;="&amp;DATE($B$4,6,1),'Sales Log'!$A$5:$A$1004,"&lt;"&amp;DATE($B$4,7,1),'Sales Log'!$I$5:$I$1004,"&lt;&gt;Refunded",'Sales Log'!$I$5:$I$1004,"&lt;&gt;Cancelled")</f>
        <v>0</v>
      </c>
      <c r="I12" s="22" t="str">
        <f aca="false">IF(D12&gt;0,H12/D12,"")</f>
        <v/>
      </c>
    </row>
    <row r="13" customFormat="false" ht="15" hidden="false" customHeight="false" outlineLevel="0" collapsed="false">
      <c r="A13" s="19" t="n">
        <f aca="false">DATE($B$4,7,1)</f>
        <v>46204</v>
      </c>
      <c r="B13" s="20" t="n">
        <f aca="false">COUNTIFS('Sales Log'!$A$5:$A$1004,"&gt;="&amp;DATE($B$4,7,1),'Sales Log'!$A$5:$A$1004,"&lt;"&amp;DATE($B$4,8,1),'Sales Log'!$I$5:$I$1004,"&lt;&gt;Refunded",'Sales Log'!$I$5:$I$1004,"&lt;&gt;Cancelled")</f>
        <v>0</v>
      </c>
      <c r="C13" s="20" t="n">
        <f aca="false">SUMIFS('Sales Log'!$T$5:$T$1004,'Sales Log'!$A$5:$A$1004,"&gt;="&amp;DATE($B$4,7,1),'Sales Log'!$A$5:$A$1004,"&lt;"&amp;DATE($B$4,8,1),'Sales Log'!$I$5:$I$1004,"&lt;&gt;Refunded",'Sales Log'!$I$5:$I$1004,"&lt;&gt;Cancelled")</f>
        <v>0</v>
      </c>
      <c r="D13" s="21" t="n">
        <f aca="false">SUMIFS('Sales Log'!$J$5:$J$1004,'Sales Log'!$A$5:$A$1004,"&gt;="&amp;DATE($B$4,7,1),'Sales Log'!$A$5:$A$1004,"&lt;"&amp;DATE($B$4,8,1),'Sales Log'!$I$5:$I$1004,"&lt;&gt;Refunded",'Sales Log'!$I$5:$I$1004,"&lt;&gt;Cancelled")</f>
        <v>0</v>
      </c>
      <c r="E13" s="21" t="n">
        <f aca="false">SUMIFS('Sales Log'!$K$5:$K$1004,'Sales Log'!$A$5:$A$1004,"&gt;="&amp;DATE($B$4,7,1),'Sales Log'!$A$5:$A$1004,"&lt;"&amp;DATE($B$4,8,1),'Sales Log'!$I$5:$I$1004,"&lt;&gt;Refunded",'Sales Log'!$I$5:$I$1004,"&lt;&gt;Cancelled")</f>
        <v>0</v>
      </c>
      <c r="F13" s="21" t="n">
        <f aca="false">SUMIFS('Sales Log'!$H$5:$H$1004,'Sales Log'!$A$5:$A$1004,"&gt;="&amp;DATE($B$4,7,1),'Sales Log'!$A$5:$A$1004,"&lt;"&amp;DATE($B$4,8,1),'Sales Log'!$I$5:$I$1004,"&lt;&gt;Refunded",'Sales Log'!$I$5:$I$1004,"&lt;&gt;Cancelled")</f>
        <v>0</v>
      </c>
      <c r="G13" s="21" t="n">
        <f aca="false">SUMIFS('Sales Log'!$L$5:$L$1004,'Sales Log'!$A$5:$A$1004,"&gt;="&amp;DATE($B$4,7,1),'Sales Log'!$A$5:$A$1004,"&lt;"&amp;DATE($B$4,8,1),'Sales Log'!$I$5:$I$1004,"&lt;&gt;Refunded",'Sales Log'!$I$5:$I$1004,"&lt;&gt;Cancelled")</f>
        <v>0</v>
      </c>
      <c r="H13" s="21" t="n">
        <f aca="false">SUMIFS('Sales Log'!$M$5:$M$1004,'Sales Log'!$A$5:$A$1004,"&gt;="&amp;DATE($B$4,7,1),'Sales Log'!$A$5:$A$1004,"&lt;"&amp;DATE($B$4,8,1),'Sales Log'!$I$5:$I$1004,"&lt;&gt;Refunded",'Sales Log'!$I$5:$I$1004,"&lt;&gt;Cancelled")</f>
        <v>0</v>
      </c>
      <c r="I13" s="22" t="str">
        <f aca="false">IF(D13&gt;0,H13/D13,"")</f>
        <v/>
      </c>
    </row>
    <row r="14" customFormat="false" ht="15" hidden="false" customHeight="false" outlineLevel="0" collapsed="false">
      <c r="A14" s="19" t="n">
        <f aca="false">DATE($B$4,8,1)</f>
        <v>46235</v>
      </c>
      <c r="B14" s="20" t="n">
        <f aca="false">COUNTIFS('Sales Log'!$A$5:$A$1004,"&gt;="&amp;DATE($B$4,8,1),'Sales Log'!$A$5:$A$1004,"&lt;"&amp;DATE($B$4,9,1),'Sales Log'!$I$5:$I$1004,"&lt;&gt;Refunded",'Sales Log'!$I$5:$I$1004,"&lt;&gt;Cancelled")</f>
        <v>0</v>
      </c>
      <c r="C14" s="20" t="n">
        <f aca="false">SUMIFS('Sales Log'!$T$5:$T$1004,'Sales Log'!$A$5:$A$1004,"&gt;="&amp;DATE($B$4,8,1),'Sales Log'!$A$5:$A$1004,"&lt;"&amp;DATE($B$4,9,1),'Sales Log'!$I$5:$I$1004,"&lt;&gt;Refunded",'Sales Log'!$I$5:$I$1004,"&lt;&gt;Cancelled")</f>
        <v>0</v>
      </c>
      <c r="D14" s="21" t="n">
        <f aca="false">SUMIFS('Sales Log'!$J$5:$J$1004,'Sales Log'!$A$5:$A$1004,"&gt;="&amp;DATE($B$4,8,1),'Sales Log'!$A$5:$A$1004,"&lt;"&amp;DATE($B$4,9,1),'Sales Log'!$I$5:$I$1004,"&lt;&gt;Refunded",'Sales Log'!$I$5:$I$1004,"&lt;&gt;Cancelled")</f>
        <v>0</v>
      </c>
      <c r="E14" s="21" t="n">
        <f aca="false">SUMIFS('Sales Log'!$K$5:$K$1004,'Sales Log'!$A$5:$A$1004,"&gt;="&amp;DATE($B$4,8,1),'Sales Log'!$A$5:$A$1004,"&lt;"&amp;DATE($B$4,9,1),'Sales Log'!$I$5:$I$1004,"&lt;&gt;Refunded",'Sales Log'!$I$5:$I$1004,"&lt;&gt;Cancelled")</f>
        <v>0</v>
      </c>
      <c r="F14" s="21" t="n">
        <f aca="false">SUMIFS('Sales Log'!$H$5:$H$1004,'Sales Log'!$A$5:$A$1004,"&gt;="&amp;DATE($B$4,8,1),'Sales Log'!$A$5:$A$1004,"&lt;"&amp;DATE($B$4,9,1),'Sales Log'!$I$5:$I$1004,"&lt;&gt;Refunded",'Sales Log'!$I$5:$I$1004,"&lt;&gt;Cancelled")</f>
        <v>0</v>
      </c>
      <c r="G14" s="21" t="n">
        <f aca="false">SUMIFS('Sales Log'!$L$5:$L$1004,'Sales Log'!$A$5:$A$1004,"&gt;="&amp;DATE($B$4,8,1),'Sales Log'!$A$5:$A$1004,"&lt;"&amp;DATE($B$4,9,1),'Sales Log'!$I$5:$I$1004,"&lt;&gt;Refunded",'Sales Log'!$I$5:$I$1004,"&lt;&gt;Cancelled")</f>
        <v>0</v>
      </c>
      <c r="H14" s="21" t="n">
        <f aca="false">SUMIFS('Sales Log'!$M$5:$M$1004,'Sales Log'!$A$5:$A$1004,"&gt;="&amp;DATE($B$4,8,1),'Sales Log'!$A$5:$A$1004,"&lt;"&amp;DATE($B$4,9,1),'Sales Log'!$I$5:$I$1004,"&lt;&gt;Refunded",'Sales Log'!$I$5:$I$1004,"&lt;&gt;Cancelled")</f>
        <v>0</v>
      </c>
      <c r="I14" s="22" t="str">
        <f aca="false">IF(D14&gt;0,H14/D14,"")</f>
        <v/>
      </c>
    </row>
    <row r="15" customFormat="false" ht="15" hidden="false" customHeight="false" outlineLevel="0" collapsed="false">
      <c r="A15" s="19" t="n">
        <f aca="false">DATE($B$4,9,1)</f>
        <v>46266</v>
      </c>
      <c r="B15" s="20" t="n">
        <f aca="false">COUNTIFS('Sales Log'!$A$5:$A$1004,"&gt;="&amp;DATE($B$4,9,1),'Sales Log'!$A$5:$A$1004,"&lt;"&amp;DATE($B$4,10,1),'Sales Log'!$I$5:$I$1004,"&lt;&gt;Refunded",'Sales Log'!$I$5:$I$1004,"&lt;&gt;Cancelled")</f>
        <v>0</v>
      </c>
      <c r="C15" s="20" t="n">
        <f aca="false">SUMIFS('Sales Log'!$T$5:$T$1004,'Sales Log'!$A$5:$A$1004,"&gt;="&amp;DATE($B$4,9,1),'Sales Log'!$A$5:$A$1004,"&lt;"&amp;DATE($B$4,10,1),'Sales Log'!$I$5:$I$1004,"&lt;&gt;Refunded",'Sales Log'!$I$5:$I$1004,"&lt;&gt;Cancelled")</f>
        <v>0</v>
      </c>
      <c r="D15" s="21" t="n">
        <f aca="false">SUMIFS('Sales Log'!$J$5:$J$1004,'Sales Log'!$A$5:$A$1004,"&gt;="&amp;DATE($B$4,9,1),'Sales Log'!$A$5:$A$1004,"&lt;"&amp;DATE($B$4,10,1),'Sales Log'!$I$5:$I$1004,"&lt;&gt;Refunded",'Sales Log'!$I$5:$I$1004,"&lt;&gt;Cancelled")</f>
        <v>0</v>
      </c>
      <c r="E15" s="21" t="n">
        <f aca="false">SUMIFS('Sales Log'!$K$5:$K$1004,'Sales Log'!$A$5:$A$1004,"&gt;="&amp;DATE($B$4,9,1),'Sales Log'!$A$5:$A$1004,"&lt;"&amp;DATE($B$4,10,1),'Sales Log'!$I$5:$I$1004,"&lt;&gt;Refunded",'Sales Log'!$I$5:$I$1004,"&lt;&gt;Cancelled")</f>
        <v>0</v>
      </c>
      <c r="F15" s="21" t="n">
        <f aca="false">SUMIFS('Sales Log'!$H$5:$H$1004,'Sales Log'!$A$5:$A$1004,"&gt;="&amp;DATE($B$4,9,1),'Sales Log'!$A$5:$A$1004,"&lt;"&amp;DATE($B$4,10,1),'Sales Log'!$I$5:$I$1004,"&lt;&gt;Refunded",'Sales Log'!$I$5:$I$1004,"&lt;&gt;Cancelled")</f>
        <v>0</v>
      </c>
      <c r="G15" s="21" t="n">
        <f aca="false">SUMIFS('Sales Log'!$L$5:$L$1004,'Sales Log'!$A$5:$A$1004,"&gt;="&amp;DATE($B$4,9,1),'Sales Log'!$A$5:$A$1004,"&lt;"&amp;DATE($B$4,10,1),'Sales Log'!$I$5:$I$1004,"&lt;&gt;Refunded",'Sales Log'!$I$5:$I$1004,"&lt;&gt;Cancelled")</f>
        <v>0</v>
      </c>
      <c r="H15" s="21" t="n">
        <f aca="false">SUMIFS('Sales Log'!$M$5:$M$1004,'Sales Log'!$A$5:$A$1004,"&gt;="&amp;DATE($B$4,9,1),'Sales Log'!$A$5:$A$1004,"&lt;"&amp;DATE($B$4,10,1),'Sales Log'!$I$5:$I$1004,"&lt;&gt;Refunded",'Sales Log'!$I$5:$I$1004,"&lt;&gt;Cancelled")</f>
        <v>0</v>
      </c>
      <c r="I15" s="22" t="str">
        <f aca="false">IF(D15&gt;0,H15/D15,"")</f>
        <v/>
      </c>
    </row>
    <row r="16" customFormat="false" ht="15" hidden="false" customHeight="false" outlineLevel="0" collapsed="false">
      <c r="A16" s="19" t="n">
        <f aca="false">DATE($B$4,10,1)</f>
        <v>46296</v>
      </c>
      <c r="B16" s="20" t="n">
        <f aca="false">COUNTIFS('Sales Log'!$A$5:$A$1004,"&gt;="&amp;DATE($B$4,10,1),'Sales Log'!$A$5:$A$1004,"&lt;"&amp;DATE($B$4,11,1),'Sales Log'!$I$5:$I$1004,"&lt;&gt;Refunded",'Sales Log'!$I$5:$I$1004,"&lt;&gt;Cancelled")</f>
        <v>3</v>
      </c>
      <c r="C16" s="20" t="n">
        <f aca="false">SUMIFS('Sales Log'!$T$5:$T$1004,'Sales Log'!$A$5:$A$1004,"&gt;="&amp;DATE($B$4,10,1),'Sales Log'!$A$5:$A$1004,"&lt;"&amp;DATE($B$4,11,1),'Sales Log'!$I$5:$I$1004,"&lt;&gt;Refunded",'Sales Log'!$I$5:$I$1004,"&lt;&gt;Cancelled")</f>
        <v>5</v>
      </c>
      <c r="D16" s="21" t="n">
        <f aca="false">SUMIFS('Sales Log'!$J$5:$J$1004,'Sales Log'!$A$5:$A$1004,"&gt;="&amp;DATE($B$4,10,1),'Sales Log'!$A$5:$A$1004,"&lt;"&amp;DATE($B$4,11,1),'Sales Log'!$I$5:$I$1004,"&lt;&gt;Refunded",'Sales Log'!$I$5:$I$1004,"&lt;&gt;Cancelled")</f>
        <v>227.5</v>
      </c>
      <c r="E16" s="21" t="n">
        <f aca="false">SUMIFS('Sales Log'!$K$5:$K$1004,'Sales Log'!$A$5:$A$1004,"&gt;="&amp;DATE($B$4,10,1),'Sales Log'!$A$5:$A$1004,"&lt;"&amp;DATE($B$4,11,1),'Sales Log'!$I$5:$I$1004,"&lt;&gt;Refunded",'Sales Log'!$I$5:$I$1004,"&lt;&gt;Cancelled")</f>
        <v>19.3775</v>
      </c>
      <c r="F16" s="21" t="n">
        <f aca="false">SUMIFS('Sales Log'!$H$5:$H$1004,'Sales Log'!$A$5:$A$1004,"&gt;="&amp;DATE($B$4,10,1),'Sales Log'!$A$5:$A$1004,"&lt;"&amp;DATE($B$4,11,1),'Sales Log'!$I$5:$I$1004,"&lt;&gt;Refunded",'Sales Log'!$I$5:$I$1004,"&lt;&gt;Cancelled")</f>
        <v>15</v>
      </c>
      <c r="G16" s="21" t="n">
        <f aca="false">SUMIFS('Sales Log'!$L$5:$L$1004,'Sales Log'!$A$5:$A$1004,"&gt;="&amp;DATE($B$4,10,1),'Sales Log'!$A$5:$A$1004,"&lt;"&amp;DATE($B$4,11,1),'Sales Log'!$I$5:$I$1004,"&lt;&gt;Refunded",'Sales Log'!$I$5:$I$1004,"&lt;&gt;Cancelled")</f>
        <v>37.86</v>
      </c>
      <c r="H16" s="21" t="n">
        <f aca="false">SUMIFS('Sales Log'!$M$5:$M$1004,'Sales Log'!$A$5:$A$1004,"&gt;="&amp;DATE($B$4,10,1),'Sales Log'!$A$5:$A$1004,"&lt;"&amp;DATE($B$4,11,1),'Sales Log'!$I$5:$I$1004,"&lt;&gt;Refunded",'Sales Log'!$I$5:$I$1004,"&lt;&gt;Cancelled")</f>
        <v>155.2625</v>
      </c>
      <c r="I16" s="22" t="n">
        <f aca="false">IF(D16&gt;0,H16/D16,"")</f>
        <v>0.682472527472527</v>
      </c>
    </row>
    <row r="17" customFormat="false" ht="15" hidden="false" customHeight="false" outlineLevel="0" collapsed="false">
      <c r="A17" s="19" t="n">
        <f aca="false">DATE($B$4,11,1)</f>
        <v>46327</v>
      </c>
      <c r="B17" s="20" t="n">
        <f aca="false">COUNTIFS('Sales Log'!$A$5:$A$1004,"&gt;="&amp;DATE($B$4,11,1),'Sales Log'!$A$5:$A$1004,"&lt;"&amp;DATE($B$4,12,1),'Sales Log'!$I$5:$I$1004,"&lt;&gt;Refunded",'Sales Log'!$I$5:$I$1004,"&lt;&gt;Cancelled")</f>
        <v>0</v>
      </c>
      <c r="C17" s="20" t="n">
        <f aca="false">SUMIFS('Sales Log'!$T$5:$T$1004,'Sales Log'!$A$5:$A$1004,"&gt;="&amp;DATE($B$4,11,1),'Sales Log'!$A$5:$A$1004,"&lt;"&amp;DATE($B$4,12,1),'Sales Log'!$I$5:$I$1004,"&lt;&gt;Refunded",'Sales Log'!$I$5:$I$1004,"&lt;&gt;Cancelled")</f>
        <v>0</v>
      </c>
      <c r="D17" s="21" t="n">
        <f aca="false">SUMIFS('Sales Log'!$J$5:$J$1004,'Sales Log'!$A$5:$A$1004,"&gt;="&amp;DATE($B$4,11,1),'Sales Log'!$A$5:$A$1004,"&lt;"&amp;DATE($B$4,12,1),'Sales Log'!$I$5:$I$1004,"&lt;&gt;Refunded",'Sales Log'!$I$5:$I$1004,"&lt;&gt;Cancelled")</f>
        <v>0</v>
      </c>
      <c r="E17" s="21" t="n">
        <f aca="false">SUMIFS('Sales Log'!$K$5:$K$1004,'Sales Log'!$A$5:$A$1004,"&gt;="&amp;DATE($B$4,11,1),'Sales Log'!$A$5:$A$1004,"&lt;"&amp;DATE($B$4,12,1),'Sales Log'!$I$5:$I$1004,"&lt;&gt;Refunded",'Sales Log'!$I$5:$I$1004,"&lt;&gt;Cancelled")</f>
        <v>0</v>
      </c>
      <c r="F17" s="21" t="n">
        <f aca="false">SUMIFS('Sales Log'!$H$5:$H$1004,'Sales Log'!$A$5:$A$1004,"&gt;="&amp;DATE($B$4,11,1),'Sales Log'!$A$5:$A$1004,"&lt;"&amp;DATE($B$4,12,1),'Sales Log'!$I$5:$I$1004,"&lt;&gt;Refunded",'Sales Log'!$I$5:$I$1004,"&lt;&gt;Cancelled")</f>
        <v>0</v>
      </c>
      <c r="G17" s="21" t="n">
        <f aca="false">SUMIFS('Sales Log'!$L$5:$L$1004,'Sales Log'!$A$5:$A$1004,"&gt;="&amp;DATE($B$4,11,1),'Sales Log'!$A$5:$A$1004,"&lt;"&amp;DATE($B$4,12,1),'Sales Log'!$I$5:$I$1004,"&lt;&gt;Refunded",'Sales Log'!$I$5:$I$1004,"&lt;&gt;Cancelled")</f>
        <v>0</v>
      </c>
      <c r="H17" s="21" t="n">
        <f aca="false">SUMIFS('Sales Log'!$M$5:$M$1004,'Sales Log'!$A$5:$A$1004,"&gt;="&amp;DATE($B$4,11,1),'Sales Log'!$A$5:$A$1004,"&lt;"&amp;DATE($B$4,12,1),'Sales Log'!$I$5:$I$1004,"&lt;&gt;Refunded",'Sales Log'!$I$5:$I$1004,"&lt;&gt;Cancelled")</f>
        <v>0</v>
      </c>
      <c r="I17" s="22" t="str">
        <f aca="false">IF(D17&gt;0,H17/D17,"")</f>
        <v/>
      </c>
    </row>
    <row r="18" customFormat="false" ht="15" hidden="false" customHeight="false" outlineLevel="0" collapsed="false">
      <c r="A18" s="19" t="n">
        <f aca="false">DATE($B$4,12,1)</f>
        <v>46357</v>
      </c>
      <c r="B18" s="20" t="n">
        <f aca="false">COUNTIFS('Sales Log'!$A$5:$A$1004,"&gt;="&amp;DATE($B$4,12,1),'Sales Log'!$A$5:$A$1004,"&lt;"&amp;DATE($B$4,13,1),'Sales Log'!$I$5:$I$1004,"&lt;&gt;Refunded",'Sales Log'!$I$5:$I$1004,"&lt;&gt;Cancelled")</f>
        <v>0</v>
      </c>
      <c r="C18" s="20" t="n">
        <f aca="false">SUMIFS('Sales Log'!$T$5:$T$1004,'Sales Log'!$A$5:$A$1004,"&gt;="&amp;DATE($B$4,12,1),'Sales Log'!$A$5:$A$1004,"&lt;"&amp;DATE($B$4,13,1),'Sales Log'!$I$5:$I$1004,"&lt;&gt;Refunded",'Sales Log'!$I$5:$I$1004,"&lt;&gt;Cancelled")</f>
        <v>0</v>
      </c>
      <c r="D18" s="21" t="n">
        <f aca="false">SUMIFS('Sales Log'!$J$5:$J$1004,'Sales Log'!$A$5:$A$1004,"&gt;="&amp;DATE($B$4,12,1),'Sales Log'!$A$5:$A$1004,"&lt;"&amp;DATE($B$4,13,1),'Sales Log'!$I$5:$I$1004,"&lt;&gt;Refunded",'Sales Log'!$I$5:$I$1004,"&lt;&gt;Cancelled")</f>
        <v>0</v>
      </c>
      <c r="E18" s="21" t="n">
        <f aca="false">SUMIFS('Sales Log'!$K$5:$K$1004,'Sales Log'!$A$5:$A$1004,"&gt;="&amp;DATE($B$4,12,1),'Sales Log'!$A$5:$A$1004,"&lt;"&amp;DATE($B$4,13,1),'Sales Log'!$I$5:$I$1004,"&lt;&gt;Refunded",'Sales Log'!$I$5:$I$1004,"&lt;&gt;Cancelled")</f>
        <v>0</v>
      </c>
      <c r="F18" s="21" t="n">
        <f aca="false">SUMIFS('Sales Log'!$H$5:$H$1004,'Sales Log'!$A$5:$A$1004,"&gt;="&amp;DATE($B$4,12,1),'Sales Log'!$A$5:$A$1004,"&lt;"&amp;DATE($B$4,13,1),'Sales Log'!$I$5:$I$1004,"&lt;&gt;Refunded",'Sales Log'!$I$5:$I$1004,"&lt;&gt;Cancelled")</f>
        <v>0</v>
      </c>
      <c r="G18" s="21" t="n">
        <f aca="false">SUMIFS('Sales Log'!$L$5:$L$1004,'Sales Log'!$A$5:$A$1004,"&gt;="&amp;DATE($B$4,12,1),'Sales Log'!$A$5:$A$1004,"&lt;"&amp;DATE($B$4,13,1),'Sales Log'!$I$5:$I$1004,"&lt;&gt;Refunded",'Sales Log'!$I$5:$I$1004,"&lt;&gt;Cancelled")</f>
        <v>0</v>
      </c>
      <c r="H18" s="21" t="n">
        <f aca="false">SUMIFS('Sales Log'!$M$5:$M$1004,'Sales Log'!$A$5:$A$1004,"&gt;="&amp;DATE($B$4,12,1),'Sales Log'!$A$5:$A$1004,"&lt;"&amp;DATE($B$4,13,1),'Sales Log'!$I$5:$I$1004,"&lt;&gt;Refunded",'Sales Log'!$I$5:$I$1004,"&lt;&gt;Cancelled")</f>
        <v>0</v>
      </c>
      <c r="I18" s="22" t="str">
        <f aca="false">IF(D18&gt;0,H18/D18,"")</f>
        <v/>
      </c>
    </row>
    <row r="19" customFormat="false" ht="15" hidden="false" customHeight="false" outlineLevel="0" collapsed="false">
      <c r="A19" s="23" t="s">
        <v>51</v>
      </c>
      <c r="B19" s="24" t="n">
        <f aca="false">SUM(B7:B18)</f>
        <v>3</v>
      </c>
      <c r="C19" s="24" t="n">
        <f aca="false">SUM(C7:C18)</f>
        <v>5</v>
      </c>
      <c r="D19" s="25" t="n">
        <f aca="false">SUM(D7:D18)</f>
        <v>227.5</v>
      </c>
      <c r="E19" s="25" t="n">
        <f aca="false">SUM(E7:E18)</f>
        <v>19.3775</v>
      </c>
      <c r="F19" s="25" t="n">
        <f aca="false">SUM(F7:F18)</f>
        <v>15</v>
      </c>
      <c r="G19" s="25" t="n">
        <f aca="false">SUM(G7:G18)</f>
        <v>37.86</v>
      </c>
      <c r="H19" s="25" t="n">
        <f aca="false">SUM(H7:H18)</f>
        <v>155.2625</v>
      </c>
      <c r="I19" s="26" t="n">
        <f aca="false">IF(D19&gt;0,H19/D19,"")</f>
        <v>0.682472527472527</v>
      </c>
    </row>
    <row r="20" customFormat="false" ht="15" hidden="false" customHeight="false" outlineLevel="0" collapsed="false">
      <c r="A20" s="23" t="s">
        <v>52</v>
      </c>
      <c r="B20" s="24" t="n">
        <f aca="false">COUNTIFS('Sales Log'!$A$5:$A$1004,"&gt;0",'Sales Log'!$I$5:$I$1004,"&lt;&gt;Refunded",'Sales Log'!$I$5:$I$1004,"&lt;&gt;Cancelled")</f>
        <v>3</v>
      </c>
      <c r="C20" s="24" t="n">
        <f aca="false">SUMIFS('Sales Log'!$T$5:$T$1004,'Sales Log'!$A$5:$A$1004,"&gt;0",'Sales Log'!$I$5:$I$1004,"&lt;&gt;Refunded",'Sales Log'!$I$5:$I$1004,"&lt;&gt;Cancelled")</f>
        <v>5</v>
      </c>
      <c r="D20" s="25" t="n">
        <f aca="false">SUMIFS('Sales Log'!$J$5:$J$1004,'Sales Log'!$A$5:$A$1004,"&gt;0",'Sales Log'!$I$5:$I$1004,"&lt;&gt;Refunded",'Sales Log'!$I$5:$I$1004,"&lt;&gt;Cancelled")</f>
        <v>227.5</v>
      </c>
      <c r="E20" s="25" t="n">
        <f aca="false">SUMIFS('Sales Log'!$K$5:$K$1004,'Sales Log'!$A$5:$A$1004,"&gt;0",'Sales Log'!$I$5:$I$1004,"&lt;&gt;Refunded",'Sales Log'!$I$5:$I$1004,"&lt;&gt;Cancelled")</f>
        <v>19.3775</v>
      </c>
      <c r="F20" s="25" t="n">
        <f aca="false">SUMIFS('Sales Log'!$H$5:$H$1004,'Sales Log'!$A$5:$A$1004,"&gt;0",'Sales Log'!$I$5:$I$1004,"&lt;&gt;Refunded",'Sales Log'!$I$5:$I$1004,"&lt;&gt;Cancelled")</f>
        <v>15</v>
      </c>
      <c r="G20" s="25" t="n">
        <f aca="false">SUMIFS('Sales Log'!$L$5:$L$1004,'Sales Log'!$A$5:$A$1004,"&gt;0",'Sales Log'!$I$5:$I$1004,"&lt;&gt;Refunded",'Sales Log'!$I$5:$I$1004,"&lt;&gt;Cancelled")</f>
        <v>37.86</v>
      </c>
      <c r="H20" s="25" t="n">
        <f aca="false">SUMIFS('Sales Log'!$M$5:$M$1004,'Sales Log'!$A$5:$A$1004,"&gt;0",'Sales Log'!$I$5:$I$1004,"&lt;&gt;Refunded",'Sales Log'!$I$5:$I$1004,"&lt;&gt;Cancelled")</f>
        <v>155.2625</v>
      </c>
      <c r="I20" s="26" t="n">
        <f aca="false">IF(D20&gt;0,H20/D20,"")</f>
        <v>0.682472527472527</v>
      </c>
    </row>
    <row r="23" customFormat="false" ht="15" hidden="false" customHeight="false" outlineLevel="0" collapsed="false">
      <c r="A23" s="27" t="s">
        <v>53</v>
      </c>
    </row>
    <row r="24" customFormat="false" ht="31.5" hidden="false" customHeight="true" outlineLevel="0" collapsed="false">
      <c r="A24" s="3" t="s">
        <v>9</v>
      </c>
      <c r="B24" s="3" t="s">
        <v>44</v>
      </c>
      <c r="C24" s="3" t="s">
        <v>45</v>
      </c>
      <c r="D24" s="3" t="s">
        <v>46</v>
      </c>
      <c r="E24" s="3" t="s">
        <v>47</v>
      </c>
      <c r="F24" s="3" t="s">
        <v>50</v>
      </c>
      <c r="G24" s="3" t="s">
        <v>16</v>
      </c>
    </row>
    <row r="25" customFormat="false" ht="15" hidden="false" customHeight="false" outlineLevel="0" collapsed="false">
      <c r="A25" s="28" t="str">
        <f aca="false">IF(Settings!$A$6="","",Settings!$A$6)</f>
        <v>Etsy</v>
      </c>
      <c r="B25" s="20" t="n">
        <f aca="false">IF($A25="","",COUNTIFS('Sales Log'!$A$5:$A$1004,"&gt;="&amp;DATE($B$4,1,1),'Sales Log'!$A$5:$A$1004,"&lt;"&amp;DATE($B$4+1,1,1),'Sales Log'!$I$5:$I$1004,"&lt;&gt;Refunded",'Sales Log'!$I$5:$I$1004,"&lt;&gt;Cancelled",'Sales Log'!$G$5:$G$1004,$A25))</f>
        <v>2</v>
      </c>
      <c r="C25" s="20" t="n">
        <f aca="false">IF($A25="","",SUMIFS('Sales Log'!$T$5:$T$1004,'Sales Log'!$A$5:$A$1004,"&gt;="&amp;DATE($B$4,1,1),'Sales Log'!$A$5:$A$1004,"&lt;"&amp;DATE($B$4+1,1,1),'Sales Log'!$I$5:$I$1004,"&lt;&gt;Refunded",'Sales Log'!$I$5:$I$1004,"&lt;&gt;Cancelled",'Sales Log'!$G$5:$G$1004,$A25))</f>
        <v>2</v>
      </c>
      <c r="D25" s="21" t="n">
        <f aca="false">IF($A25="","",SUMIFS('Sales Log'!$J$5:$J$1004,'Sales Log'!$A$5:$A$1004,"&gt;="&amp;DATE($B$4,1,1),'Sales Log'!$A$5:$A$1004,"&lt;"&amp;DATE($B$4+1,1,1),'Sales Log'!$I$5:$I$1004,"&lt;&gt;Refunded",'Sales Log'!$I$5:$I$1004,"&lt;&gt;Cancelled",'Sales Log'!$G$5:$G$1004,$A25))</f>
        <v>194.5</v>
      </c>
      <c r="E25" s="21" t="n">
        <f aca="false">IF($A25="","",SUMIFS('Sales Log'!$K$5:$K$1004,'Sales Log'!$A$5:$A$1004,"&gt;="&amp;DATE($B$4,1,1),'Sales Log'!$A$5:$A$1004,"&lt;"&amp;DATE($B$4+1,1,1),'Sales Log'!$I$5:$I$1004,"&lt;&gt;Refunded",'Sales Log'!$I$5:$I$1004,"&lt;&gt;Cancelled",'Sales Log'!$G$5:$G$1004,$A25))</f>
        <v>19.3775</v>
      </c>
      <c r="F25" s="21" t="n">
        <f aca="false">IF($A25="","",SUMIFS('Sales Log'!$M$5:$M$1004,'Sales Log'!$A$5:$A$1004,"&gt;="&amp;DATE($B$4,1,1),'Sales Log'!$A$5:$A$1004,"&lt;"&amp;DATE($B$4+1,1,1),'Sales Log'!$I$5:$I$1004,"&lt;&gt;Refunded",'Sales Log'!$I$5:$I$1004,"&lt;&gt;Cancelled",'Sales Log'!$G$5:$G$1004,$A25))</f>
        <v>126.0125</v>
      </c>
      <c r="G25" s="22" t="n">
        <f aca="false">IF(OR($A25="",N($D25)&lt;=0),"",$F25/$D25)</f>
        <v>0.647879177377892</v>
      </c>
    </row>
    <row r="26" customFormat="false" ht="15" hidden="false" customHeight="false" outlineLevel="0" collapsed="false">
      <c r="A26" s="28" t="str">
        <f aca="false">IF(Settings!$A$7="","",Settings!$A$7)</f>
        <v>Facebook Marketplace</v>
      </c>
      <c r="B26" s="20" t="n">
        <f aca="false">IF($A26="","",COUNTIFS('Sales Log'!$A$5:$A$1004,"&gt;="&amp;DATE($B$4,1,1),'Sales Log'!$A$5:$A$1004,"&lt;"&amp;DATE($B$4+1,1,1),'Sales Log'!$I$5:$I$1004,"&lt;&gt;Refunded",'Sales Log'!$I$5:$I$1004,"&lt;&gt;Cancelled",'Sales Log'!$G$5:$G$1004,$A26))</f>
        <v>0</v>
      </c>
      <c r="C26" s="20" t="n">
        <f aca="false">IF($A26="","",SUMIFS('Sales Log'!$T$5:$T$1004,'Sales Log'!$A$5:$A$1004,"&gt;="&amp;DATE($B$4,1,1),'Sales Log'!$A$5:$A$1004,"&lt;"&amp;DATE($B$4+1,1,1),'Sales Log'!$I$5:$I$1004,"&lt;&gt;Refunded",'Sales Log'!$I$5:$I$1004,"&lt;&gt;Cancelled",'Sales Log'!$G$5:$G$1004,$A26))</f>
        <v>0</v>
      </c>
      <c r="D26" s="21" t="n">
        <f aca="false">IF($A26="","",SUMIFS('Sales Log'!$J$5:$J$1004,'Sales Log'!$A$5:$A$1004,"&gt;="&amp;DATE($B$4,1,1),'Sales Log'!$A$5:$A$1004,"&lt;"&amp;DATE($B$4+1,1,1),'Sales Log'!$I$5:$I$1004,"&lt;&gt;Refunded",'Sales Log'!$I$5:$I$1004,"&lt;&gt;Cancelled",'Sales Log'!$G$5:$G$1004,$A26))</f>
        <v>0</v>
      </c>
      <c r="E26" s="21" t="n">
        <f aca="false">IF($A26="","",SUMIFS('Sales Log'!$K$5:$K$1004,'Sales Log'!$A$5:$A$1004,"&gt;="&amp;DATE($B$4,1,1),'Sales Log'!$A$5:$A$1004,"&lt;"&amp;DATE($B$4+1,1,1),'Sales Log'!$I$5:$I$1004,"&lt;&gt;Refunded",'Sales Log'!$I$5:$I$1004,"&lt;&gt;Cancelled",'Sales Log'!$G$5:$G$1004,$A26))</f>
        <v>0</v>
      </c>
      <c r="F26" s="21" t="n">
        <f aca="false">IF($A26="","",SUMIFS('Sales Log'!$M$5:$M$1004,'Sales Log'!$A$5:$A$1004,"&gt;="&amp;DATE($B$4,1,1),'Sales Log'!$A$5:$A$1004,"&lt;"&amp;DATE($B$4+1,1,1),'Sales Log'!$I$5:$I$1004,"&lt;&gt;Refunded",'Sales Log'!$I$5:$I$1004,"&lt;&gt;Cancelled",'Sales Log'!$G$5:$G$1004,$A26))</f>
        <v>0</v>
      </c>
      <c r="G26" s="22" t="str">
        <f aca="false">IF(OR($A26="",N($D26)&lt;=0),"",$F26/$D26)</f>
        <v/>
      </c>
    </row>
    <row r="27" customFormat="false" ht="15" hidden="false" customHeight="false" outlineLevel="0" collapsed="false">
      <c r="A27" s="28" t="str">
        <f aca="false">IF(Settings!$A$8="","",Settings!$A$8)</f>
        <v>eBay</v>
      </c>
      <c r="B27" s="20" t="n">
        <f aca="false">IF($A27="","",COUNTIFS('Sales Log'!$A$5:$A$1004,"&gt;="&amp;DATE($B$4,1,1),'Sales Log'!$A$5:$A$1004,"&lt;"&amp;DATE($B$4+1,1,1),'Sales Log'!$I$5:$I$1004,"&lt;&gt;Refunded",'Sales Log'!$I$5:$I$1004,"&lt;&gt;Cancelled",'Sales Log'!$G$5:$G$1004,$A27))</f>
        <v>0</v>
      </c>
      <c r="C27" s="20" t="n">
        <f aca="false">IF($A27="","",SUMIFS('Sales Log'!$T$5:$T$1004,'Sales Log'!$A$5:$A$1004,"&gt;="&amp;DATE($B$4,1,1),'Sales Log'!$A$5:$A$1004,"&lt;"&amp;DATE($B$4+1,1,1),'Sales Log'!$I$5:$I$1004,"&lt;&gt;Refunded",'Sales Log'!$I$5:$I$1004,"&lt;&gt;Cancelled",'Sales Log'!$G$5:$G$1004,$A27))</f>
        <v>0</v>
      </c>
      <c r="D27" s="21" t="n">
        <f aca="false">IF($A27="","",SUMIFS('Sales Log'!$J$5:$J$1004,'Sales Log'!$A$5:$A$1004,"&gt;="&amp;DATE($B$4,1,1),'Sales Log'!$A$5:$A$1004,"&lt;"&amp;DATE($B$4+1,1,1),'Sales Log'!$I$5:$I$1004,"&lt;&gt;Refunded",'Sales Log'!$I$5:$I$1004,"&lt;&gt;Cancelled",'Sales Log'!$G$5:$G$1004,$A27))</f>
        <v>0</v>
      </c>
      <c r="E27" s="21" t="n">
        <f aca="false">IF($A27="","",SUMIFS('Sales Log'!$K$5:$K$1004,'Sales Log'!$A$5:$A$1004,"&gt;="&amp;DATE($B$4,1,1),'Sales Log'!$A$5:$A$1004,"&lt;"&amp;DATE($B$4+1,1,1),'Sales Log'!$I$5:$I$1004,"&lt;&gt;Refunded",'Sales Log'!$I$5:$I$1004,"&lt;&gt;Cancelled",'Sales Log'!$G$5:$G$1004,$A27))</f>
        <v>0</v>
      </c>
      <c r="F27" s="21" t="n">
        <f aca="false">IF($A27="","",SUMIFS('Sales Log'!$M$5:$M$1004,'Sales Log'!$A$5:$A$1004,"&gt;="&amp;DATE($B$4,1,1),'Sales Log'!$A$5:$A$1004,"&lt;"&amp;DATE($B$4+1,1,1),'Sales Log'!$I$5:$I$1004,"&lt;&gt;Refunded",'Sales Log'!$I$5:$I$1004,"&lt;&gt;Cancelled",'Sales Log'!$G$5:$G$1004,$A27))</f>
        <v>0</v>
      </c>
      <c r="G27" s="22" t="str">
        <f aca="false">IF(OR($A27="",N($D27)&lt;=0),"",$F27/$D27)</f>
        <v/>
      </c>
    </row>
    <row r="28" customFormat="false" ht="15" hidden="false" customHeight="false" outlineLevel="0" collapsed="false">
      <c r="A28" s="28" t="str">
        <f aca="false">IF(Settings!$A$9="","",Settings!$A$9)</f>
        <v>In person</v>
      </c>
      <c r="B28" s="20" t="n">
        <f aca="false">IF($A28="","",COUNTIFS('Sales Log'!$A$5:$A$1004,"&gt;="&amp;DATE($B$4,1,1),'Sales Log'!$A$5:$A$1004,"&lt;"&amp;DATE($B$4+1,1,1),'Sales Log'!$I$5:$I$1004,"&lt;&gt;Refunded",'Sales Log'!$I$5:$I$1004,"&lt;&gt;Cancelled",'Sales Log'!$G$5:$G$1004,$A28))</f>
        <v>1</v>
      </c>
      <c r="C28" s="20" t="n">
        <f aca="false">IF($A28="","",SUMIFS('Sales Log'!$T$5:$T$1004,'Sales Log'!$A$5:$A$1004,"&gt;="&amp;DATE($B$4,1,1),'Sales Log'!$A$5:$A$1004,"&lt;"&amp;DATE($B$4+1,1,1),'Sales Log'!$I$5:$I$1004,"&lt;&gt;Refunded",'Sales Log'!$I$5:$I$1004,"&lt;&gt;Cancelled",'Sales Log'!$G$5:$G$1004,$A28))</f>
        <v>3</v>
      </c>
      <c r="D28" s="21" t="n">
        <f aca="false">IF($A28="","",SUMIFS('Sales Log'!$J$5:$J$1004,'Sales Log'!$A$5:$A$1004,"&gt;="&amp;DATE($B$4,1,1),'Sales Log'!$A$5:$A$1004,"&lt;"&amp;DATE($B$4+1,1,1),'Sales Log'!$I$5:$I$1004,"&lt;&gt;Refunded",'Sales Log'!$I$5:$I$1004,"&lt;&gt;Cancelled",'Sales Log'!$G$5:$G$1004,$A28))</f>
        <v>33</v>
      </c>
      <c r="E28" s="21" t="n">
        <f aca="false">IF($A28="","",SUMIFS('Sales Log'!$K$5:$K$1004,'Sales Log'!$A$5:$A$1004,"&gt;="&amp;DATE($B$4,1,1),'Sales Log'!$A$5:$A$1004,"&lt;"&amp;DATE($B$4+1,1,1),'Sales Log'!$I$5:$I$1004,"&lt;&gt;Refunded",'Sales Log'!$I$5:$I$1004,"&lt;&gt;Cancelled",'Sales Log'!$G$5:$G$1004,$A28))</f>
        <v>0</v>
      </c>
      <c r="F28" s="21" t="n">
        <f aca="false">IF($A28="","",SUMIFS('Sales Log'!$M$5:$M$1004,'Sales Log'!$A$5:$A$1004,"&gt;="&amp;DATE($B$4,1,1),'Sales Log'!$A$5:$A$1004,"&lt;"&amp;DATE($B$4+1,1,1),'Sales Log'!$I$5:$I$1004,"&lt;&gt;Refunded",'Sales Log'!$I$5:$I$1004,"&lt;&gt;Cancelled",'Sales Log'!$G$5:$G$1004,$A28))</f>
        <v>29.25</v>
      </c>
      <c r="G28" s="22" t="n">
        <f aca="false">IF(OR($A28="",N($D28)&lt;=0),"",$F28/$D28)</f>
        <v>0.886363636363636</v>
      </c>
    </row>
    <row r="29" customFormat="false" ht="15" hidden="false" customHeight="false" outlineLevel="0" collapsed="false">
      <c r="A29" s="28" t="str">
        <f aca="false">IF(Settings!$A$10="","",Settings!$A$10)</f>
        <v>Other</v>
      </c>
      <c r="B29" s="20" t="n">
        <f aca="false">IF($A29="","",COUNTIFS('Sales Log'!$A$5:$A$1004,"&gt;="&amp;DATE($B$4,1,1),'Sales Log'!$A$5:$A$1004,"&lt;"&amp;DATE($B$4+1,1,1),'Sales Log'!$I$5:$I$1004,"&lt;&gt;Refunded",'Sales Log'!$I$5:$I$1004,"&lt;&gt;Cancelled",'Sales Log'!$G$5:$G$1004,$A29))</f>
        <v>0</v>
      </c>
      <c r="C29" s="20" t="n">
        <f aca="false">IF($A29="","",SUMIFS('Sales Log'!$T$5:$T$1004,'Sales Log'!$A$5:$A$1004,"&gt;="&amp;DATE($B$4,1,1),'Sales Log'!$A$5:$A$1004,"&lt;"&amp;DATE($B$4+1,1,1),'Sales Log'!$I$5:$I$1004,"&lt;&gt;Refunded",'Sales Log'!$I$5:$I$1004,"&lt;&gt;Cancelled",'Sales Log'!$G$5:$G$1004,$A29))</f>
        <v>0</v>
      </c>
      <c r="D29" s="21" t="n">
        <f aca="false">IF($A29="","",SUMIFS('Sales Log'!$J$5:$J$1004,'Sales Log'!$A$5:$A$1004,"&gt;="&amp;DATE($B$4,1,1),'Sales Log'!$A$5:$A$1004,"&lt;"&amp;DATE($B$4+1,1,1),'Sales Log'!$I$5:$I$1004,"&lt;&gt;Refunded",'Sales Log'!$I$5:$I$1004,"&lt;&gt;Cancelled",'Sales Log'!$G$5:$G$1004,$A29))</f>
        <v>0</v>
      </c>
      <c r="E29" s="21" t="n">
        <f aca="false">IF($A29="","",SUMIFS('Sales Log'!$K$5:$K$1004,'Sales Log'!$A$5:$A$1004,"&gt;="&amp;DATE($B$4,1,1),'Sales Log'!$A$5:$A$1004,"&lt;"&amp;DATE($B$4+1,1,1),'Sales Log'!$I$5:$I$1004,"&lt;&gt;Refunded",'Sales Log'!$I$5:$I$1004,"&lt;&gt;Cancelled",'Sales Log'!$G$5:$G$1004,$A29))</f>
        <v>0</v>
      </c>
      <c r="F29" s="21" t="n">
        <f aca="false">IF($A29="","",SUMIFS('Sales Log'!$M$5:$M$1004,'Sales Log'!$A$5:$A$1004,"&gt;="&amp;DATE($B$4,1,1),'Sales Log'!$A$5:$A$1004,"&lt;"&amp;DATE($B$4+1,1,1),'Sales Log'!$I$5:$I$1004,"&lt;&gt;Refunded",'Sales Log'!$I$5:$I$1004,"&lt;&gt;Cancelled",'Sales Log'!$G$5:$G$1004,$A29))</f>
        <v>0</v>
      </c>
      <c r="G29" s="22" t="str">
        <f aca="false">IF(OR($A29="",N($D29)&lt;=0),"",$F29/$D29)</f>
        <v/>
      </c>
    </row>
    <row r="30" customFormat="false" ht="15" hidden="false" customHeight="false" outlineLevel="0" collapsed="false">
      <c r="A30" s="28" t="str">
        <f aca="false">IF(Settings!$A$11="","",Settings!$A$11)</f>
        <v/>
      </c>
      <c r="B30" s="20" t="str">
        <f aca="false">IF($A30="","",COUNTIFS('Sales Log'!$A$5:$A$1004,"&gt;="&amp;DATE($B$4,1,1),'Sales Log'!$A$5:$A$1004,"&lt;"&amp;DATE($B$4+1,1,1),'Sales Log'!$I$5:$I$1004,"&lt;&gt;Refunded",'Sales Log'!$I$5:$I$1004,"&lt;&gt;Cancelled",'Sales Log'!$G$5:$G$1004,$A30))</f>
        <v/>
      </c>
      <c r="C30" s="20" t="str">
        <f aca="false">IF($A30="","",SUMIFS('Sales Log'!$T$5:$T$1004,'Sales Log'!$A$5:$A$1004,"&gt;="&amp;DATE($B$4,1,1),'Sales Log'!$A$5:$A$1004,"&lt;"&amp;DATE($B$4+1,1,1),'Sales Log'!$I$5:$I$1004,"&lt;&gt;Refunded",'Sales Log'!$I$5:$I$1004,"&lt;&gt;Cancelled",'Sales Log'!$G$5:$G$1004,$A30))</f>
        <v/>
      </c>
      <c r="D30" s="21" t="str">
        <f aca="false">IF($A30="","",SUMIFS('Sales Log'!$J$5:$J$1004,'Sales Log'!$A$5:$A$1004,"&gt;="&amp;DATE($B$4,1,1),'Sales Log'!$A$5:$A$1004,"&lt;"&amp;DATE($B$4+1,1,1),'Sales Log'!$I$5:$I$1004,"&lt;&gt;Refunded",'Sales Log'!$I$5:$I$1004,"&lt;&gt;Cancelled",'Sales Log'!$G$5:$G$1004,$A30))</f>
        <v/>
      </c>
      <c r="E30" s="21" t="str">
        <f aca="false">IF($A30="","",SUMIFS('Sales Log'!$K$5:$K$1004,'Sales Log'!$A$5:$A$1004,"&gt;="&amp;DATE($B$4,1,1),'Sales Log'!$A$5:$A$1004,"&lt;"&amp;DATE($B$4+1,1,1),'Sales Log'!$I$5:$I$1004,"&lt;&gt;Refunded",'Sales Log'!$I$5:$I$1004,"&lt;&gt;Cancelled",'Sales Log'!$G$5:$G$1004,$A30))</f>
        <v/>
      </c>
      <c r="F30" s="21" t="str">
        <f aca="false">IF($A30="","",SUMIFS('Sales Log'!$M$5:$M$1004,'Sales Log'!$A$5:$A$1004,"&gt;="&amp;DATE($B$4,1,1),'Sales Log'!$A$5:$A$1004,"&lt;"&amp;DATE($B$4+1,1,1),'Sales Log'!$I$5:$I$1004,"&lt;&gt;Refunded",'Sales Log'!$I$5:$I$1004,"&lt;&gt;Cancelled",'Sales Log'!$G$5:$G$1004,$A30))</f>
        <v/>
      </c>
      <c r="G30" s="22" t="str">
        <f aca="false">IF(OR($A30="",N($D30)&lt;=0),"",$F30/$D30)</f>
        <v/>
      </c>
    </row>
    <row r="31" customFormat="false" ht="15" hidden="false" customHeight="false" outlineLevel="0" collapsed="false">
      <c r="A31" s="28" t="str">
        <f aca="false">IF(Settings!$A$12="","",Settings!$A$12)</f>
        <v/>
      </c>
      <c r="B31" s="20" t="str">
        <f aca="false">IF($A31="","",COUNTIFS('Sales Log'!$A$5:$A$1004,"&gt;="&amp;DATE($B$4,1,1),'Sales Log'!$A$5:$A$1004,"&lt;"&amp;DATE($B$4+1,1,1),'Sales Log'!$I$5:$I$1004,"&lt;&gt;Refunded",'Sales Log'!$I$5:$I$1004,"&lt;&gt;Cancelled",'Sales Log'!$G$5:$G$1004,$A31))</f>
        <v/>
      </c>
      <c r="C31" s="20" t="str">
        <f aca="false">IF($A31="","",SUMIFS('Sales Log'!$T$5:$T$1004,'Sales Log'!$A$5:$A$1004,"&gt;="&amp;DATE($B$4,1,1),'Sales Log'!$A$5:$A$1004,"&lt;"&amp;DATE($B$4+1,1,1),'Sales Log'!$I$5:$I$1004,"&lt;&gt;Refunded",'Sales Log'!$I$5:$I$1004,"&lt;&gt;Cancelled",'Sales Log'!$G$5:$G$1004,$A31))</f>
        <v/>
      </c>
      <c r="D31" s="21" t="str">
        <f aca="false">IF($A31="","",SUMIFS('Sales Log'!$J$5:$J$1004,'Sales Log'!$A$5:$A$1004,"&gt;="&amp;DATE($B$4,1,1),'Sales Log'!$A$5:$A$1004,"&lt;"&amp;DATE($B$4+1,1,1),'Sales Log'!$I$5:$I$1004,"&lt;&gt;Refunded",'Sales Log'!$I$5:$I$1004,"&lt;&gt;Cancelled",'Sales Log'!$G$5:$G$1004,$A31))</f>
        <v/>
      </c>
      <c r="E31" s="21" t="str">
        <f aca="false">IF($A31="","",SUMIFS('Sales Log'!$K$5:$K$1004,'Sales Log'!$A$5:$A$1004,"&gt;="&amp;DATE($B$4,1,1),'Sales Log'!$A$5:$A$1004,"&lt;"&amp;DATE($B$4+1,1,1),'Sales Log'!$I$5:$I$1004,"&lt;&gt;Refunded",'Sales Log'!$I$5:$I$1004,"&lt;&gt;Cancelled",'Sales Log'!$G$5:$G$1004,$A31))</f>
        <v/>
      </c>
      <c r="F31" s="21" t="str">
        <f aca="false">IF($A31="","",SUMIFS('Sales Log'!$M$5:$M$1004,'Sales Log'!$A$5:$A$1004,"&gt;="&amp;DATE($B$4,1,1),'Sales Log'!$A$5:$A$1004,"&lt;"&amp;DATE($B$4+1,1,1),'Sales Log'!$I$5:$I$1004,"&lt;&gt;Refunded",'Sales Log'!$I$5:$I$1004,"&lt;&gt;Cancelled",'Sales Log'!$G$5:$G$1004,$A31))</f>
        <v/>
      </c>
      <c r="G31" s="22" t="str">
        <f aca="false">IF(OR($A31="",N($D31)&lt;=0),"",$F31/$D31)</f>
        <v/>
      </c>
    </row>
    <row r="32" customFormat="false" ht="15" hidden="false" customHeight="false" outlineLevel="0" collapsed="false">
      <c r="A32" s="28" t="str">
        <f aca="false">IF(Settings!$A$13="","",Settings!$A$13)</f>
        <v/>
      </c>
      <c r="B32" s="20" t="str">
        <f aca="false">IF($A32="","",COUNTIFS('Sales Log'!$A$5:$A$1004,"&gt;="&amp;DATE($B$4,1,1),'Sales Log'!$A$5:$A$1004,"&lt;"&amp;DATE($B$4+1,1,1),'Sales Log'!$I$5:$I$1004,"&lt;&gt;Refunded",'Sales Log'!$I$5:$I$1004,"&lt;&gt;Cancelled",'Sales Log'!$G$5:$G$1004,$A32))</f>
        <v/>
      </c>
      <c r="C32" s="20" t="str">
        <f aca="false">IF($A32="","",SUMIFS('Sales Log'!$T$5:$T$1004,'Sales Log'!$A$5:$A$1004,"&gt;="&amp;DATE($B$4,1,1),'Sales Log'!$A$5:$A$1004,"&lt;"&amp;DATE($B$4+1,1,1),'Sales Log'!$I$5:$I$1004,"&lt;&gt;Refunded",'Sales Log'!$I$5:$I$1004,"&lt;&gt;Cancelled",'Sales Log'!$G$5:$G$1004,$A32))</f>
        <v/>
      </c>
      <c r="D32" s="21" t="str">
        <f aca="false">IF($A32="","",SUMIFS('Sales Log'!$J$5:$J$1004,'Sales Log'!$A$5:$A$1004,"&gt;="&amp;DATE($B$4,1,1),'Sales Log'!$A$5:$A$1004,"&lt;"&amp;DATE($B$4+1,1,1),'Sales Log'!$I$5:$I$1004,"&lt;&gt;Refunded",'Sales Log'!$I$5:$I$1004,"&lt;&gt;Cancelled",'Sales Log'!$G$5:$G$1004,$A32))</f>
        <v/>
      </c>
      <c r="E32" s="21" t="str">
        <f aca="false">IF($A32="","",SUMIFS('Sales Log'!$K$5:$K$1004,'Sales Log'!$A$5:$A$1004,"&gt;="&amp;DATE($B$4,1,1),'Sales Log'!$A$5:$A$1004,"&lt;"&amp;DATE($B$4+1,1,1),'Sales Log'!$I$5:$I$1004,"&lt;&gt;Refunded",'Sales Log'!$I$5:$I$1004,"&lt;&gt;Cancelled",'Sales Log'!$G$5:$G$1004,$A32))</f>
        <v/>
      </c>
      <c r="F32" s="21" t="str">
        <f aca="false">IF($A32="","",SUMIFS('Sales Log'!$M$5:$M$1004,'Sales Log'!$A$5:$A$1004,"&gt;="&amp;DATE($B$4,1,1),'Sales Log'!$A$5:$A$1004,"&lt;"&amp;DATE($B$4+1,1,1),'Sales Log'!$I$5:$I$1004,"&lt;&gt;Refunded",'Sales Log'!$I$5:$I$1004,"&lt;&gt;Cancelled",'Sales Log'!$G$5:$G$1004,$A32))</f>
        <v/>
      </c>
      <c r="G32" s="22" t="str">
        <f aca="false">IF(OR($A32="",N($D32)&lt;=0),"",$F32/$D32)</f>
        <v/>
      </c>
    </row>
    <row r="33" customFormat="false" ht="15" hidden="false" customHeight="false" outlineLevel="0" collapsed="false">
      <c r="A33" s="28" t="str">
        <f aca="false">IF(Settings!$A$14="","",Settings!$A$14)</f>
        <v/>
      </c>
      <c r="B33" s="20" t="str">
        <f aca="false">IF($A33="","",COUNTIFS('Sales Log'!$A$5:$A$1004,"&gt;="&amp;DATE($B$4,1,1),'Sales Log'!$A$5:$A$1004,"&lt;"&amp;DATE($B$4+1,1,1),'Sales Log'!$I$5:$I$1004,"&lt;&gt;Refunded",'Sales Log'!$I$5:$I$1004,"&lt;&gt;Cancelled",'Sales Log'!$G$5:$G$1004,$A33))</f>
        <v/>
      </c>
      <c r="C33" s="20" t="str">
        <f aca="false">IF($A33="","",SUMIFS('Sales Log'!$T$5:$T$1004,'Sales Log'!$A$5:$A$1004,"&gt;="&amp;DATE($B$4,1,1),'Sales Log'!$A$5:$A$1004,"&lt;"&amp;DATE($B$4+1,1,1),'Sales Log'!$I$5:$I$1004,"&lt;&gt;Refunded",'Sales Log'!$I$5:$I$1004,"&lt;&gt;Cancelled",'Sales Log'!$G$5:$G$1004,$A33))</f>
        <v/>
      </c>
      <c r="D33" s="21" t="str">
        <f aca="false">IF($A33="","",SUMIFS('Sales Log'!$J$5:$J$1004,'Sales Log'!$A$5:$A$1004,"&gt;="&amp;DATE($B$4,1,1),'Sales Log'!$A$5:$A$1004,"&lt;"&amp;DATE($B$4+1,1,1),'Sales Log'!$I$5:$I$1004,"&lt;&gt;Refunded",'Sales Log'!$I$5:$I$1004,"&lt;&gt;Cancelled",'Sales Log'!$G$5:$G$1004,$A33))</f>
        <v/>
      </c>
      <c r="E33" s="21" t="str">
        <f aca="false">IF($A33="","",SUMIFS('Sales Log'!$K$5:$K$1004,'Sales Log'!$A$5:$A$1004,"&gt;="&amp;DATE($B$4,1,1),'Sales Log'!$A$5:$A$1004,"&lt;"&amp;DATE($B$4+1,1,1),'Sales Log'!$I$5:$I$1004,"&lt;&gt;Refunded",'Sales Log'!$I$5:$I$1004,"&lt;&gt;Cancelled",'Sales Log'!$G$5:$G$1004,$A33))</f>
        <v/>
      </c>
      <c r="F33" s="21" t="str">
        <f aca="false">IF($A33="","",SUMIFS('Sales Log'!$M$5:$M$1004,'Sales Log'!$A$5:$A$1004,"&gt;="&amp;DATE($B$4,1,1),'Sales Log'!$A$5:$A$1004,"&lt;"&amp;DATE($B$4+1,1,1),'Sales Log'!$I$5:$I$1004,"&lt;&gt;Refunded",'Sales Log'!$I$5:$I$1004,"&lt;&gt;Cancelled",'Sales Log'!$G$5:$G$1004,$A33))</f>
        <v/>
      </c>
      <c r="G33" s="22" t="str">
        <f aca="false">IF(OR($A33="",N($D33)&lt;=0),"",$F33/$D33)</f>
        <v/>
      </c>
    </row>
    <row r="34" customFormat="false" ht="15" hidden="false" customHeight="false" outlineLevel="0" collapsed="false">
      <c r="A34" s="28" t="str">
        <f aca="false">IF(Settings!$A$15="","",Settings!$A$15)</f>
        <v/>
      </c>
      <c r="B34" s="20" t="str">
        <f aca="false">IF($A34="","",COUNTIFS('Sales Log'!$A$5:$A$1004,"&gt;="&amp;DATE($B$4,1,1),'Sales Log'!$A$5:$A$1004,"&lt;"&amp;DATE($B$4+1,1,1),'Sales Log'!$I$5:$I$1004,"&lt;&gt;Refunded",'Sales Log'!$I$5:$I$1004,"&lt;&gt;Cancelled",'Sales Log'!$G$5:$G$1004,$A34))</f>
        <v/>
      </c>
      <c r="C34" s="20" t="str">
        <f aca="false">IF($A34="","",SUMIFS('Sales Log'!$T$5:$T$1004,'Sales Log'!$A$5:$A$1004,"&gt;="&amp;DATE($B$4,1,1),'Sales Log'!$A$5:$A$1004,"&lt;"&amp;DATE($B$4+1,1,1),'Sales Log'!$I$5:$I$1004,"&lt;&gt;Refunded",'Sales Log'!$I$5:$I$1004,"&lt;&gt;Cancelled",'Sales Log'!$G$5:$G$1004,$A34))</f>
        <v/>
      </c>
      <c r="D34" s="21" t="str">
        <f aca="false">IF($A34="","",SUMIFS('Sales Log'!$J$5:$J$1004,'Sales Log'!$A$5:$A$1004,"&gt;="&amp;DATE($B$4,1,1),'Sales Log'!$A$5:$A$1004,"&lt;"&amp;DATE($B$4+1,1,1),'Sales Log'!$I$5:$I$1004,"&lt;&gt;Refunded",'Sales Log'!$I$5:$I$1004,"&lt;&gt;Cancelled",'Sales Log'!$G$5:$G$1004,$A34))</f>
        <v/>
      </c>
      <c r="E34" s="21" t="str">
        <f aca="false">IF($A34="","",SUMIFS('Sales Log'!$K$5:$K$1004,'Sales Log'!$A$5:$A$1004,"&gt;="&amp;DATE($B$4,1,1),'Sales Log'!$A$5:$A$1004,"&lt;"&amp;DATE($B$4+1,1,1),'Sales Log'!$I$5:$I$1004,"&lt;&gt;Refunded",'Sales Log'!$I$5:$I$1004,"&lt;&gt;Cancelled",'Sales Log'!$G$5:$G$1004,$A34))</f>
        <v/>
      </c>
      <c r="F34" s="21" t="str">
        <f aca="false">IF($A34="","",SUMIFS('Sales Log'!$M$5:$M$1004,'Sales Log'!$A$5:$A$1004,"&gt;="&amp;DATE($B$4,1,1),'Sales Log'!$A$5:$A$1004,"&lt;"&amp;DATE($B$4+1,1,1),'Sales Log'!$I$5:$I$1004,"&lt;&gt;Refunded",'Sales Log'!$I$5:$I$1004,"&lt;&gt;Cancelled",'Sales Log'!$G$5:$G$1004,$A34))</f>
        <v/>
      </c>
      <c r="G34" s="22" t="str">
        <f aca="false">IF(OR($A34="",N($D34)&lt;=0),"",$F34/$D34)</f>
        <v/>
      </c>
    </row>
    <row r="37" customFormat="false" ht="15" hidden="false" customHeight="false" outlineLevel="0" collapsed="false">
      <c r="A37" s="27" t="s">
        <v>54</v>
      </c>
    </row>
    <row r="38" customFormat="false" ht="31.5" hidden="false" customHeight="true" outlineLevel="0" collapsed="false">
      <c r="A38" s="3" t="s">
        <v>4</v>
      </c>
      <c r="B38" s="3" t="s">
        <v>44</v>
      </c>
      <c r="C38" s="3" t="s">
        <v>45</v>
      </c>
      <c r="D38" s="3" t="s">
        <v>46</v>
      </c>
      <c r="E38" s="3" t="s">
        <v>47</v>
      </c>
      <c r="F38" s="3" t="s">
        <v>50</v>
      </c>
      <c r="G38" s="3" t="s">
        <v>16</v>
      </c>
    </row>
    <row r="39" customFormat="false" ht="15" hidden="false" customHeight="false" outlineLevel="0" collapsed="false">
      <c r="A39" s="28" t="str">
        <f aca="false">IF(Products!$A$5="","",Products!$A$5)</f>
        <v>Oni mask, single color</v>
      </c>
      <c r="B39" s="20" t="n">
        <f aca="false">IF($A39="","",COUNTIFS('Sales Log'!$A$5:$A$1004,"&gt;="&amp;DATE($B$4,1,1),'Sales Log'!$A$5:$A$1004,"&lt;"&amp;DATE($B$4+1,1,1),'Sales Log'!$I$5:$I$1004,"&lt;&gt;Refunded",'Sales Log'!$I$5:$I$1004,"&lt;&gt;Cancelled",'Sales Log'!$B$5:$B$1004,$A39))</f>
        <v>1</v>
      </c>
      <c r="C39" s="20" t="n">
        <f aca="false">IF($A39="","",SUMIFS('Sales Log'!$T$5:$T$1004,'Sales Log'!$A$5:$A$1004,"&gt;="&amp;DATE($B$4,1,1),'Sales Log'!$A$5:$A$1004,"&lt;"&amp;DATE($B$4+1,1,1),'Sales Log'!$I$5:$I$1004,"&lt;&gt;Refunded",'Sales Log'!$I$5:$I$1004,"&lt;&gt;Cancelled",'Sales Log'!$B$5:$B$1004,$A39))</f>
        <v>1</v>
      </c>
      <c r="D39" s="21" t="n">
        <f aca="false">IF($A39="","",SUMIFS('Sales Log'!$J$5:$J$1004,'Sales Log'!$A$5:$A$1004,"&gt;="&amp;DATE($B$4,1,1),'Sales Log'!$A$5:$A$1004,"&lt;"&amp;DATE($B$4+1,1,1),'Sales Log'!$I$5:$I$1004,"&lt;&gt;Refunded",'Sales Log'!$I$5:$I$1004,"&lt;&gt;Cancelled",'Sales Log'!$B$5:$B$1004,$A39))</f>
        <v>56.5</v>
      </c>
      <c r="E39" s="21" t="n">
        <f aca="false">IF($A39="","",SUMIFS('Sales Log'!$K$5:$K$1004,'Sales Log'!$A$5:$A$1004,"&gt;="&amp;DATE($B$4,1,1),'Sales Log'!$A$5:$A$1004,"&lt;"&amp;DATE($B$4+1,1,1),'Sales Log'!$I$5:$I$1004,"&lt;&gt;Refunded",'Sales Log'!$I$5:$I$1004,"&lt;&gt;Cancelled",'Sales Log'!$B$5:$B$1004,$A39))</f>
        <v>5.8175</v>
      </c>
      <c r="F39" s="21" t="n">
        <f aca="false">IF($A39="","",SUMIFS('Sales Log'!$M$5:$M$1004,'Sales Log'!$A$5:$A$1004,"&gt;="&amp;DATE($B$4,1,1),'Sales Log'!$A$5:$A$1004,"&lt;"&amp;DATE($B$4+1,1,1),'Sales Log'!$I$5:$I$1004,"&lt;&gt;Refunded",'Sales Log'!$I$5:$I$1004,"&lt;&gt;Cancelled",'Sales Log'!$B$5:$B$1004,$A39))</f>
        <v>32.5825</v>
      </c>
      <c r="G39" s="22" t="n">
        <f aca="false">IF(OR($A39="",N($D39)&lt;=0),"",$F39/$D39)</f>
        <v>0.576681415929204</v>
      </c>
    </row>
    <row r="40" customFormat="false" ht="15" hidden="false" customHeight="false" outlineLevel="0" collapsed="false">
      <c r="A40" s="28" t="str">
        <f aca="false">IF(Products!$A$6="","",Products!$A$6)</f>
        <v>Oni mask, hand-painted</v>
      </c>
      <c r="B40" s="20" t="n">
        <f aca="false">IF($A40="","",COUNTIFS('Sales Log'!$A$5:$A$1004,"&gt;="&amp;DATE($B$4,1,1),'Sales Log'!$A$5:$A$1004,"&lt;"&amp;DATE($B$4+1,1,1),'Sales Log'!$I$5:$I$1004,"&lt;&gt;Refunded",'Sales Log'!$I$5:$I$1004,"&lt;&gt;Cancelled",'Sales Log'!$B$5:$B$1004,$A40))</f>
        <v>1</v>
      </c>
      <c r="C40" s="20" t="n">
        <f aca="false">IF($A40="","",SUMIFS('Sales Log'!$T$5:$T$1004,'Sales Log'!$A$5:$A$1004,"&gt;="&amp;DATE($B$4,1,1),'Sales Log'!$A$5:$A$1004,"&lt;"&amp;DATE($B$4+1,1,1),'Sales Log'!$I$5:$I$1004,"&lt;&gt;Refunded",'Sales Log'!$I$5:$I$1004,"&lt;&gt;Cancelled",'Sales Log'!$B$5:$B$1004,$A40))</f>
        <v>1</v>
      </c>
      <c r="D40" s="21" t="n">
        <f aca="false">IF($A40="","",SUMIFS('Sales Log'!$J$5:$J$1004,'Sales Log'!$A$5:$A$1004,"&gt;="&amp;DATE($B$4,1,1),'Sales Log'!$A$5:$A$1004,"&lt;"&amp;DATE($B$4+1,1,1),'Sales Log'!$I$5:$I$1004,"&lt;&gt;Refunded",'Sales Log'!$I$5:$I$1004,"&lt;&gt;Cancelled",'Sales Log'!$B$5:$B$1004,$A40))</f>
        <v>138</v>
      </c>
      <c r="E40" s="21" t="n">
        <f aca="false">IF($A40="","",SUMIFS('Sales Log'!$K$5:$K$1004,'Sales Log'!$A$5:$A$1004,"&gt;="&amp;DATE($B$4,1,1),'Sales Log'!$A$5:$A$1004,"&lt;"&amp;DATE($B$4+1,1,1),'Sales Log'!$I$5:$I$1004,"&lt;&gt;Refunded",'Sales Log'!$I$5:$I$1004,"&lt;&gt;Cancelled",'Sales Log'!$B$5:$B$1004,$A40))</f>
        <v>13.56</v>
      </c>
      <c r="F40" s="21" t="n">
        <f aca="false">IF($A40="","",SUMIFS('Sales Log'!$M$5:$M$1004,'Sales Log'!$A$5:$A$1004,"&gt;="&amp;DATE($B$4,1,1),'Sales Log'!$A$5:$A$1004,"&lt;"&amp;DATE($B$4+1,1,1),'Sales Log'!$I$5:$I$1004,"&lt;&gt;Refunded",'Sales Log'!$I$5:$I$1004,"&lt;&gt;Cancelled",'Sales Log'!$B$5:$B$1004,$A40))</f>
        <v>93.43</v>
      </c>
      <c r="G40" s="22" t="n">
        <f aca="false">IF(OR($A40="",N($D40)&lt;=0),"",$F40/$D40)</f>
        <v>0.677028985507246</v>
      </c>
    </row>
    <row r="41" customFormat="false" ht="15" hidden="false" customHeight="false" outlineLevel="0" collapsed="false">
      <c r="A41" s="28" t="str">
        <f aca="false">IF(Products!$A$7="","",Products!$A$7)</f>
        <v>Keychain</v>
      </c>
      <c r="B41" s="20" t="n">
        <f aca="false">IF($A41="","",COUNTIFS('Sales Log'!$A$5:$A$1004,"&gt;="&amp;DATE($B$4,1,1),'Sales Log'!$A$5:$A$1004,"&lt;"&amp;DATE($B$4+1,1,1),'Sales Log'!$I$5:$I$1004,"&lt;&gt;Refunded",'Sales Log'!$I$5:$I$1004,"&lt;&gt;Cancelled",'Sales Log'!$B$5:$B$1004,$A41))</f>
        <v>1</v>
      </c>
      <c r="C41" s="20" t="n">
        <f aca="false">IF($A41="","",SUMIFS('Sales Log'!$T$5:$T$1004,'Sales Log'!$A$5:$A$1004,"&gt;="&amp;DATE($B$4,1,1),'Sales Log'!$A$5:$A$1004,"&lt;"&amp;DATE($B$4+1,1,1),'Sales Log'!$I$5:$I$1004,"&lt;&gt;Refunded",'Sales Log'!$I$5:$I$1004,"&lt;&gt;Cancelled",'Sales Log'!$B$5:$B$1004,$A41))</f>
        <v>3</v>
      </c>
      <c r="D41" s="21" t="n">
        <f aca="false">IF($A41="","",SUMIFS('Sales Log'!$J$5:$J$1004,'Sales Log'!$A$5:$A$1004,"&gt;="&amp;DATE($B$4,1,1),'Sales Log'!$A$5:$A$1004,"&lt;"&amp;DATE($B$4+1,1,1),'Sales Log'!$I$5:$I$1004,"&lt;&gt;Refunded",'Sales Log'!$I$5:$I$1004,"&lt;&gt;Cancelled",'Sales Log'!$B$5:$B$1004,$A41))</f>
        <v>33</v>
      </c>
      <c r="E41" s="21" t="n">
        <f aca="false">IF($A41="","",SUMIFS('Sales Log'!$K$5:$K$1004,'Sales Log'!$A$5:$A$1004,"&gt;="&amp;DATE($B$4,1,1),'Sales Log'!$A$5:$A$1004,"&lt;"&amp;DATE($B$4+1,1,1),'Sales Log'!$I$5:$I$1004,"&lt;&gt;Refunded",'Sales Log'!$I$5:$I$1004,"&lt;&gt;Cancelled",'Sales Log'!$B$5:$B$1004,$A41))</f>
        <v>0</v>
      </c>
      <c r="F41" s="21" t="n">
        <f aca="false">IF($A41="","",SUMIFS('Sales Log'!$M$5:$M$1004,'Sales Log'!$A$5:$A$1004,"&gt;="&amp;DATE($B$4,1,1),'Sales Log'!$A$5:$A$1004,"&lt;"&amp;DATE($B$4+1,1,1),'Sales Log'!$I$5:$I$1004,"&lt;&gt;Refunded",'Sales Log'!$I$5:$I$1004,"&lt;&gt;Cancelled",'Sales Log'!$B$5:$B$1004,$A41))</f>
        <v>29.25</v>
      </c>
      <c r="G41" s="22" t="n">
        <f aca="false">IF(OR($A41="",N($D41)&lt;=0),"",$F41/$D41)</f>
        <v>0.886363636363636</v>
      </c>
    </row>
    <row r="42" customFormat="false" ht="15" hidden="false" customHeight="false" outlineLevel="0" collapsed="false">
      <c r="A42" s="28" t="str">
        <f aca="false">IF(Products!$A$8="","",Products!$A$8)</f>
        <v>Desk organizer</v>
      </c>
      <c r="B42" s="20" t="n">
        <f aca="false">IF($A42="","",COUNTIFS('Sales Log'!$A$5:$A$1004,"&gt;="&amp;DATE($B$4,1,1),'Sales Log'!$A$5:$A$1004,"&lt;"&amp;DATE($B$4+1,1,1),'Sales Log'!$I$5:$I$1004,"&lt;&gt;Refunded",'Sales Log'!$I$5:$I$1004,"&lt;&gt;Cancelled",'Sales Log'!$B$5:$B$1004,$A42))</f>
        <v>0</v>
      </c>
      <c r="C42" s="20" t="n">
        <f aca="false">IF($A42="","",SUMIFS('Sales Log'!$T$5:$T$1004,'Sales Log'!$A$5:$A$1004,"&gt;="&amp;DATE($B$4,1,1),'Sales Log'!$A$5:$A$1004,"&lt;"&amp;DATE($B$4+1,1,1),'Sales Log'!$I$5:$I$1004,"&lt;&gt;Refunded",'Sales Log'!$I$5:$I$1004,"&lt;&gt;Cancelled",'Sales Log'!$B$5:$B$1004,$A42))</f>
        <v>0</v>
      </c>
      <c r="D42" s="21" t="n">
        <f aca="false">IF($A42="","",SUMIFS('Sales Log'!$J$5:$J$1004,'Sales Log'!$A$5:$A$1004,"&gt;="&amp;DATE($B$4,1,1),'Sales Log'!$A$5:$A$1004,"&lt;"&amp;DATE($B$4+1,1,1),'Sales Log'!$I$5:$I$1004,"&lt;&gt;Refunded",'Sales Log'!$I$5:$I$1004,"&lt;&gt;Cancelled",'Sales Log'!$B$5:$B$1004,$A42))</f>
        <v>0</v>
      </c>
      <c r="E42" s="21" t="n">
        <f aca="false">IF($A42="","",SUMIFS('Sales Log'!$K$5:$K$1004,'Sales Log'!$A$5:$A$1004,"&gt;="&amp;DATE($B$4,1,1),'Sales Log'!$A$5:$A$1004,"&lt;"&amp;DATE($B$4+1,1,1),'Sales Log'!$I$5:$I$1004,"&lt;&gt;Refunded",'Sales Log'!$I$5:$I$1004,"&lt;&gt;Cancelled",'Sales Log'!$B$5:$B$1004,$A42))</f>
        <v>0</v>
      </c>
      <c r="F42" s="21" t="n">
        <f aca="false">IF($A42="","",SUMIFS('Sales Log'!$M$5:$M$1004,'Sales Log'!$A$5:$A$1004,"&gt;="&amp;DATE($B$4,1,1),'Sales Log'!$A$5:$A$1004,"&lt;"&amp;DATE($B$4+1,1,1),'Sales Log'!$I$5:$I$1004,"&lt;&gt;Refunded",'Sales Log'!$I$5:$I$1004,"&lt;&gt;Cancelled",'Sales Log'!$B$5:$B$1004,$A42))</f>
        <v>0</v>
      </c>
      <c r="G42" s="22" t="str">
        <f aca="false">IF(OR($A42="",N($D42)&lt;=0),"",$F42/$D42)</f>
        <v/>
      </c>
    </row>
    <row r="43" customFormat="false" ht="15" hidden="false" customHeight="false" outlineLevel="0" collapsed="false">
      <c r="A43" s="28" t="str">
        <f aca="false">IF(Products!$A$9="","",Products!$A$9)</f>
        <v/>
      </c>
      <c r="B43" s="20" t="str">
        <f aca="false">IF($A43="","",COUNTIFS('Sales Log'!$A$5:$A$1004,"&gt;="&amp;DATE($B$4,1,1),'Sales Log'!$A$5:$A$1004,"&lt;"&amp;DATE($B$4+1,1,1),'Sales Log'!$I$5:$I$1004,"&lt;&gt;Refunded",'Sales Log'!$I$5:$I$1004,"&lt;&gt;Cancelled",'Sales Log'!$B$5:$B$1004,$A43))</f>
        <v/>
      </c>
      <c r="C43" s="20" t="str">
        <f aca="false">IF($A43="","",SUMIFS('Sales Log'!$T$5:$T$1004,'Sales Log'!$A$5:$A$1004,"&gt;="&amp;DATE($B$4,1,1),'Sales Log'!$A$5:$A$1004,"&lt;"&amp;DATE($B$4+1,1,1),'Sales Log'!$I$5:$I$1004,"&lt;&gt;Refunded",'Sales Log'!$I$5:$I$1004,"&lt;&gt;Cancelled",'Sales Log'!$B$5:$B$1004,$A43))</f>
        <v/>
      </c>
      <c r="D43" s="21" t="str">
        <f aca="false">IF($A43="","",SUMIFS('Sales Log'!$J$5:$J$1004,'Sales Log'!$A$5:$A$1004,"&gt;="&amp;DATE($B$4,1,1),'Sales Log'!$A$5:$A$1004,"&lt;"&amp;DATE($B$4+1,1,1),'Sales Log'!$I$5:$I$1004,"&lt;&gt;Refunded",'Sales Log'!$I$5:$I$1004,"&lt;&gt;Cancelled",'Sales Log'!$B$5:$B$1004,$A43))</f>
        <v/>
      </c>
      <c r="E43" s="21" t="str">
        <f aca="false">IF($A43="","",SUMIFS('Sales Log'!$K$5:$K$1004,'Sales Log'!$A$5:$A$1004,"&gt;="&amp;DATE($B$4,1,1),'Sales Log'!$A$5:$A$1004,"&lt;"&amp;DATE($B$4+1,1,1),'Sales Log'!$I$5:$I$1004,"&lt;&gt;Refunded",'Sales Log'!$I$5:$I$1004,"&lt;&gt;Cancelled",'Sales Log'!$B$5:$B$1004,$A43))</f>
        <v/>
      </c>
      <c r="F43" s="21" t="str">
        <f aca="false">IF($A43="","",SUMIFS('Sales Log'!$M$5:$M$1004,'Sales Log'!$A$5:$A$1004,"&gt;="&amp;DATE($B$4,1,1),'Sales Log'!$A$5:$A$1004,"&lt;"&amp;DATE($B$4+1,1,1),'Sales Log'!$I$5:$I$1004,"&lt;&gt;Refunded",'Sales Log'!$I$5:$I$1004,"&lt;&gt;Cancelled",'Sales Log'!$B$5:$B$1004,$A43))</f>
        <v/>
      </c>
      <c r="G43" s="22" t="str">
        <f aca="false">IF(OR($A43="",N($D43)&lt;=0),"",$F43/$D43)</f>
        <v/>
      </c>
    </row>
    <row r="44" customFormat="false" ht="15" hidden="false" customHeight="false" outlineLevel="0" collapsed="false">
      <c r="A44" s="28" t="str">
        <f aca="false">IF(Products!$A$10="","",Products!$A$10)</f>
        <v/>
      </c>
      <c r="B44" s="20" t="str">
        <f aca="false">IF($A44="","",COUNTIFS('Sales Log'!$A$5:$A$1004,"&gt;="&amp;DATE($B$4,1,1),'Sales Log'!$A$5:$A$1004,"&lt;"&amp;DATE($B$4+1,1,1),'Sales Log'!$I$5:$I$1004,"&lt;&gt;Refunded",'Sales Log'!$I$5:$I$1004,"&lt;&gt;Cancelled",'Sales Log'!$B$5:$B$1004,$A44))</f>
        <v/>
      </c>
      <c r="C44" s="20" t="str">
        <f aca="false">IF($A44="","",SUMIFS('Sales Log'!$T$5:$T$1004,'Sales Log'!$A$5:$A$1004,"&gt;="&amp;DATE($B$4,1,1),'Sales Log'!$A$5:$A$1004,"&lt;"&amp;DATE($B$4+1,1,1),'Sales Log'!$I$5:$I$1004,"&lt;&gt;Refunded",'Sales Log'!$I$5:$I$1004,"&lt;&gt;Cancelled",'Sales Log'!$B$5:$B$1004,$A44))</f>
        <v/>
      </c>
      <c r="D44" s="21" t="str">
        <f aca="false">IF($A44="","",SUMIFS('Sales Log'!$J$5:$J$1004,'Sales Log'!$A$5:$A$1004,"&gt;="&amp;DATE($B$4,1,1),'Sales Log'!$A$5:$A$1004,"&lt;"&amp;DATE($B$4+1,1,1),'Sales Log'!$I$5:$I$1004,"&lt;&gt;Refunded",'Sales Log'!$I$5:$I$1004,"&lt;&gt;Cancelled",'Sales Log'!$B$5:$B$1004,$A44))</f>
        <v/>
      </c>
      <c r="E44" s="21" t="str">
        <f aca="false">IF($A44="","",SUMIFS('Sales Log'!$K$5:$K$1004,'Sales Log'!$A$5:$A$1004,"&gt;="&amp;DATE($B$4,1,1),'Sales Log'!$A$5:$A$1004,"&lt;"&amp;DATE($B$4+1,1,1),'Sales Log'!$I$5:$I$1004,"&lt;&gt;Refunded",'Sales Log'!$I$5:$I$1004,"&lt;&gt;Cancelled",'Sales Log'!$B$5:$B$1004,$A44))</f>
        <v/>
      </c>
      <c r="F44" s="21" t="str">
        <f aca="false">IF($A44="","",SUMIFS('Sales Log'!$M$5:$M$1004,'Sales Log'!$A$5:$A$1004,"&gt;="&amp;DATE($B$4,1,1),'Sales Log'!$A$5:$A$1004,"&lt;"&amp;DATE($B$4+1,1,1),'Sales Log'!$I$5:$I$1004,"&lt;&gt;Refunded",'Sales Log'!$I$5:$I$1004,"&lt;&gt;Cancelled",'Sales Log'!$B$5:$B$1004,$A44))</f>
        <v/>
      </c>
      <c r="G44" s="22" t="str">
        <f aca="false">IF(OR($A44="",N($D44)&lt;=0),"",$F44/$D44)</f>
        <v/>
      </c>
    </row>
    <row r="45" customFormat="false" ht="15" hidden="false" customHeight="false" outlineLevel="0" collapsed="false">
      <c r="A45" s="28" t="str">
        <f aca="false">IF(Products!$A$11="","",Products!$A$11)</f>
        <v/>
      </c>
      <c r="B45" s="20" t="str">
        <f aca="false">IF($A45="","",COUNTIFS('Sales Log'!$A$5:$A$1004,"&gt;="&amp;DATE($B$4,1,1),'Sales Log'!$A$5:$A$1004,"&lt;"&amp;DATE($B$4+1,1,1),'Sales Log'!$I$5:$I$1004,"&lt;&gt;Refunded",'Sales Log'!$I$5:$I$1004,"&lt;&gt;Cancelled",'Sales Log'!$B$5:$B$1004,$A45))</f>
        <v/>
      </c>
      <c r="C45" s="20" t="str">
        <f aca="false">IF($A45="","",SUMIFS('Sales Log'!$T$5:$T$1004,'Sales Log'!$A$5:$A$1004,"&gt;="&amp;DATE($B$4,1,1),'Sales Log'!$A$5:$A$1004,"&lt;"&amp;DATE($B$4+1,1,1),'Sales Log'!$I$5:$I$1004,"&lt;&gt;Refunded",'Sales Log'!$I$5:$I$1004,"&lt;&gt;Cancelled",'Sales Log'!$B$5:$B$1004,$A45))</f>
        <v/>
      </c>
      <c r="D45" s="21" t="str">
        <f aca="false">IF($A45="","",SUMIFS('Sales Log'!$J$5:$J$1004,'Sales Log'!$A$5:$A$1004,"&gt;="&amp;DATE($B$4,1,1),'Sales Log'!$A$5:$A$1004,"&lt;"&amp;DATE($B$4+1,1,1),'Sales Log'!$I$5:$I$1004,"&lt;&gt;Refunded",'Sales Log'!$I$5:$I$1004,"&lt;&gt;Cancelled",'Sales Log'!$B$5:$B$1004,$A45))</f>
        <v/>
      </c>
      <c r="E45" s="21" t="str">
        <f aca="false">IF($A45="","",SUMIFS('Sales Log'!$K$5:$K$1004,'Sales Log'!$A$5:$A$1004,"&gt;="&amp;DATE($B$4,1,1),'Sales Log'!$A$5:$A$1004,"&lt;"&amp;DATE($B$4+1,1,1),'Sales Log'!$I$5:$I$1004,"&lt;&gt;Refunded",'Sales Log'!$I$5:$I$1004,"&lt;&gt;Cancelled",'Sales Log'!$B$5:$B$1004,$A45))</f>
        <v/>
      </c>
      <c r="F45" s="21" t="str">
        <f aca="false">IF($A45="","",SUMIFS('Sales Log'!$M$5:$M$1004,'Sales Log'!$A$5:$A$1004,"&gt;="&amp;DATE($B$4,1,1),'Sales Log'!$A$5:$A$1004,"&lt;"&amp;DATE($B$4+1,1,1),'Sales Log'!$I$5:$I$1004,"&lt;&gt;Refunded",'Sales Log'!$I$5:$I$1004,"&lt;&gt;Cancelled",'Sales Log'!$B$5:$B$1004,$A45))</f>
        <v/>
      </c>
      <c r="G45" s="22" t="str">
        <f aca="false">IF(OR($A45="",N($D45)&lt;=0),"",$F45/$D45)</f>
        <v/>
      </c>
    </row>
    <row r="46" customFormat="false" ht="15" hidden="false" customHeight="false" outlineLevel="0" collapsed="false">
      <c r="A46" s="28" t="str">
        <f aca="false">IF(Products!$A$12="","",Products!$A$12)</f>
        <v/>
      </c>
      <c r="B46" s="20" t="str">
        <f aca="false">IF($A46="","",COUNTIFS('Sales Log'!$A$5:$A$1004,"&gt;="&amp;DATE($B$4,1,1),'Sales Log'!$A$5:$A$1004,"&lt;"&amp;DATE($B$4+1,1,1),'Sales Log'!$I$5:$I$1004,"&lt;&gt;Refunded",'Sales Log'!$I$5:$I$1004,"&lt;&gt;Cancelled",'Sales Log'!$B$5:$B$1004,$A46))</f>
        <v/>
      </c>
      <c r="C46" s="20" t="str">
        <f aca="false">IF($A46="","",SUMIFS('Sales Log'!$T$5:$T$1004,'Sales Log'!$A$5:$A$1004,"&gt;="&amp;DATE($B$4,1,1),'Sales Log'!$A$5:$A$1004,"&lt;"&amp;DATE($B$4+1,1,1),'Sales Log'!$I$5:$I$1004,"&lt;&gt;Refunded",'Sales Log'!$I$5:$I$1004,"&lt;&gt;Cancelled",'Sales Log'!$B$5:$B$1004,$A46))</f>
        <v/>
      </c>
      <c r="D46" s="21" t="str">
        <f aca="false">IF($A46="","",SUMIFS('Sales Log'!$J$5:$J$1004,'Sales Log'!$A$5:$A$1004,"&gt;="&amp;DATE($B$4,1,1),'Sales Log'!$A$5:$A$1004,"&lt;"&amp;DATE($B$4+1,1,1),'Sales Log'!$I$5:$I$1004,"&lt;&gt;Refunded",'Sales Log'!$I$5:$I$1004,"&lt;&gt;Cancelled",'Sales Log'!$B$5:$B$1004,$A46))</f>
        <v/>
      </c>
      <c r="E46" s="21" t="str">
        <f aca="false">IF($A46="","",SUMIFS('Sales Log'!$K$5:$K$1004,'Sales Log'!$A$5:$A$1004,"&gt;="&amp;DATE($B$4,1,1),'Sales Log'!$A$5:$A$1004,"&lt;"&amp;DATE($B$4+1,1,1),'Sales Log'!$I$5:$I$1004,"&lt;&gt;Refunded",'Sales Log'!$I$5:$I$1004,"&lt;&gt;Cancelled",'Sales Log'!$B$5:$B$1004,$A46))</f>
        <v/>
      </c>
      <c r="F46" s="21" t="str">
        <f aca="false">IF($A46="","",SUMIFS('Sales Log'!$M$5:$M$1004,'Sales Log'!$A$5:$A$1004,"&gt;="&amp;DATE($B$4,1,1),'Sales Log'!$A$5:$A$1004,"&lt;"&amp;DATE($B$4+1,1,1),'Sales Log'!$I$5:$I$1004,"&lt;&gt;Refunded",'Sales Log'!$I$5:$I$1004,"&lt;&gt;Cancelled",'Sales Log'!$B$5:$B$1004,$A46))</f>
        <v/>
      </c>
      <c r="G46" s="22" t="str">
        <f aca="false">IF(OR($A46="",N($D46)&lt;=0),"",$F46/$D46)</f>
        <v/>
      </c>
    </row>
    <row r="47" customFormat="false" ht="15" hidden="false" customHeight="false" outlineLevel="0" collapsed="false">
      <c r="A47" s="28" t="str">
        <f aca="false">IF(Products!$A$13="","",Products!$A$13)</f>
        <v/>
      </c>
      <c r="B47" s="20" t="str">
        <f aca="false">IF($A47="","",COUNTIFS('Sales Log'!$A$5:$A$1004,"&gt;="&amp;DATE($B$4,1,1),'Sales Log'!$A$5:$A$1004,"&lt;"&amp;DATE($B$4+1,1,1),'Sales Log'!$I$5:$I$1004,"&lt;&gt;Refunded",'Sales Log'!$I$5:$I$1004,"&lt;&gt;Cancelled",'Sales Log'!$B$5:$B$1004,$A47))</f>
        <v/>
      </c>
      <c r="C47" s="20" t="str">
        <f aca="false">IF($A47="","",SUMIFS('Sales Log'!$T$5:$T$1004,'Sales Log'!$A$5:$A$1004,"&gt;="&amp;DATE($B$4,1,1),'Sales Log'!$A$5:$A$1004,"&lt;"&amp;DATE($B$4+1,1,1),'Sales Log'!$I$5:$I$1004,"&lt;&gt;Refunded",'Sales Log'!$I$5:$I$1004,"&lt;&gt;Cancelled",'Sales Log'!$B$5:$B$1004,$A47))</f>
        <v/>
      </c>
      <c r="D47" s="21" t="str">
        <f aca="false">IF($A47="","",SUMIFS('Sales Log'!$J$5:$J$1004,'Sales Log'!$A$5:$A$1004,"&gt;="&amp;DATE($B$4,1,1),'Sales Log'!$A$5:$A$1004,"&lt;"&amp;DATE($B$4+1,1,1),'Sales Log'!$I$5:$I$1004,"&lt;&gt;Refunded",'Sales Log'!$I$5:$I$1004,"&lt;&gt;Cancelled",'Sales Log'!$B$5:$B$1004,$A47))</f>
        <v/>
      </c>
      <c r="E47" s="21" t="str">
        <f aca="false">IF($A47="","",SUMIFS('Sales Log'!$K$5:$K$1004,'Sales Log'!$A$5:$A$1004,"&gt;="&amp;DATE($B$4,1,1),'Sales Log'!$A$5:$A$1004,"&lt;"&amp;DATE($B$4+1,1,1),'Sales Log'!$I$5:$I$1004,"&lt;&gt;Refunded",'Sales Log'!$I$5:$I$1004,"&lt;&gt;Cancelled",'Sales Log'!$B$5:$B$1004,$A47))</f>
        <v/>
      </c>
      <c r="F47" s="21" t="str">
        <f aca="false">IF($A47="","",SUMIFS('Sales Log'!$M$5:$M$1004,'Sales Log'!$A$5:$A$1004,"&gt;="&amp;DATE($B$4,1,1),'Sales Log'!$A$5:$A$1004,"&lt;"&amp;DATE($B$4+1,1,1),'Sales Log'!$I$5:$I$1004,"&lt;&gt;Refunded",'Sales Log'!$I$5:$I$1004,"&lt;&gt;Cancelled",'Sales Log'!$B$5:$B$1004,$A47))</f>
        <v/>
      </c>
      <c r="G47" s="22" t="str">
        <f aca="false">IF(OR($A47="",N($D47)&lt;=0),"",$F47/$D47)</f>
        <v/>
      </c>
    </row>
    <row r="48" customFormat="false" ht="15" hidden="false" customHeight="false" outlineLevel="0" collapsed="false">
      <c r="A48" s="28" t="str">
        <f aca="false">IF(Products!$A$14="","",Products!$A$14)</f>
        <v/>
      </c>
      <c r="B48" s="20" t="str">
        <f aca="false">IF($A48="","",COUNTIFS('Sales Log'!$A$5:$A$1004,"&gt;="&amp;DATE($B$4,1,1),'Sales Log'!$A$5:$A$1004,"&lt;"&amp;DATE($B$4+1,1,1),'Sales Log'!$I$5:$I$1004,"&lt;&gt;Refunded",'Sales Log'!$I$5:$I$1004,"&lt;&gt;Cancelled",'Sales Log'!$B$5:$B$1004,$A48))</f>
        <v/>
      </c>
      <c r="C48" s="20" t="str">
        <f aca="false">IF($A48="","",SUMIFS('Sales Log'!$T$5:$T$1004,'Sales Log'!$A$5:$A$1004,"&gt;="&amp;DATE($B$4,1,1),'Sales Log'!$A$5:$A$1004,"&lt;"&amp;DATE($B$4+1,1,1),'Sales Log'!$I$5:$I$1004,"&lt;&gt;Refunded",'Sales Log'!$I$5:$I$1004,"&lt;&gt;Cancelled",'Sales Log'!$B$5:$B$1004,$A48))</f>
        <v/>
      </c>
      <c r="D48" s="21" t="str">
        <f aca="false">IF($A48="","",SUMIFS('Sales Log'!$J$5:$J$1004,'Sales Log'!$A$5:$A$1004,"&gt;="&amp;DATE($B$4,1,1),'Sales Log'!$A$5:$A$1004,"&lt;"&amp;DATE($B$4+1,1,1),'Sales Log'!$I$5:$I$1004,"&lt;&gt;Refunded",'Sales Log'!$I$5:$I$1004,"&lt;&gt;Cancelled",'Sales Log'!$B$5:$B$1004,$A48))</f>
        <v/>
      </c>
      <c r="E48" s="21" t="str">
        <f aca="false">IF($A48="","",SUMIFS('Sales Log'!$K$5:$K$1004,'Sales Log'!$A$5:$A$1004,"&gt;="&amp;DATE($B$4,1,1),'Sales Log'!$A$5:$A$1004,"&lt;"&amp;DATE($B$4+1,1,1),'Sales Log'!$I$5:$I$1004,"&lt;&gt;Refunded",'Sales Log'!$I$5:$I$1004,"&lt;&gt;Cancelled",'Sales Log'!$B$5:$B$1004,$A48))</f>
        <v/>
      </c>
      <c r="F48" s="21" t="str">
        <f aca="false">IF($A48="","",SUMIFS('Sales Log'!$M$5:$M$1004,'Sales Log'!$A$5:$A$1004,"&gt;="&amp;DATE($B$4,1,1),'Sales Log'!$A$5:$A$1004,"&lt;"&amp;DATE($B$4+1,1,1),'Sales Log'!$I$5:$I$1004,"&lt;&gt;Refunded",'Sales Log'!$I$5:$I$1004,"&lt;&gt;Cancelled",'Sales Log'!$B$5:$B$1004,$A48))</f>
        <v/>
      </c>
      <c r="G48" s="22" t="str">
        <f aca="false">IF(OR($A48="",N($D48)&lt;=0),"",$F48/$D48)</f>
        <v/>
      </c>
    </row>
    <row r="49" customFormat="false" ht="15" hidden="false" customHeight="false" outlineLevel="0" collapsed="false">
      <c r="A49" s="28" t="str">
        <f aca="false">IF(Products!$A$15="","",Products!$A$15)</f>
        <v/>
      </c>
      <c r="B49" s="20" t="str">
        <f aca="false">IF($A49="","",COUNTIFS('Sales Log'!$A$5:$A$1004,"&gt;="&amp;DATE($B$4,1,1),'Sales Log'!$A$5:$A$1004,"&lt;"&amp;DATE($B$4+1,1,1),'Sales Log'!$I$5:$I$1004,"&lt;&gt;Refunded",'Sales Log'!$I$5:$I$1004,"&lt;&gt;Cancelled",'Sales Log'!$B$5:$B$1004,$A49))</f>
        <v/>
      </c>
      <c r="C49" s="20" t="str">
        <f aca="false">IF($A49="","",SUMIFS('Sales Log'!$T$5:$T$1004,'Sales Log'!$A$5:$A$1004,"&gt;="&amp;DATE($B$4,1,1),'Sales Log'!$A$5:$A$1004,"&lt;"&amp;DATE($B$4+1,1,1),'Sales Log'!$I$5:$I$1004,"&lt;&gt;Refunded",'Sales Log'!$I$5:$I$1004,"&lt;&gt;Cancelled",'Sales Log'!$B$5:$B$1004,$A49))</f>
        <v/>
      </c>
      <c r="D49" s="21" t="str">
        <f aca="false">IF($A49="","",SUMIFS('Sales Log'!$J$5:$J$1004,'Sales Log'!$A$5:$A$1004,"&gt;="&amp;DATE($B$4,1,1),'Sales Log'!$A$5:$A$1004,"&lt;"&amp;DATE($B$4+1,1,1),'Sales Log'!$I$5:$I$1004,"&lt;&gt;Refunded",'Sales Log'!$I$5:$I$1004,"&lt;&gt;Cancelled",'Sales Log'!$B$5:$B$1004,$A49))</f>
        <v/>
      </c>
      <c r="E49" s="21" t="str">
        <f aca="false">IF($A49="","",SUMIFS('Sales Log'!$K$5:$K$1004,'Sales Log'!$A$5:$A$1004,"&gt;="&amp;DATE($B$4,1,1),'Sales Log'!$A$5:$A$1004,"&lt;"&amp;DATE($B$4+1,1,1),'Sales Log'!$I$5:$I$1004,"&lt;&gt;Refunded",'Sales Log'!$I$5:$I$1004,"&lt;&gt;Cancelled",'Sales Log'!$B$5:$B$1004,$A49))</f>
        <v/>
      </c>
      <c r="F49" s="21" t="str">
        <f aca="false">IF($A49="","",SUMIFS('Sales Log'!$M$5:$M$1004,'Sales Log'!$A$5:$A$1004,"&gt;="&amp;DATE($B$4,1,1),'Sales Log'!$A$5:$A$1004,"&lt;"&amp;DATE($B$4+1,1,1),'Sales Log'!$I$5:$I$1004,"&lt;&gt;Refunded",'Sales Log'!$I$5:$I$1004,"&lt;&gt;Cancelled",'Sales Log'!$B$5:$B$1004,$A49))</f>
        <v/>
      </c>
      <c r="G49" s="22" t="str">
        <f aca="false">IF(OR($A49="",N($D49)&lt;=0),"",$F49/$D49)</f>
        <v/>
      </c>
    </row>
    <row r="50" customFormat="false" ht="15" hidden="false" customHeight="false" outlineLevel="0" collapsed="false">
      <c r="A50" s="28" t="str">
        <f aca="false">IF(Products!$A$16="","",Products!$A$16)</f>
        <v/>
      </c>
      <c r="B50" s="20" t="str">
        <f aca="false">IF($A50="","",COUNTIFS('Sales Log'!$A$5:$A$1004,"&gt;="&amp;DATE($B$4,1,1),'Sales Log'!$A$5:$A$1004,"&lt;"&amp;DATE($B$4+1,1,1),'Sales Log'!$I$5:$I$1004,"&lt;&gt;Refunded",'Sales Log'!$I$5:$I$1004,"&lt;&gt;Cancelled",'Sales Log'!$B$5:$B$1004,$A50))</f>
        <v/>
      </c>
      <c r="C50" s="20" t="str">
        <f aca="false">IF($A50="","",SUMIFS('Sales Log'!$T$5:$T$1004,'Sales Log'!$A$5:$A$1004,"&gt;="&amp;DATE($B$4,1,1),'Sales Log'!$A$5:$A$1004,"&lt;"&amp;DATE($B$4+1,1,1),'Sales Log'!$I$5:$I$1004,"&lt;&gt;Refunded",'Sales Log'!$I$5:$I$1004,"&lt;&gt;Cancelled",'Sales Log'!$B$5:$B$1004,$A50))</f>
        <v/>
      </c>
      <c r="D50" s="21" t="str">
        <f aca="false">IF($A50="","",SUMIFS('Sales Log'!$J$5:$J$1004,'Sales Log'!$A$5:$A$1004,"&gt;="&amp;DATE($B$4,1,1),'Sales Log'!$A$5:$A$1004,"&lt;"&amp;DATE($B$4+1,1,1),'Sales Log'!$I$5:$I$1004,"&lt;&gt;Refunded",'Sales Log'!$I$5:$I$1004,"&lt;&gt;Cancelled",'Sales Log'!$B$5:$B$1004,$A50))</f>
        <v/>
      </c>
      <c r="E50" s="21" t="str">
        <f aca="false">IF($A50="","",SUMIFS('Sales Log'!$K$5:$K$1004,'Sales Log'!$A$5:$A$1004,"&gt;="&amp;DATE($B$4,1,1),'Sales Log'!$A$5:$A$1004,"&lt;"&amp;DATE($B$4+1,1,1),'Sales Log'!$I$5:$I$1004,"&lt;&gt;Refunded",'Sales Log'!$I$5:$I$1004,"&lt;&gt;Cancelled",'Sales Log'!$B$5:$B$1004,$A50))</f>
        <v/>
      </c>
      <c r="F50" s="21" t="str">
        <f aca="false">IF($A50="","",SUMIFS('Sales Log'!$M$5:$M$1004,'Sales Log'!$A$5:$A$1004,"&gt;="&amp;DATE($B$4,1,1),'Sales Log'!$A$5:$A$1004,"&lt;"&amp;DATE($B$4+1,1,1),'Sales Log'!$I$5:$I$1004,"&lt;&gt;Refunded",'Sales Log'!$I$5:$I$1004,"&lt;&gt;Cancelled",'Sales Log'!$B$5:$B$1004,$A50))</f>
        <v/>
      </c>
      <c r="G50" s="22" t="str">
        <f aca="false">IF(OR($A50="",N($D50)&lt;=0),"",$F50/$D50)</f>
        <v/>
      </c>
    </row>
    <row r="51" customFormat="false" ht="15" hidden="false" customHeight="false" outlineLevel="0" collapsed="false">
      <c r="A51" s="28" t="str">
        <f aca="false">IF(Products!$A$17="","",Products!$A$17)</f>
        <v/>
      </c>
      <c r="B51" s="20" t="str">
        <f aca="false">IF($A51="","",COUNTIFS('Sales Log'!$A$5:$A$1004,"&gt;="&amp;DATE($B$4,1,1),'Sales Log'!$A$5:$A$1004,"&lt;"&amp;DATE($B$4+1,1,1),'Sales Log'!$I$5:$I$1004,"&lt;&gt;Refunded",'Sales Log'!$I$5:$I$1004,"&lt;&gt;Cancelled",'Sales Log'!$B$5:$B$1004,$A51))</f>
        <v/>
      </c>
      <c r="C51" s="20" t="str">
        <f aca="false">IF($A51="","",SUMIFS('Sales Log'!$T$5:$T$1004,'Sales Log'!$A$5:$A$1004,"&gt;="&amp;DATE($B$4,1,1),'Sales Log'!$A$5:$A$1004,"&lt;"&amp;DATE($B$4+1,1,1),'Sales Log'!$I$5:$I$1004,"&lt;&gt;Refunded",'Sales Log'!$I$5:$I$1004,"&lt;&gt;Cancelled",'Sales Log'!$B$5:$B$1004,$A51))</f>
        <v/>
      </c>
      <c r="D51" s="21" t="str">
        <f aca="false">IF($A51="","",SUMIFS('Sales Log'!$J$5:$J$1004,'Sales Log'!$A$5:$A$1004,"&gt;="&amp;DATE($B$4,1,1),'Sales Log'!$A$5:$A$1004,"&lt;"&amp;DATE($B$4+1,1,1),'Sales Log'!$I$5:$I$1004,"&lt;&gt;Refunded",'Sales Log'!$I$5:$I$1004,"&lt;&gt;Cancelled",'Sales Log'!$B$5:$B$1004,$A51))</f>
        <v/>
      </c>
      <c r="E51" s="21" t="str">
        <f aca="false">IF($A51="","",SUMIFS('Sales Log'!$K$5:$K$1004,'Sales Log'!$A$5:$A$1004,"&gt;="&amp;DATE($B$4,1,1),'Sales Log'!$A$5:$A$1004,"&lt;"&amp;DATE($B$4+1,1,1),'Sales Log'!$I$5:$I$1004,"&lt;&gt;Refunded",'Sales Log'!$I$5:$I$1004,"&lt;&gt;Cancelled",'Sales Log'!$B$5:$B$1004,$A51))</f>
        <v/>
      </c>
      <c r="F51" s="21" t="str">
        <f aca="false">IF($A51="","",SUMIFS('Sales Log'!$M$5:$M$1004,'Sales Log'!$A$5:$A$1004,"&gt;="&amp;DATE($B$4,1,1),'Sales Log'!$A$5:$A$1004,"&lt;"&amp;DATE($B$4+1,1,1),'Sales Log'!$I$5:$I$1004,"&lt;&gt;Refunded",'Sales Log'!$I$5:$I$1004,"&lt;&gt;Cancelled",'Sales Log'!$B$5:$B$1004,$A51))</f>
        <v/>
      </c>
      <c r="G51" s="22" t="str">
        <f aca="false">IF(OR($A51="",N($D51)&lt;=0),"",$F51/$D51)</f>
        <v/>
      </c>
    </row>
    <row r="52" customFormat="false" ht="15" hidden="false" customHeight="false" outlineLevel="0" collapsed="false">
      <c r="A52" s="28" t="str">
        <f aca="false">IF(Products!$A$18="","",Products!$A$18)</f>
        <v/>
      </c>
      <c r="B52" s="20" t="str">
        <f aca="false">IF($A52="","",COUNTIFS('Sales Log'!$A$5:$A$1004,"&gt;="&amp;DATE($B$4,1,1),'Sales Log'!$A$5:$A$1004,"&lt;"&amp;DATE($B$4+1,1,1),'Sales Log'!$I$5:$I$1004,"&lt;&gt;Refunded",'Sales Log'!$I$5:$I$1004,"&lt;&gt;Cancelled",'Sales Log'!$B$5:$B$1004,$A52))</f>
        <v/>
      </c>
      <c r="C52" s="20" t="str">
        <f aca="false">IF($A52="","",SUMIFS('Sales Log'!$T$5:$T$1004,'Sales Log'!$A$5:$A$1004,"&gt;="&amp;DATE($B$4,1,1),'Sales Log'!$A$5:$A$1004,"&lt;"&amp;DATE($B$4+1,1,1),'Sales Log'!$I$5:$I$1004,"&lt;&gt;Refunded",'Sales Log'!$I$5:$I$1004,"&lt;&gt;Cancelled",'Sales Log'!$B$5:$B$1004,$A52))</f>
        <v/>
      </c>
      <c r="D52" s="21" t="str">
        <f aca="false">IF($A52="","",SUMIFS('Sales Log'!$J$5:$J$1004,'Sales Log'!$A$5:$A$1004,"&gt;="&amp;DATE($B$4,1,1),'Sales Log'!$A$5:$A$1004,"&lt;"&amp;DATE($B$4+1,1,1),'Sales Log'!$I$5:$I$1004,"&lt;&gt;Refunded",'Sales Log'!$I$5:$I$1004,"&lt;&gt;Cancelled",'Sales Log'!$B$5:$B$1004,$A52))</f>
        <v/>
      </c>
      <c r="E52" s="21" t="str">
        <f aca="false">IF($A52="","",SUMIFS('Sales Log'!$K$5:$K$1004,'Sales Log'!$A$5:$A$1004,"&gt;="&amp;DATE($B$4,1,1),'Sales Log'!$A$5:$A$1004,"&lt;"&amp;DATE($B$4+1,1,1),'Sales Log'!$I$5:$I$1004,"&lt;&gt;Refunded",'Sales Log'!$I$5:$I$1004,"&lt;&gt;Cancelled",'Sales Log'!$B$5:$B$1004,$A52))</f>
        <v/>
      </c>
      <c r="F52" s="21" t="str">
        <f aca="false">IF($A52="","",SUMIFS('Sales Log'!$M$5:$M$1004,'Sales Log'!$A$5:$A$1004,"&gt;="&amp;DATE($B$4,1,1),'Sales Log'!$A$5:$A$1004,"&lt;"&amp;DATE($B$4+1,1,1),'Sales Log'!$I$5:$I$1004,"&lt;&gt;Refunded",'Sales Log'!$I$5:$I$1004,"&lt;&gt;Cancelled",'Sales Log'!$B$5:$B$1004,$A52))</f>
        <v/>
      </c>
      <c r="G52" s="22" t="str">
        <f aca="false">IF(OR($A52="",N($D52)&lt;=0),"",$F52/$D52)</f>
        <v/>
      </c>
    </row>
    <row r="53" customFormat="false" ht="15" hidden="false" customHeight="false" outlineLevel="0" collapsed="false">
      <c r="A53" s="28" t="str">
        <f aca="false">IF(Products!$A$19="","",Products!$A$19)</f>
        <v/>
      </c>
      <c r="B53" s="20" t="str">
        <f aca="false">IF($A53="","",COUNTIFS('Sales Log'!$A$5:$A$1004,"&gt;="&amp;DATE($B$4,1,1),'Sales Log'!$A$5:$A$1004,"&lt;"&amp;DATE($B$4+1,1,1),'Sales Log'!$I$5:$I$1004,"&lt;&gt;Refunded",'Sales Log'!$I$5:$I$1004,"&lt;&gt;Cancelled",'Sales Log'!$B$5:$B$1004,$A53))</f>
        <v/>
      </c>
      <c r="C53" s="20" t="str">
        <f aca="false">IF($A53="","",SUMIFS('Sales Log'!$T$5:$T$1004,'Sales Log'!$A$5:$A$1004,"&gt;="&amp;DATE($B$4,1,1),'Sales Log'!$A$5:$A$1004,"&lt;"&amp;DATE($B$4+1,1,1),'Sales Log'!$I$5:$I$1004,"&lt;&gt;Refunded",'Sales Log'!$I$5:$I$1004,"&lt;&gt;Cancelled",'Sales Log'!$B$5:$B$1004,$A53))</f>
        <v/>
      </c>
      <c r="D53" s="21" t="str">
        <f aca="false">IF($A53="","",SUMIFS('Sales Log'!$J$5:$J$1004,'Sales Log'!$A$5:$A$1004,"&gt;="&amp;DATE($B$4,1,1),'Sales Log'!$A$5:$A$1004,"&lt;"&amp;DATE($B$4+1,1,1),'Sales Log'!$I$5:$I$1004,"&lt;&gt;Refunded",'Sales Log'!$I$5:$I$1004,"&lt;&gt;Cancelled",'Sales Log'!$B$5:$B$1004,$A53))</f>
        <v/>
      </c>
      <c r="E53" s="21" t="str">
        <f aca="false">IF($A53="","",SUMIFS('Sales Log'!$K$5:$K$1004,'Sales Log'!$A$5:$A$1004,"&gt;="&amp;DATE($B$4,1,1),'Sales Log'!$A$5:$A$1004,"&lt;"&amp;DATE($B$4+1,1,1),'Sales Log'!$I$5:$I$1004,"&lt;&gt;Refunded",'Sales Log'!$I$5:$I$1004,"&lt;&gt;Cancelled",'Sales Log'!$B$5:$B$1004,$A53))</f>
        <v/>
      </c>
      <c r="F53" s="21" t="str">
        <f aca="false">IF($A53="","",SUMIFS('Sales Log'!$M$5:$M$1004,'Sales Log'!$A$5:$A$1004,"&gt;="&amp;DATE($B$4,1,1),'Sales Log'!$A$5:$A$1004,"&lt;"&amp;DATE($B$4+1,1,1),'Sales Log'!$I$5:$I$1004,"&lt;&gt;Refunded",'Sales Log'!$I$5:$I$1004,"&lt;&gt;Cancelled",'Sales Log'!$B$5:$B$1004,$A53))</f>
        <v/>
      </c>
      <c r="G53" s="22" t="str">
        <f aca="false">IF(OR($A53="",N($D53)&lt;=0),"",$F53/$D53)</f>
        <v/>
      </c>
    </row>
    <row r="54" customFormat="false" ht="15" hidden="false" customHeight="false" outlineLevel="0" collapsed="false">
      <c r="A54" s="28" t="str">
        <f aca="false">IF(Products!$A$20="","",Products!$A$20)</f>
        <v/>
      </c>
      <c r="B54" s="20" t="str">
        <f aca="false">IF($A54="","",COUNTIFS('Sales Log'!$A$5:$A$1004,"&gt;="&amp;DATE($B$4,1,1),'Sales Log'!$A$5:$A$1004,"&lt;"&amp;DATE($B$4+1,1,1),'Sales Log'!$I$5:$I$1004,"&lt;&gt;Refunded",'Sales Log'!$I$5:$I$1004,"&lt;&gt;Cancelled",'Sales Log'!$B$5:$B$1004,$A54))</f>
        <v/>
      </c>
      <c r="C54" s="20" t="str">
        <f aca="false">IF($A54="","",SUMIFS('Sales Log'!$T$5:$T$1004,'Sales Log'!$A$5:$A$1004,"&gt;="&amp;DATE($B$4,1,1),'Sales Log'!$A$5:$A$1004,"&lt;"&amp;DATE($B$4+1,1,1),'Sales Log'!$I$5:$I$1004,"&lt;&gt;Refunded",'Sales Log'!$I$5:$I$1004,"&lt;&gt;Cancelled",'Sales Log'!$B$5:$B$1004,$A54))</f>
        <v/>
      </c>
      <c r="D54" s="21" t="str">
        <f aca="false">IF($A54="","",SUMIFS('Sales Log'!$J$5:$J$1004,'Sales Log'!$A$5:$A$1004,"&gt;="&amp;DATE($B$4,1,1),'Sales Log'!$A$5:$A$1004,"&lt;"&amp;DATE($B$4+1,1,1),'Sales Log'!$I$5:$I$1004,"&lt;&gt;Refunded",'Sales Log'!$I$5:$I$1004,"&lt;&gt;Cancelled",'Sales Log'!$B$5:$B$1004,$A54))</f>
        <v/>
      </c>
      <c r="E54" s="21" t="str">
        <f aca="false">IF($A54="","",SUMIFS('Sales Log'!$K$5:$K$1004,'Sales Log'!$A$5:$A$1004,"&gt;="&amp;DATE($B$4,1,1),'Sales Log'!$A$5:$A$1004,"&lt;"&amp;DATE($B$4+1,1,1),'Sales Log'!$I$5:$I$1004,"&lt;&gt;Refunded",'Sales Log'!$I$5:$I$1004,"&lt;&gt;Cancelled",'Sales Log'!$B$5:$B$1004,$A54))</f>
        <v/>
      </c>
      <c r="F54" s="21" t="str">
        <f aca="false">IF($A54="","",SUMIFS('Sales Log'!$M$5:$M$1004,'Sales Log'!$A$5:$A$1004,"&gt;="&amp;DATE($B$4,1,1),'Sales Log'!$A$5:$A$1004,"&lt;"&amp;DATE($B$4+1,1,1),'Sales Log'!$I$5:$I$1004,"&lt;&gt;Refunded",'Sales Log'!$I$5:$I$1004,"&lt;&gt;Cancelled",'Sales Log'!$B$5:$B$1004,$A54))</f>
        <v/>
      </c>
      <c r="G54" s="22" t="str">
        <f aca="false">IF(OR($A54="",N($D54)&lt;=0),"",$F54/$D54)</f>
        <v/>
      </c>
    </row>
    <row r="55" customFormat="false" ht="15" hidden="false" customHeight="false" outlineLevel="0" collapsed="false">
      <c r="A55" s="28" t="str">
        <f aca="false">IF(Products!$A$21="","",Products!$A$21)</f>
        <v/>
      </c>
      <c r="B55" s="20" t="str">
        <f aca="false">IF($A55="","",COUNTIFS('Sales Log'!$A$5:$A$1004,"&gt;="&amp;DATE($B$4,1,1),'Sales Log'!$A$5:$A$1004,"&lt;"&amp;DATE($B$4+1,1,1),'Sales Log'!$I$5:$I$1004,"&lt;&gt;Refunded",'Sales Log'!$I$5:$I$1004,"&lt;&gt;Cancelled",'Sales Log'!$B$5:$B$1004,$A55))</f>
        <v/>
      </c>
      <c r="C55" s="20" t="str">
        <f aca="false">IF($A55="","",SUMIFS('Sales Log'!$T$5:$T$1004,'Sales Log'!$A$5:$A$1004,"&gt;="&amp;DATE($B$4,1,1),'Sales Log'!$A$5:$A$1004,"&lt;"&amp;DATE($B$4+1,1,1),'Sales Log'!$I$5:$I$1004,"&lt;&gt;Refunded",'Sales Log'!$I$5:$I$1004,"&lt;&gt;Cancelled",'Sales Log'!$B$5:$B$1004,$A55))</f>
        <v/>
      </c>
      <c r="D55" s="21" t="str">
        <f aca="false">IF($A55="","",SUMIFS('Sales Log'!$J$5:$J$1004,'Sales Log'!$A$5:$A$1004,"&gt;="&amp;DATE($B$4,1,1),'Sales Log'!$A$5:$A$1004,"&lt;"&amp;DATE($B$4+1,1,1),'Sales Log'!$I$5:$I$1004,"&lt;&gt;Refunded",'Sales Log'!$I$5:$I$1004,"&lt;&gt;Cancelled",'Sales Log'!$B$5:$B$1004,$A55))</f>
        <v/>
      </c>
      <c r="E55" s="21" t="str">
        <f aca="false">IF($A55="","",SUMIFS('Sales Log'!$K$5:$K$1004,'Sales Log'!$A$5:$A$1004,"&gt;="&amp;DATE($B$4,1,1),'Sales Log'!$A$5:$A$1004,"&lt;"&amp;DATE($B$4+1,1,1),'Sales Log'!$I$5:$I$1004,"&lt;&gt;Refunded",'Sales Log'!$I$5:$I$1004,"&lt;&gt;Cancelled",'Sales Log'!$B$5:$B$1004,$A55))</f>
        <v/>
      </c>
      <c r="F55" s="21" t="str">
        <f aca="false">IF($A55="","",SUMIFS('Sales Log'!$M$5:$M$1004,'Sales Log'!$A$5:$A$1004,"&gt;="&amp;DATE($B$4,1,1),'Sales Log'!$A$5:$A$1004,"&lt;"&amp;DATE($B$4+1,1,1),'Sales Log'!$I$5:$I$1004,"&lt;&gt;Refunded",'Sales Log'!$I$5:$I$1004,"&lt;&gt;Cancelled",'Sales Log'!$B$5:$B$1004,$A55))</f>
        <v/>
      </c>
      <c r="G55" s="22" t="str">
        <f aca="false">IF(OR($A55="",N($D55)&lt;=0),"",$F55/$D55)</f>
        <v/>
      </c>
    </row>
    <row r="56" customFormat="false" ht="15" hidden="false" customHeight="false" outlineLevel="0" collapsed="false">
      <c r="A56" s="28" t="str">
        <f aca="false">IF(Products!$A$22="","",Products!$A$22)</f>
        <v/>
      </c>
      <c r="B56" s="20" t="str">
        <f aca="false">IF($A56="","",COUNTIFS('Sales Log'!$A$5:$A$1004,"&gt;="&amp;DATE($B$4,1,1),'Sales Log'!$A$5:$A$1004,"&lt;"&amp;DATE($B$4+1,1,1),'Sales Log'!$I$5:$I$1004,"&lt;&gt;Refunded",'Sales Log'!$I$5:$I$1004,"&lt;&gt;Cancelled",'Sales Log'!$B$5:$B$1004,$A56))</f>
        <v/>
      </c>
      <c r="C56" s="20" t="str">
        <f aca="false">IF($A56="","",SUMIFS('Sales Log'!$T$5:$T$1004,'Sales Log'!$A$5:$A$1004,"&gt;="&amp;DATE($B$4,1,1),'Sales Log'!$A$5:$A$1004,"&lt;"&amp;DATE($B$4+1,1,1),'Sales Log'!$I$5:$I$1004,"&lt;&gt;Refunded",'Sales Log'!$I$5:$I$1004,"&lt;&gt;Cancelled",'Sales Log'!$B$5:$B$1004,$A56))</f>
        <v/>
      </c>
      <c r="D56" s="21" t="str">
        <f aca="false">IF($A56="","",SUMIFS('Sales Log'!$J$5:$J$1004,'Sales Log'!$A$5:$A$1004,"&gt;="&amp;DATE($B$4,1,1),'Sales Log'!$A$5:$A$1004,"&lt;"&amp;DATE($B$4+1,1,1),'Sales Log'!$I$5:$I$1004,"&lt;&gt;Refunded",'Sales Log'!$I$5:$I$1004,"&lt;&gt;Cancelled",'Sales Log'!$B$5:$B$1004,$A56))</f>
        <v/>
      </c>
      <c r="E56" s="21" t="str">
        <f aca="false">IF($A56="","",SUMIFS('Sales Log'!$K$5:$K$1004,'Sales Log'!$A$5:$A$1004,"&gt;="&amp;DATE($B$4,1,1),'Sales Log'!$A$5:$A$1004,"&lt;"&amp;DATE($B$4+1,1,1),'Sales Log'!$I$5:$I$1004,"&lt;&gt;Refunded",'Sales Log'!$I$5:$I$1004,"&lt;&gt;Cancelled",'Sales Log'!$B$5:$B$1004,$A56))</f>
        <v/>
      </c>
      <c r="F56" s="21" t="str">
        <f aca="false">IF($A56="","",SUMIFS('Sales Log'!$M$5:$M$1004,'Sales Log'!$A$5:$A$1004,"&gt;="&amp;DATE($B$4,1,1),'Sales Log'!$A$5:$A$1004,"&lt;"&amp;DATE($B$4+1,1,1),'Sales Log'!$I$5:$I$1004,"&lt;&gt;Refunded",'Sales Log'!$I$5:$I$1004,"&lt;&gt;Cancelled",'Sales Log'!$B$5:$B$1004,$A56))</f>
        <v/>
      </c>
      <c r="G56" s="22" t="str">
        <f aca="false">IF(OR($A56="",N($D56)&lt;=0),"",$F56/$D56)</f>
        <v/>
      </c>
    </row>
    <row r="57" customFormat="false" ht="15" hidden="false" customHeight="false" outlineLevel="0" collapsed="false">
      <c r="A57" s="28" t="str">
        <f aca="false">IF(Products!$A$23="","",Products!$A$23)</f>
        <v/>
      </c>
      <c r="B57" s="20" t="str">
        <f aca="false">IF($A57="","",COUNTIFS('Sales Log'!$A$5:$A$1004,"&gt;="&amp;DATE($B$4,1,1),'Sales Log'!$A$5:$A$1004,"&lt;"&amp;DATE($B$4+1,1,1),'Sales Log'!$I$5:$I$1004,"&lt;&gt;Refunded",'Sales Log'!$I$5:$I$1004,"&lt;&gt;Cancelled",'Sales Log'!$B$5:$B$1004,$A57))</f>
        <v/>
      </c>
      <c r="C57" s="20" t="str">
        <f aca="false">IF($A57="","",SUMIFS('Sales Log'!$T$5:$T$1004,'Sales Log'!$A$5:$A$1004,"&gt;="&amp;DATE($B$4,1,1),'Sales Log'!$A$5:$A$1004,"&lt;"&amp;DATE($B$4+1,1,1),'Sales Log'!$I$5:$I$1004,"&lt;&gt;Refunded",'Sales Log'!$I$5:$I$1004,"&lt;&gt;Cancelled",'Sales Log'!$B$5:$B$1004,$A57))</f>
        <v/>
      </c>
      <c r="D57" s="21" t="str">
        <f aca="false">IF($A57="","",SUMIFS('Sales Log'!$J$5:$J$1004,'Sales Log'!$A$5:$A$1004,"&gt;="&amp;DATE($B$4,1,1),'Sales Log'!$A$5:$A$1004,"&lt;"&amp;DATE($B$4+1,1,1),'Sales Log'!$I$5:$I$1004,"&lt;&gt;Refunded",'Sales Log'!$I$5:$I$1004,"&lt;&gt;Cancelled",'Sales Log'!$B$5:$B$1004,$A57))</f>
        <v/>
      </c>
      <c r="E57" s="21" t="str">
        <f aca="false">IF($A57="","",SUMIFS('Sales Log'!$K$5:$K$1004,'Sales Log'!$A$5:$A$1004,"&gt;="&amp;DATE($B$4,1,1),'Sales Log'!$A$5:$A$1004,"&lt;"&amp;DATE($B$4+1,1,1),'Sales Log'!$I$5:$I$1004,"&lt;&gt;Refunded",'Sales Log'!$I$5:$I$1004,"&lt;&gt;Cancelled",'Sales Log'!$B$5:$B$1004,$A57))</f>
        <v/>
      </c>
      <c r="F57" s="21" t="str">
        <f aca="false">IF($A57="","",SUMIFS('Sales Log'!$M$5:$M$1004,'Sales Log'!$A$5:$A$1004,"&gt;="&amp;DATE($B$4,1,1),'Sales Log'!$A$5:$A$1004,"&lt;"&amp;DATE($B$4+1,1,1),'Sales Log'!$I$5:$I$1004,"&lt;&gt;Refunded",'Sales Log'!$I$5:$I$1004,"&lt;&gt;Cancelled",'Sales Log'!$B$5:$B$1004,$A57))</f>
        <v/>
      </c>
      <c r="G57" s="22" t="str">
        <f aca="false">IF(OR($A57="",N($D57)&lt;=0),"",$F57/$D57)</f>
        <v/>
      </c>
    </row>
    <row r="58" customFormat="false" ht="15" hidden="false" customHeight="false" outlineLevel="0" collapsed="false">
      <c r="A58" s="28" t="str">
        <f aca="false">IF(Products!$A$24="","",Products!$A$24)</f>
        <v/>
      </c>
      <c r="B58" s="20" t="str">
        <f aca="false">IF($A58="","",COUNTIFS('Sales Log'!$A$5:$A$1004,"&gt;="&amp;DATE($B$4,1,1),'Sales Log'!$A$5:$A$1004,"&lt;"&amp;DATE($B$4+1,1,1),'Sales Log'!$I$5:$I$1004,"&lt;&gt;Refunded",'Sales Log'!$I$5:$I$1004,"&lt;&gt;Cancelled",'Sales Log'!$B$5:$B$1004,$A58))</f>
        <v/>
      </c>
      <c r="C58" s="20" t="str">
        <f aca="false">IF($A58="","",SUMIFS('Sales Log'!$T$5:$T$1004,'Sales Log'!$A$5:$A$1004,"&gt;="&amp;DATE($B$4,1,1),'Sales Log'!$A$5:$A$1004,"&lt;"&amp;DATE($B$4+1,1,1),'Sales Log'!$I$5:$I$1004,"&lt;&gt;Refunded",'Sales Log'!$I$5:$I$1004,"&lt;&gt;Cancelled",'Sales Log'!$B$5:$B$1004,$A58))</f>
        <v/>
      </c>
      <c r="D58" s="21" t="str">
        <f aca="false">IF($A58="","",SUMIFS('Sales Log'!$J$5:$J$1004,'Sales Log'!$A$5:$A$1004,"&gt;="&amp;DATE($B$4,1,1),'Sales Log'!$A$5:$A$1004,"&lt;"&amp;DATE($B$4+1,1,1),'Sales Log'!$I$5:$I$1004,"&lt;&gt;Refunded",'Sales Log'!$I$5:$I$1004,"&lt;&gt;Cancelled",'Sales Log'!$B$5:$B$1004,$A58))</f>
        <v/>
      </c>
      <c r="E58" s="21" t="str">
        <f aca="false">IF($A58="","",SUMIFS('Sales Log'!$K$5:$K$1004,'Sales Log'!$A$5:$A$1004,"&gt;="&amp;DATE($B$4,1,1),'Sales Log'!$A$5:$A$1004,"&lt;"&amp;DATE($B$4+1,1,1),'Sales Log'!$I$5:$I$1004,"&lt;&gt;Refunded",'Sales Log'!$I$5:$I$1004,"&lt;&gt;Cancelled",'Sales Log'!$B$5:$B$1004,$A58))</f>
        <v/>
      </c>
      <c r="F58" s="21" t="str">
        <f aca="false">IF($A58="","",SUMIFS('Sales Log'!$M$5:$M$1004,'Sales Log'!$A$5:$A$1004,"&gt;="&amp;DATE($B$4,1,1),'Sales Log'!$A$5:$A$1004,"&lt;"&amp;DATE($B$4+1,1,1),'Sales Log'!$I$5:$I$1004,"&lt;&gt;Refunded",'Sales Log'!$I$5:$I$1004,"&lt;&gt;Cancelled",'Sales Log'!$B$5:$B$1004,$A58))</f>
        <v/>
      </c>
      <c r="G58" s="22" t="str">
        <f aca="false">IF(OR($A58="",N($D58)&lt;=0),"",$F58/$D58)</f>
        <v/>
      </c>
    </row>
    <row r="59" customFormat="false" ht="15" hidden="false" customHeight="false" outlineLevel="0" collapsed="false">
      <c r="A59" s="28" t="str">
        <f aca="false">IF(Products!$A$25="","",Products!$A$25)</f>
        <v/>
      </c>
      <c r="B59" s="20" t="str">
        <f aca="false">IF($A59="","",COUNTIFS('Sales Log'!$A$5:$A$1004,"&gt;="&amp;DATE($B$4,1,1),'Sales Log'!$A$5:$A$1004,"&lt;"&amp;DATE($B$4+1,1,1),'Sales Log'!$I$5:$I$1004,"&lt;&gt;Refunded",'Sales Log'!$I$5:$I$1004,"&lt;&gt;Cancelled",'Sales Log'!$B$5:$B$1004,$A59))</f>
        <v/>
      </c>
      <c r="C59" s="20" t="str">
        <f aca="false">IF($A59="","",SUMIFS('Sales Log'!$T$5:$T$1004,'Sales Log'!$A$5:$A$1004,"&gt;="&amp;DATE($B$4,1,1),'Sales Log'!$A$5:$A$1004,"&lt;"&amp;DATE($B$4+1,1,1),'Sales Log'!$I$5:$I$1004,"&lt;&gt;Refunded",'Sales Log'!$I$5:$I$1004,"&lt;&gt;Cancelled",'Sales Log'!$B$5:$B$1004,$A59))</f>
        <v/>
      </c>
      <c r="D59" s="21" t="str">
        <f aca="false">IF($A59="","",SUMIFS('Sales Log'!$J$5:$J$1004,'Sales Log'!$A$5:$A$1004,"&gt;="&amp;DATE($B$4,1,1),'Sales Log'!$A$5:$A$1004,"&lt;"&amp;DATE($B$4+1,1,1),'Sales Log'!$I$5:$I$1004,"&lt;&gt;Refunded",'Sales Log'!$I$5:$I$1004,"&lt;&gt;Cancelled",'Sales Log'!$B$5:$B$1004,$A59))</f>
        <v/>
      </c>
      <c r="E59" s="21" t="str">
        <f aca="false">IF($A59="","",SUMIFS('Sales Log'!$K$5:$K$1004,'Sales Log'!$A$5:$A$1004,"&gt;="&amp;DATE($B$4,1,1),'Sales Log'!$A$5:$A$1004,"&lt;"&amp;DATE($B$4+1,1,1),'Sales Log'!$I$5:$I$1004,"&lt;&gt;Refunded",'Sales Log'!$I$5:$I$1004,"&lt;&gt;Cancelled",'Sales Log'!$B$5:$B$1004,$A59))</f>
        <v/>
      </c>
      <c r="F59" s="21" t="str">
        <f aca="false">IF($A59="","",SUMIFS('Sales Log'!$M$5:$M$1004,'Sales Log'!$A$5:$A$1004,"&gt;="&amp;DATE($B$4,1,1),'Sales Log'!$A$5:$A$1004,"&lt;"&amp;DATE($B$4+1,1,1),'Sales Log'!$I$5:$I$1004,"&lt;&gt;Refunded",'Sales Log'!$I$5:$I$1004,"&lt;&gt;Cancelled",'Sales Log'!$B$5:$B$1004,$A59))</f>
        <v/>
      </c>
      <c r="G59" s="22" t="str">
        <f aca="false">IF(OR($A59="",N($D59)&lt;=0),"",$F59/$D59)</f>
        <v/>
      </c>
    </row>
    <row r="60" customFormat="false" ht="15" hidden="false" customHeight="false" outlineLevel="0" collapsed="false">
      <c r="A60" s="28" t="str">
        <f aca="false">IF(Products!$A$26="","",Products!$A$26)</f>
        <v/>
      </c>
      <c r="B60" s="20" t="str">
        <f aca="false">IF($A60="","",COUNTIFS('Sales Log'!$A$5:$A$1004,"&gt;="&amp;DATE($B$4,1,1),'Sales Log'!$A$5:$A$1004,"&lt;"&amp;DATE($B$4+1,1,1),'Sales Log'!$I$5:$I$1004,"&lt;&gt;Refunded",'Sales Log'!$I$5:$I$1004,"&lt;&gt;Cancelled",'Sales Log'!$B$5:$B$1004,$A60))</f>
        <v/>
      </c>
      <c r="C60" s="20" t="str">
        <f aca="false">IF($A60="","",SUMIFS('Sales Log'!$T$5:$T$1004,'Sales Log'!$A$5:$A$1004,"&gt;="&amp;DATE($B$4,1,1),'Sales Log'!$A$5:$A$1004,"&lt;"&amp;DATE($B$4+1,1,1),'Sales Log'!$I$5:$I$1004,"&lt;&gt;Refunded",'Sales Log'!$I$5:$I$1004,"&lt;&gt;Cancelled",'Sales Log'!$B$5:$B$1004,$A60))</f>
        <v/>
      </c>
      <c r="D60" s="21" t="str">
        <f aca="false">IF($A60="","",SUMIFS('Sales Log'!$J$5:$J$1004,'Sales Log'!$A$5:$A$1004,"&gt;="&amp;DATE($B$4,1,1),'Sales Log'!$A$5:$A$1004,"&lt;"&amp;DATE($B$4+1,1,1),'Sales Log'!$I$5:$I$1004,"&lt;&gt;Refunded",'Sales Log'!$I$5:$I$1004,"&lt;&gt;Cancelled",'Sales Log'!$B$5:$B$1004,$A60))</f>
        <v/>
      </c>
      <c r="E60" s="21" t="str">
        <f aca="false">IF($A60="","",SUMIFS('Sales Log'!$K$5:$K$1004,'Sales Log'!$A$5:$A$1004,"&gt;="&amp;DATE($B$4,1,1),'Sales Log'!$A$5:$A$1004,"&lt;"&amp;DATE($B$4+1,1,1),'Sales Log'!$I$5:$I$1004,"&lt;&gt;Refunded",'Sales Log'!$I$5:$I$1004,"&lt;&gt;Cancelled",'Sales Log'!$B$5:$B$1004,$A60))</f>
        <v/>
      </c>
      <c r="F60" s="21" t="str">
        <f aca="false">IF($A60="","",SUMIFS('Sales Log'!$M$5:$M$1004,'Sales Log'!$A$5:$A$1004,"&gt;="&amp;DATE($B$4,1,1),'Sales Log'!$A$5:$A$1004,"&lt;"&amp;DATE($B$4+1,1,1),'Sales Log'!$I$5:$I$1004,"&lt;&gt;Refunded",'Sales Log'!$I$5:$I$1004,"&lt;&gt;Cancelled",'Sales Log'!$B$5:$B$1004,$A60))</f>
        <v/>
      </c>
      <c r="G60" s="22" t="str">
        <f aca="false">IF(OR($A60="",N($D60)&lt;=0),"",$F60/$D60)</f>
        <v/>
      </c>
    </row>
    <row r="61" customFormat="false" ht="15" hidden="false" customHeight="false" outlineLevel="0" collapsed="false">
      <c r="A61" s="28" t="str">
        <f aca="false">IF(Products!$A$27="","",Products!$A$27)</f>
        <v/>
      </c>
      <c r="B61" s="20" t="str">
        <f aca="false">IF($A61="","",COUNTIFS('Sales Log'!$A$5:$A$1004,"&gt;="&amp;DATE($B$4,1,1),'Sales Log'!$A$5:$A$1004,"&lt;"&amp;DATE($B$4+1,1,1),'Sales Log'!$I$5:$I$1004,"&lt;&gt;Refunded",'Sales Log'!$I$5:$I$1004,"&lt;&gt;Cancelled",'Sales Log'!$B$5:$B$1004,$A61))</f>
        <v/>
      </c>
      <c r="C61" s="20" t="str">
        <f aca="false">IF($A61="","",SUMIFS('Sales Log'!$T$5:$T$1004,'Sales Log'!$A$5:$A$1004,"&gt;="&amp;DATE($B$4,1,1),'Sales Log'!$A$5:$A$1004,"&lt;"&amp;DATE($B$4+1,1,1),'Sales Log'!$I$5:$I$1004,"&lt;&gt;Refunded",'Sales Log'!$I$5:$I$1004,"&lt;&gt;Cancelled",'Sales Log'!$B$5:$B$1004,$A61))</f>
        <v/>
      </c>
      <c r="D61" s="21" t="str">
        <f aca="false">IF($A61="","",SUMIFS('Sales Log'!$J$5:$J$1004,'Sales Log'!$A$5:$A$1004,"&gt;="&amp;DATE($B$4,1,1),'Sales Log'!$A$5:$A$1004,"&lt;"&amp;DATE($B$4+1,1,1),'Sales Log'!$I$5:$I$1004,"&lt;&gt;Refunded",'Sales Log'!$I$5:$I$1004,"&lt;&gt;Cancelled",'Sales Log'!$B$5:$B$1004,$A61))</f>
        <v/>
      </c>
      <c r="E61" s="21" t="str">
        <f aca="false">IF($A61="","",SUMIFS('Sales Log'!$K$5:$K$1004,'Sales Log'!$A$5:$A$1004,"&gt;="&amp;DATE($B$4,1,1),'Sales Log'!$A$5:$A$1004,"&lt;"&amp;DATE($B$4+1,1,1),'Sales Log'!$I$5:$I$1004,"&lt;&gt;Refunded",'Sales Log'!$I$5:$I$1004,"&lt;&gt;Cancelled",'Sales Log'!$B$5:$B$1004,$A61))</f>
        <v/>
      </c>
      <c r="F61" s="21" t="str">
        <f aca="false">IF($A61="","",SUMIFS('Sales Log'!$M$5:$M$1004,'Sales Log'!$A$5:$A$1004,"&gt;="&amp;DATE($B$4,1,1),'Sales Log'!$A$5:$A$1004,"&lt;"&amp;DATE($B$4+1,1,1),'Sales Log'!$I$5:$I$1004,"&lt;&gt;Refunded",'Sales Log'!$I$5:$I$1004,"&lt;&gt;Cancelled",'Sales Log'!$B$5:$B$1004,$A61))</f>
        <v/>
      </c>
      <c r="G61" s="22" t="str">
        <f aca="false">IF(OR($A61="",N($D61)&lt;=0),"",$F61/$D61)</f>
        <v/>
      </c>
    </row>
    <row r="62" customFormat="false" ht="15" hidden="false" customHeight="false" outlineLevel="0" collapsed="false">
      <c r="A62" s="28" t="str">
        <f aca="false">IF(Products!$A$28="","",Products!$A$28)</f>
        <v/>
      </c>
      <c r="B62" s="20" t="str">
        <f aca="false">IF($A62="","",COUNTIFS('Sales Log'!$A$5:$A$1004,"&gt;="&amp;DATE($B$4,1,1),'Sales Log'!$A$5:$A$1004,"&lt;"&amp;DATE($B$4+1,1,1),'Sales Log'!$I$5:$I$1004,"&lt;&gt;Refunded",'Sales Log'!$I$5:$I$1004,"&lt;&gt;Cancelled",'Sales Log'!$B$5:$B$1004,$A62))</f>
        <v/>
      </c>
      <c r="C62" s="20" t="str">
        <f aca="false">IF($A62="","",SUMIFS('Sales Log'!$T$5:$T$1004,'Sales Log'!$A$5:$A$1004,"&gt;="&amp;DATE($B$4,1,1),'Sales Log'!$A$5:$A$1004,"&lt;"&amp;DATE($B$4+1,1,1),'Sales Log'!$I$5:$I$1004,"&lt;&gt;Refunded",'Sales Log'!$I$5:$I$1004,"&lt;&gt;Cancelled",'Sales Log'!$B$5:$B$1004,$A62))</f>
        <v/>
      </c>
      <c r="D62" s="21" t="str">
        <f aca="false">IF($A62="","",SUMIFS('Sales Log'!$J$5:$J$1004,'Sales Log'!$A$5:$A$1004,"&gt;="&amp;DATE($B$4,1,1),'Sales Log'!$A$5:$A$1004,"&lt;"&amp;DATE($B$4+1,1,1),'Sales Log'!$I$5:$I$1004,"&lt;&gt;Refunded",'Sales Log'!$I$5:$I$1004,"&lt;&gt;Cancelled",'Sales Log'!$B$5:$B$1004,$A62))</f>
        <v/>
      </c>
      <c r="E62" s="21" t="str">
        <f aca="false">IF($A62="","",SUMIFS('Sales Log'!$K$5:$K$1004,'Sales Log'!$A$5:$A$1004,"&gt;="&amp;DATE($B$4,1,1),'Sales Log'!$A$5:$A$1004,"&lt;"&amp;DATE($B$4+1,1,1),'Sales Log'!$I$5:$I$1004,"&lt;&gt;Refunded",'Sales Log'!$I$5:$I$1004,"&lt;&gt;Cancelled",'Sales Log'!$B$5:$B$1004,$A62))</f>
        <v/>
      </c>
      <c r="F62" s="21" t="str">
        <f aca="false">IF($A62="","",SUMIFS('Sales Log'!$M$5:$M$1004,'Sales Log'!$A$5:$A$1004,"&gt;="&amp;DATE($B$4,1,1),'Sales Log'!$A$5:$A$1004,"&lt;"&amp;DATE($B$4+1,1,1),'Sales Log'!$I$5:$I$1004,"&lt;&gt;Refunded",'Sales Log'!$I$5:$I$1004,"&lt;&gt;Cancelled",'Sales Log'!$B$5:$B$1004,$A62))</f>
        <v/>
      </c>
      <c r="G62" s="22" t="str">
        <f aca="false">IF(OR($A62="",N($D62)&lt;=0),"",$F62/$D62)</f>
        <v/>
      </c>
    </row>
    <row r="63" customFormat="false" ht="15" hidden="false" customHeight="false" outlineLevel="0" collapsed="false">
      <c r="A63" s="28" t="str">
        <f aca="false">IF(Products!$A$29="","",Products!$A$29)</f>
        <v/>
      </c>
      <c r="B63" s="20" t="str">
        <f aca="false">IF($A63="","",COUNTIFS('Sales Log'!$A$5:$A$1004,"&gt;="&amp;DATE($B$4,1,1),'Sales Log'!$A$5:$A$1004,"&lt;"&amp;DATE($B$4+1,1,1),'Sales Log'!$I$5:$I$1004,"&lt;&gt;Refunded",'Sales Log'!$I$5:$I$1004,"&lt;&gt;Cancelled",'Sales Log'!$B$5:$B$1004,$A63))</f>
        <v/>
      </c>
      <c r="C63" s="20" t="str">
        <f aca="false">IF($A63="","",SUMIFS('Sales Log'!$T$5:$T$1004,'Sales Log'!$A$5:$A$1004,"&gt;="&amp;DATE($B$4,1,1),'Sales Log'!$A$5:$A$1004,"&lt;"&amp;DATE($B$4+1,1,1),'Sales Log'!$I$5:$I$1004,"&lt;&gt;Refunded",'Sales Log'!$I$5:$I$1004,"&lt;&gt;Cancelled",'Sales Log'!$B$5:$B$1004,$A63))</f>
        <v/>
      </c>
      <c r="D63" s="21" t="str">
        <f aca="false">IF($A63="","",SUMIFS('Sales Log'!$J$5:$J$1004,'Sales Log'!$A$5:$A$1004,"&gt;="&amp;DATE($B$4,1,1),'Sales Log'!$A$5:$A$1004,"&lt;"&amp;DATE($B$4+1,1,1),'Sales Log'!$I$5:$I$1004,"&lt;&gt;Refunded",'Sales Log'!$I$5:$I$1004,"&lt;&gt;Cancelled",'Sales Log'!$B$5:$B$1004,$A63))</f>
        <v/>
      </c>
      <c r="E63" s="21" t="str">
        <f aca="false">IF($A63="","",SUMIFS('Sales Log'!$K$5:$K$1004,'Sales Log'!$A$5:$A$1004,"&gt;="&amp;DATE($B$4,1,1),'Sales Log'!$A$5:$A$1004,"&lt;"&amp;DATE($B$4+1,1,1),'Sales Log'!$I$5:$I$1004,"&lt;&gt;Refunded",'Sales Log'!$I$5:$I$1004,"&lt;&gt;Cancelled",'Sales Log'!$B$5:$B$1004,$A63))</f>
        <v/>
      </c>
      <c r="F63" s="21" t="str">
        <f aca="false">IF($A63="","",SUMIFS('Sales Log'!$M$5:$M$1004,'Sales Log'!$A$5:$A$1004,"&gt;="&amp;DATE($B$4,1,1),'Sales Log'!$A$5:$A$1004,"&lt;"&amp;DATE($B$4+1,1,1),'Sales Log'!$I$5:$I$1004,"&lt;&gt;Refunded",'Sales Log'!$I$5:$I$1004,"&lt;&gt;Cancelled",'Sales Log'!$B$5:$B$1004,$A63))</f>
        <v/>
      </c>
      <c r="G63" s="22" t="str">
        <f aca="false">IF(OR($A63="",N($D63)&lt;=0),"",$F63/$D63)</f>
        <v/>
      </c>
    </row>
    <row r="64" customFormat="false" ht="15" hidden="false" customHeight="false" outlineLevel="0" collapsed="false">
      <c r="A64" s="28" t="str">
        <f aca="false">IF(Products!$A$30="","",Products!$A$30)</f>
        <v/>
      </c>
      <c r="B64" s="20" t="str">
        <f aca="false">IF($A64="","",COUNTIFS('Sales Log'!$A$5:$A$1004,"&gt;="&amp;DATE($B$4,1,1),'Sales Log'!$A$5:$A$1004,"&lt;"&amp;DATE($B$4+1,1,1),'Sales Log'!$I$5:$I$1004,"&lt;&gt;Refunded",'Sales Log'!$I$5:$I$1004,"&lt;&gt;Cancelled",'Sales Log'!$B$5:$B$1004,$A64))</f>
        <v/>
      </c>
      <c r="C64" s="20" t="str">
        <f aca="false">IF($A64="","",SUMIFS('Sales Log'!$T$5:$T$1004,'Sales Log'!$A$5:$A$1004,"&gt;="&amp;DATE($B$4,1,1),'Sales Log'!$A$5:$A$1004,"&lt;"&amp;DATE($B$4+1,1,1),'Sales Log'!$I$5:$I$1004,"&lt;&gt;Refunded",'Sales Log'!$I$5:$I$1004,"&lt;&gt;Cancelled",'Sales Log'!$B$5:$B$1004,$A64))</f>
        <v/>
      </c>
      <c r="D64" s="21" t="str">
        <f aca="false">IF($A64="","",SUMIFS('Sales Log'!$J$5:$J$1004,'Sales Log'!$A$5:$A$1004,"&gt;="&amp;DATE($B$4,1,1),'Sales Log'!$A$5:$A$1004,"&lt;"&amp;DATE($B$4+1,1,1),'Sales Log'!$I$5:$I$1004,"&lt;&gt;Refunded",'Sales Log'!$I$5:$I$1004,"&lt;&gt;Cancelled",'Sales Log'!$B$5:$B$1004,$A64))</f>
        <v/>
      </c>
      <c r="E64" s="21" t="str">
        <f aca="false">IF($A64="","",SUMIFS('Sales Log'!$K$5:$K$1004,'Sales Log'!$A$5:$A$1004,"&gt;="&amp;DATE($B$4,1,1),'Sales Log'!$A$5:$A$1004,"&lt;"&amp;DATE($B$4+1,1,1),'Sales Log'!$I$5:$I$1004,"&lt;&gt;Refunded",'Sales Log'!$I$5:$I$1004,"&lt;&gt;Cancelled",'Sales Log'!$B$5:$B$1004,$A64))</f>
        <v/>
      </c>
      <c r="F64" s="21" t="str">
        <f aca="false">IF($A64="","",SUMIFS('Sales Log'!$M$5:$M$1004,'Sales Log'!$A$5:$A$1004,"&gt;="&amp;DATE($B$4,1,1),'Sales Log'!$A$5:$A$1004,"&lt;"&amp;DATE($B$4+1,1,1),'Sales Log'!$I$5:$I$1004,"&lt;&gt;Refunded",'Sales Log'!$I$5:$I$1004,"&lt;&gt;Cancelled",'Sales Log'!$B$5:$B$1004,$A64))</f>
        <v/>
      </c>
      <c r="G64" s="22" t="str">
        <f aca="false">IF(OR($A64="",N($D64)&lt;=0),"",$F64/$D64)</f>
        <v/>
      </c>
    </row>
    <row r="65" customFormat="false" ht="15" hidden="false" customHeight="false" outlineLevel="0" collapsed="false">
      <c r="A65" s="28" t="str">
        <f aca="false">IF(Products!$A$31="","",Products!$A$31)</f>
        <v/>
      </c>
      <c r="B65" s="20" t="str">
        <f aca="false">IF($A65="","",COUNTIFS('Sales Log'!$A$5:$A$1004,"&gt;="&amp;DATE($B$4,1,1),'Sales Log'!$A$5:$A$1004,"&lt;"&amp;DATE($B$4+1,1,1),'Sales Log'!$I$5:$I$1004,"&lt;&gt;Refunded",'Sales Log'!$I$5:$I$1004,"&lt;&gt;Cancelled",'Sales Log'!$B$5:$B$1004,$A65))</f>
        <v/>
      </c>
      <c r="C65" s="20" t="str">
        <f aca="false">IF($A65="","",SUMIFS('Sales Log'!$T$5:$T$1004,'Sales Log'!$A$5:$A$1004,"&gt;="&amp;DATE($B$4,1,1),'Sales Log'!$A$5:$A$1004,"&lt;"&amp;DATE($B$4+1,1,1),'Sales Log'!$I$5:$I$1004,"&lt;&gt;Refunded",'Sales Log'!$I$5:$I$1004,"&lt;&gt;Cancelled",'Sales Log'!$B$5:$B$1004,$A65))</f>
        <v/>
      </c>
      <c r="D65" s="21" t="str">
        <f aca="false">IF($A65="","",SUMIFS('Sales Log'!$J$5:$J$1004,'Sales Log'!$A$5:$A$1004,"&gt;="&amp;DATE($B$4,1,1),'Sales Log'!$A$5:$A$1004,"&lt;"&amp;DATE($B$4+1,1,1),'Sales Log'!$I$5:$I$1004,"&lt;&gt;Refunded",'Sales Log'!$I$5:$I$1004,"&lt;&gt;Cancelled",'Sales Log'!$B$5:$B$1004,$A65))</f>
        <v/>
      </c>
      <c r="E65" s="21" t="str">
        <f aca="false">IF($A65="","",SUMIFS('Sales Log'!$K$5:$K$1004,'Sales Log'!$A$5:$A$1004,"&gt;="&amp;DATE($B$4,1,1),'Sales Log'!$A$5:$A$1004,"&lt;"&amp;DATE($B$4+1,1,1),'Sales Log'!$I$5:$I$1004,"&lt;&gt;Refunded",'Sales Log'!$I$5:$I$1004,"&lt;&gt;Cancelled",'Sales Log'!$B$5:$B$1004,$A65))</f>
        <v/>
      </c>
      <c r="F65" s="21" t="str">
        <f aca="false">IF($A65="","",SUMIFS('Sales Log'!$M$5:$M$1004,'Sales Log'!$A$5:$A$1004,"&gt;="&amp;DATE($B$4,1,1),'Sales Log'!$A$5:$A$1004,"&lt;"&amp;DATE($B$4+1,1,1),'Sales Log'!$I$5:$I$1004,"&lt;&gt;Refunded",'Sales Log'!$I$5:$I$1004,"&lt;&gt;Cancelled",'Sales Log'!$B$5:$B$1004,$A65))</f>
        <v/>
      </c>
      <c r="G65" s="22" t="str">
        <f aca="false">IF(OR($A65="",N($D65)&lt;=0),"",$F65/$D65)</f>
        <v/>
      </c>
    </row>
    <row r="66" customFormat="false" ht="15" hidden="false" customHeight="false" outlineLevel="0" collapsed="false">
      <c r="A66" s="28" t="str">
        <f aca="false">IF(Products!$A$32="","",Products!$A$32)</f>
        <v/>
      </c>
      <c r="B66" s="20" t="str">
        <f aca="false">IF($A66="","",COUNTIFS('Sales Log'!$A$5:$A$1004,"&gt;="&amp;DATE($B$4,1,1),'Sales Log'!$A$5:$A$1004,"&lt;"&amp;DATE($B$4+1,1,1),'Sales Log'!$I$5:$I$1004,"&lt;&gt;Refunded",'Sales Log'!$I$5:$I$1004,"&lt;&gt;Cancelled",'Sales Log'!$B$5:$B$1004,$A66))</f>
        <v/>
      </c>
      <c r="C66" s="20" t="str">
        <f aca="false">IF($A66="","",SUMIFS('Sales Log'!$T$5:$T$1004,'Sales Log'!$A$5:$A$1004,"&gt;="&amp;DATE($B$4,1,1),'Sales Log'!$A$5:$A$1004,"&lt;"&amp;DATE($B$4+1,1,1),'Sales Log'!$I$5:$I$1004,"&lt;&gt;Refunded",'Sales Log'!$I$5:$I$1004,"&lt;&gt;Cancelled",'Sales Log'!$B$5:$B$1004,$A66))</f>
        <v/>
      </c>
      <c r="D66" s="21" t="str">
        <f aca="false">IF($A66="","",SUMIFS('Sales Log'!$J$5:$J$1004,'Sales Log'!$A$5:$A$1004,"&gt;="&amp;DATE($B$4,1,1),'Sales Log'!$A$5:$A$1004,"&lt;"&amp;DATE($B$4+1,1,1),'Sales Log'!$I$5:$I$1004,"&lt;&gt;Refunded",'Sales Log'!$I$5:$I$1004,"&lt;&gt;Cancelled",'Sales Log'!$B$5:$B$1004,$A66))</f>
        <v/>
      </c>
      <c r="E66" s="21" t="str">
        <f aca="false">IF($A66="","",SUMIFS('Sales Log'!$K$5:$K$1004,'Sales Log'!$A$5:$A$1004,"&gt;="&amp;DATE($B$4,1,1),'Sales Log'!$A$5:$A$1004,"&lt;"&amp;DATE($B$4+1,1,1),'Sales Log'!$I$5:$I$1004,"&lt;&gt;Refunded",'Sales Log'!$I$5:$I$1004,"&lt;&gt;Cancelled",'Sales Log'!$B$5:$B$1004,$A66))</f>
        <v/>
      </c>
      <c r="F66" s="21" t="str">
        <f aca="false">IF($A66="","",SUMIFS('Sales Log'!$M$5:$M$1004,'Sales Log'!$A$5:$A$1004,"&gt;="&amp;DATE($B$4,1,1),'Sales Log'!$A$5:$A$1004,"&lt;"&amp;DATE($B$4+1,1,1),'Sales Log'!$I$5:$I$1004,"&lt;&gt;Refunded",'Sales Log'!$I$5:$I$1004,"&lt;&gt;Cancelled",'Sales Log'!$B$5:$B$1004,$A66))</f>
        <v/>
      </c>
      <c r="G66" s="22" t="str">
        <f aca="false">IF(OR($A66="",N($D66)&lt;=0),"",$F66/$D66)</f>
        <v/>
      </c>
    </row>
    <row r="67" customFormat="false" ht="15" hidden="false" customHeight="false" outlineLevel="0" collapsed="false">
      <c r="A67" s="28" t="str">
        <f aca="false">IF(Products!$A$33="","",Products!$A$33)</f>
        <v/>
      </c>
      <c r="B67" s="20" t="str">
        <f aca="false">IF($A67="","",COUNTIFS('Sales Log'!$A$5:$A$1004,"&gt;="&amp;DATE($B$4,1,1),'Sales Log'!$A$5:$A$1004,"&lt;"&amp;DATE($B$4+1,1,1),'Sales Log'!$I$5:$I$1004,"&lt;&gt;Refunded",'Sales Log'!$I$5:$I$1004,"&lt;&gt;Cancelled",'Sales Log'!$B$5:$B$1004,$A67))</f>
        <v/>
      </c>
      <c r="C67" s="20" t="str">
        <f aca="false">IF($A67="","",SUMIFS('Sales Log'!$T$5:$T$1004,'Sales Log'!$A$5:$A$1004,"&gt;="&amp;DATE($B$4,1,1),'Sales Log'!$A$5:$A$1004,"&lt;"&amp;DATE($B$4+1,1,1),'Sales Log'!$I$5:$I$1004,"&lt;&gt;Refunded",'Sales Log'!$I$5:$I$1004,"&lt;&gt;Cancelled",'Sales Log'!$B$5:$B$1004,$A67))</f>
        <v/>
      </c>
      <c r="D67" s="21" t="str">
        <f aca="false">IF($A67="","",SUMIFS('Sales Log'!$J$5:$J$1004,'Sales Log'!$A$5:$A$1004,"&gt;="&amp;DATE($B$4,1,1),'Sales Log'!$A$5:$A$1004,"&lt;"&amp;DATE($B$4+1,1,1),'Sales Log'!$I$5:$I$1004,"&lt;&gt;Refunded",'Sales Log'!$I$5:$I$1004,"&lt;&gt;Cancelled",'Sales Log'!$B$5:$B$1004,$A67))</f>
        <v/>
      </c>
      <c r="E67" s="21" t="str">
        <f aca="false">IF($A67="","",SUMIFS('Sales Log'!$K$5:$K$1004,'Sales Log'!$A$5:$A$1004,"&gt;="&amp;DATE($B$4,1,1),'Sales Log'!$A$5:$A$1004,"&lt;"&amp;DATE($B$4+1,1,1),'Sales Log'!$I$5:$I$1004,"&lt;&gt;Refunded",'Sales Log'!$I$5:$I$1004,"&lt;&gt;Cancelled",'Sales Log'!$B$5:$B$1004,$A67))</f>
        <v/>
      </c>
      <c r="F67" s="21" t="str">
        <f aca="false">IF($A67="","",SUMIFS('Sales Log'!$M$5:$M$1004,'Sales Log'!$A$5:$A$1004,"&gt;="&amp;DATE($B$4,1,1),'Sales Log'!$A$5:$A$1004,"&lt;"&amp;DATE($B$4+1,1,1),'Sales Log'!$I$5:$I$1004,"&lt;&gt;Refunded",'Sales Log'!$I$5:$I$1004,"&lt;&gt;Cancelled",'Sales Log'!$B$5:$B$1004,$A67))</f>
        <v/>
      </c>
      <c r="G67" s="22" t="str">
        <f aca="false">IF(OR($A67="",N($D67)&lt;=0),"",$F67/$D67)</f>
        <v/>
      </c>
    </row>
    <row r="68" customFormat="false" ht="15" hidden="false" customHeight="false" outlineLevel="0" collapsed="false">
      <c r="A68" s="28" t="str">
        <f aca="false">IF(Products!$A$34="","",Products!$A$34)</f>
        <v/>
      </c>
      <c r="B68" s="20" t="str">
        <f aca="false">IF($A68="","",COUNTIFS('Sales Log'!$A$5:$A$1004,"&gt;="&amp;DATE($B$4,1,1),'Sales Log'!$A$5:$A$1004,"&lt;"&amp;DATE($B$4+1,1,1),'Sales Log'!$I$5:$I$1004,"&lt;&gt;Refunded",'Sales Log'!$I$5:$I$1004,"&lt;&gt;Cancelled",'Sales Log'!$B$5:$B$1004,$A68))</f>
        <v/>
      </c>
      <c r="C68" s="20" t="str">
        <f aca="false">IF($A68="","",SUMIFS('Sales Log'!$T$5:$T$1004,'Sales Log'!$A$5:$A$1004,"&gt;="&amp;DATE($B$4,1,1),'Sales Log'!$A$5:$A$1004,"&lt;"&amp;DATE($B$4+1,1,1),'Sales Log'!$I$5:$I$1004,"&lt;&gt;Refunded",'Sales Log'!$I$5:$I$1004,"&lt;&gt;Cancelled",'Sales Log'!$B$5:$B$1004,$A68))</f>
        <v/>
      </c>
      <c r="D68" s="21" t="str">
        <f aca="false">IF($A68="","",SUMIFS('Sales Log'!$J$5:$J$1004,'Sales Log'!$A$5:$A$1004,"&gt;="&amp;DATE($B$4,1,1),'Sales Log'!$A$5:$A$1004,"&lt;"&amp;DATE($B$4+1,1,1),'Sales Log'!$I$5:$I$1004,"&lt;&gt;Refunded",'Sales Log'!$I$5:$I$1004,"&lt;&gt;Cancelled",'Sales Log'!$B$5:$B$1004,$A68))</f>
        <v/>
      </c>
      <c r="E68" s="21" t="str">
        <f aca="false">IF($A68="","",SUMIFS('Sales Log'!$K$5:$K$1004,'Sales Log'!$A$5:$A$1004,"&gt;="&amp;DATE($B$4,1,1),'Sales Log'!$A$5:$A$1004,"&lt;"&amp;DATE($B$4+1,1,1),'Sales Log'!$I$5:$I$1004,"&lt;&gt;Refunded",'Sales Log'!$I$5:$I$1004,"&lt;&gt;Cancelled",'Sales Log'!$B$5:$B$1004,$A68))</f>
        <v/>
      </c>
      <c r="F68" s="21" t="str">
        <f aca="false">IF($A68="","",SUMIFS('Sales Log'!$M$5:$M$1004,'Sales Log'!$A$5:$A$1004,"&gt;="&amp;DATE($B$4,1,1),'Sales Log'!$A$5:$A$1004,"&lt;"&amp;DATE($B$4+1,1,1),'Sales Log'!$I$5:$I$1004,"&lt;&gt;Refunded",'Sales Log'!$I$5:$I$1004,"&lt;&gt;Cancelled",'Sales Log'!$B$5:$B$1004,$A68))</f>
        <v/>
      </c>
      <c r="G68" s="22" t="str">
        <f aca="false">IF(OR($A68="",N($D68)&lt;=0),"",$F68/$D68)</f>
        <v/>
      </c>
    </row>
    <row r="69" customFormat="false" ht="15" hidden="false" customHeight="false" outlineLevel="0" collapsed="false">
      <c r="A69" s="28" t="str">
        <f aca="false">IF(Products!$A$35="","",Products!$A$35)</f>
        <v/>
      </c>
      <c r="B69" s="20" t="str">
        <f aca="false">IF($A69="","",COUNTIFS('Sales Log'!$A$5:$A$1004,"&gt;="&amp;DATE($B$4,1,1),'Sales Log'!$A$5:$A$1004,"&lt;"&amp;DATE($B$4+1,1,1),'Sales Log'!$I$5:$I$1004,"&lt;&gt;Refunded",'Sales Log'!$I$5:$I$1004,"&lt;&gt;Cancelled",'Sales Log'!$B$5:$B$1004,$A69))</f>
        <v/>
      </c>
      <c r="C69" s="20" t="str">
        <f aca="false">IF($A69="","",SUMIFS('Sales Log'!$T$5:$T$1004,'Sales Log'!$A$5:$A$1004,"&gt;="&amp;DATE($B$4,1,1),'Sales Log'!$A$5:$A$1004,"&lt;"&amp;DATE($B$4+1,1,1),'Sales Log'!$I$5:$I$1004,"&lt;&gt;Refunded",'Sales Log'!$I$5:$I$1004,"&lt;&gt;Cancelled",'Sales Log'!$B$5:$B$1004,$A69))</f>
        <v/>
      </c>
      <c r="D69" s="21" t="str">
        <f aca="false">IF($A69="","",SUMIFS('Sales Log'!$J$5:$J$1004,'Sales Log'!$A$5:$A$1004,"&gt;="&amp;DATE($B$4,1,1),'Sales Log'!$A$5:$A$1004,"&lt;"&amp;DATE($B$4+1,1,1),'Sales Log'!$I$5:$I$1004,"&lt;&gt;Refunded",'Sales Log'!$I$5:$I$1004,"&lt;&gt;Cancelled",'Sales Log'!$B$5:$B$1004,$A69))</f>
        <v/>
      </c>
      <c r="E69" s="21" t="str">
        <f aca="false">IF($A69="","",SUMIFS('Sales Log'!$K$5:$K$1004,'Sales Log'!$A$5:$A$1004,"&gt;="&amp;DATE($B$4,1,1),'Sales Log'!$A$5:$A$1004,"&lt;"&amp;DATE($B$4+1,1,1),'Sales Log'!$I$5:$I$1004,"&lt;&gt;Refunded",'Sales Log'!$I$5:$I$1004,"&lt;&gt;Cancelled",'Sales Log'!$B$5:$B$1004,$A69))</f>
        <v/>
      </c>
      <c r="F69" s="21" t="str">
        <f aca="false">IF($A69="","",SUMIFS('Sales Log'!$M$5:$M$1004,'Sales Log'!$A$5:$A$1004,"&gt;="&amp;DATE($B$4,1,1),'Sales Log'!$A$5:$A$1004,"&lt;"&amp;DATE($B$4+1,1,1),'Sales Log'!$I$5:$I$1004,"&lt;&gt;Refunded",'Sales Log'!$I$5:$I$1004,"&lt;&gt;Cancelled",'Sales Log'!$B$5:$B$1004,$A69))</f>
        <v/>
      </c>
      <c r="G69" s="22" t="str">
        <f aca="false">IF(OR($A69="",N($D69)&lt;=0),"",$F69/$D69)</f>
        <v/>
      </c>
    </row>
    <row r="70" customFormat="false" ht="15" hidden="false" customHeight="false" outlineLevel="0" collapsed="false">
      <c r="A70" s="28" t="str">
        <f aca="false">IF(Products!$A$36="","",Products!$A$36)</f>
        <v/>
      </c>
      <c r="B70" s="20" t="str">
        <f aca="false">IF($A70="","",COUNTIFS('Sales Log'!$A$5:$A$1004,"&gt;="&amp;DATE($B$4,1,1),'Sales Log'!$A$5:$A$1004,"&lt;"&amp;DATE($B$4+1,1,1),'Sales Log'!$I$5:$I$1004,"&lt;&gt;Refunded",'Sales Log'!$I$5:$I$1004,"&lt;&gt;Cancelled",'Sales Log'!$B$5:$B$1004,$A70))</f>
        <v/>
      </c>
      <c r="C70" s="20" t="str">
        <f aca="false">IF($A70="","",SUMIFS('Sales Log'!$T$5:$T$1004,'Sales Log'!$A$5:$A$1004,"&gt;="&amp;DATE($B$4,1,1),'Sales Log'!$A$5:$A$1004,"&lt;"&amp;DATE($B$4+1,1,1),'Sales Log'!$I$5:$I$1004,"&lt;&gt;Refunded",'Sales Log'!$I$5:$I$1004,"&lt;&gt;Cancelled",'Sales Log'!$B$5:$B$1004,$A70))</f>
        <v/>
      </c>
      <c r="D70" s="21" t="str">
        <f aca="false">IF($A70="","",SUMIFS('Sales Log'!$J$5:$J$1004,'Sales Log'!$A$5:$A$1004,"&gt;="&amp;DATE($B$4,1,1),'Sales Log'!$A$5:$A$1004,"&lt;"&amp;DATE($B$4+1,1,1),'Sales Log'!$I$5:$I$1004,"&lt;&gt;Refunded",'Sales Log'!$I$5:$I$1004,"&lt;&gt;Cancelled",'Sales Log'!$B$5:$B$1004,$A70))</f>
        <v/>
      </c>
      <c r="E70" s="21" t="str">
        <f aca="false">IF($A70="","",SUMIFS('Sales Log'!$K$5:$K$1004,'Sales Log'!$A$5:$A$1004,"&gt;="&amp;DATE($B$4,1,1),'Sales Log'!$A$5:$A$1004,"&lt;"&amp;DATE($B$4+1,1,1),'Sales Log'!$I$5:$I$1004,"&lt;&gt;Refunded",'Sales Log'!$I$5:$I$1004,"&lt;&gt;Cancelled",'Sales Log'!$B$5:$B$1004,$A70))</f>
        <v/>
      </c>
      <c r="F70" s="21" t="str">
        <f aca="false">IF($A70="","",SUMIFS('Sales Log'!$M$5:$M$1004,'Sales Log'!$A$5:$A$1004,"&gt;="&amp;DATE($B$4,1,1),'Sales Log'!$A$5:$A$1004,"&lt;"&amp;DATE($B$4+1,1,1),'Sales Log'!$I$5:$I$1004,"&lt;&gt;Refunded",'Sales Log'!$I$5:$I$1004,"&lt;&gt;Cancelled",'Sales Log'!$B$5:$B$1004,$A70))</f>
        <v/>
      </c>
      <c r="G70" s="22" t="str">
        <f aca="false">IF(OR($A70="",N($D70)&lt;=0),"",$F70/$D70)</f>
        <v/>
      </c>
    </row>
    <row r="71" customFormat="false" ht="15" hidden="false" customHeight="false" outlineLevel="0" collapsed="false">
      <c r="A71" s="28" t="str">
        <f aca="false">IF(Products!$A$37="","",Products!$A$37)</f>
        <v/>
      </c>
      <c r="B71" s="20" t="str">
        <f aca="false">IF($A71="","",COUNTIFS('Sales Log'!$A$5:$A$1004,"&gt;="&amp;DATE($B$4,1,1),'Sales Log'!$A$5:$A$1004,"&lt;"&amp;DATE($B$4+1,1,1),'Sales Log'!$I$5:$I$1004,"&lt;&gt;Refunded",'Sales Log'!$I$5:$I$1004,"&lt;&gt;Cancelled",'Sales Log'!$B$5:$B$1004,$A71))</f>
        <v/>
      </c>
      <c r="C71" s="20" t="str">
        <f aca="false">IF($A71="","",SUMIFS('Sales Log'!$T$5:$T$1004,'Sales Log'!$A$5:$A$1004,"&gt;="&amp;DATE($B$4,1,1),'Sales Log'!$A$5:$A$1004,"&lt;"&amp;DATE($B$4+1,1,1),'Sales Log'!$I$5:$I$1004,"&lt;&gt;Refunded",'Sales Log'!$I$5:$I$1004,"&lt;&gt;Cancelled",'Sales Log'!$B$5:$B$1004,$A71))</f>
        <v/>
      </c>
      <c r="D71" s="21" t="str">
        <f aca="false">IF($A71="","",SUMIFS('Sales Log'!$J$5:$J$1004,'Sales Log'!$A$5:$A$1004,"&gt;="&amp;DATE($B$4,1,1),'Sales Log'!$A$5:$A$1004,"&lt;"&amp;DATE($B$4+1,1,1),'Sales Log'!$I$5:$I$1004,"&lt;&gt;Refunded",'Sales Log'!$I$5:$I$1004,"&lt;&gt;Cancelled",'Sales Log'!$B$5:$B$1004,$A71))</f>
        <v/>
      </c>
      <c r="E71" s="21" t="str">
        <f aca="false">IF($A71="","",SUMIFS('Sales Log'!$K$5:$K$1004,'Sales Log'!$A$5:$A$1004,"&gt;="&amp;DATE($B$4,1,1),'Sales Log'!$A$5:$A$1004,"&lt;"&amp;DATE($B$4+1,1,1),'Sales Log'!$I$5:$I$1004,"&lt;&gt;Refunded",'Sales Log'!$I$5:$I$1004,"&lt;&gt;Cancelled",'Sales Log'!$B$5:$B$1004,$A71))</f>
        <v/>
      </c>
      <c r="F71" s="21" t="str">
        <f aca="false">IF($A71="","",SUMIFS('Sales Log'!$M$5:$M$1004,'Sales Log'!$A$5:$A$1004,"&gt;="&amp;DATE($B$4,1,1),'Sales Log'!$A$5:$A$1004,"&lt;"&amp;DATE($B$4+1,1,1),'Sales Log'!$I$5:$I$1004,"&lt;&gt;Refunded",'Sales Log'!$I$5:$I$1004,"&lt;&gt;Cancelled",'Sales Log'!$B$5:$B$1004,$A71))</f>
        <v/>
      </c>
      <c r="G71" s="22" t="str">
        <f aca="false">IF(OR($A71="",N($D71)&lt;=0),"",$F71/$D71)</f>
        <v/>
      </c>
    </row>
    <row r="72" customFormat="false" ht="15" hidden="false" customHeight="false" outlineLevel="0" collapsed="false">
      <c r="A72" s="28" t="str">
        <f aca="false">IF(Products!$A$38="","",Products!$A$38)</f>
        <v/>
      </c>
      <c r="B72" s="20" t="str">
        <f aca="false">IF($A72="","",COUNTIFS('Sales Log'!$A$5:$A$1004,"&gt;="&amp;DATE($B$4,1,1),'Sales Log'!$A$5:$A$1004,"&lt;"&amp;DATE($B$4+1,1,1),'Sales Log'!$I$5:$I$1004,"&lt;&gt;Refunded",'Sales Log'!$I$5:$I$1004,"&lt;&gt;Cancelled",'Sales Log'!$B$5:$B$1004,$A72))</f>
        <v/>
      </c>
      <c r="C72" s="20" t="str">
        <f aca="false">IF($A72="","",SUMIFS('Sales Log'!$T$5:$T$1004,'Sales Log'!$A$5:$A$1004,"&gt;="&amp;DATE($B$4,1,1),'Sales Log'!$A$5:$A$1004,"&lt;"&amp;DATE($B$4+1,1,1),'Sales Log'!$I$5:$I$1004,"&lt;&gt;Refunded",'Sales Log'!$I$5:$I$1004,"&lt;&gt;Cancelled",'Sales Log'!$B$5:$B$1004,$A72))</f>
        <v/>
      </c>
      <c r="D72" s="21" t="str">
        <f aca="false">IF($A72="","",SUMIFS('Sales Log'!$J$5:$J$1004,'Sales Log'!$A$5:$A$1004,"&gt;="&amp;DATE($B$4,1,1),'Sales Log'!$A$5:$A$1004,"&lt;"&amp;DATE($B$4+1,1,1),'Sales Log'!$I$5:$I$1004,"&lt;&gt;Refunded",'Sales Log'!$I$5:$I$1004,"&lt;&gt;Cancelled",'Sales Log'!$B$5:$B$1004,$A72))</f>
        <v/>
      </c>
      <c r="E72" s="21" t="str">
        <f aca="false">IF($A72="","",SUMIFS('Sales Log'!$K$5:$K$1004,'Sales Log'!$A$5:$A$1004,"&gt;="&amp;DATE($B$4,1,1),'Sales Log'!$A$5:$A$1004,"&lt;"&amp;DATE($B$4+1,1,1),'Sales Log'!$I$5:$I$1004,"&lt;&gt;Refunded",'Sales Log'!$I$5:$I$1004,"&lt;&gt;Cancelled",'Sales Log'!$B$5:$B$1004,$A72))</f>
        <v/>
      </c>
      <c r="F72" s="21" t="str">
        <f aca="false">IF($A72="","",SUMIFS('Sales Log'!$M$5:$M$1004,'Sales Log'!$A$5:$A$1004,"&gt;="&amp;DATE($B$4,1,1),'Sales Log'!$A$5:$A$1004,"&lt;"&amp;DATE($B$4+1,1,1),'Sales Log'!$I$5:$I$1004,"&lt;&gt;Refunded",'Sales Log'!$I$5:$I$1004,"&lt;&gt;Cancelled",'Sales Log'!$B$5:$B$1004,$A72))</f>
        <v/>
      </c>
      <c r="G72" s="22" t="str">
        <f aca="false">IF(OR($A72="",N($D72)&lt;=0),"",$F72/$D72)</f>
        <v/>
      </c>
    </row>
    <row r="73" customFormat="false" ht="15" hidden="false" customHeight="false" outlineLevel="0" collapsed="false">
      <c r="A73" s="28" t="str">
        <f aca="false">IF(Products!$A$39="","",Products!$A$39)</f>
        <v/>
      </c>
      <c r="B73" s="20" t="str">
        <f aca="false">IF($A73="","",COUNTIFS('Sales Log'!$A$5:$A$1004,"&gt;="&amp;DATE($B$4,1,1),'Sales Log'!$A$5:$A$1004,"&lt;"&amp;DATE($B$4+1,1,1),'Sales Log'!$I$5:$I$1004,"&lt;&gt;Refunded",'Sales Log'!$I$5:$I$1004,"&lt;&gt;Cancelled",'Sales Log'!$B$5:$B$1004,$A73))</f>
        <v/>
      </c>
      <c r="C73" s="20" t="str">
        <f aca="false">IF($A73="","",SUMIFS('Sales Log'!$T$5:$T$1004,'Sales Log'!$A$5:$A$1004,"&gt;="&amp;DATE($B$4,1,1),'Sales Log'!$A$5:$A$1004,"&lt;"&amp;DATE($B$4+1,1,1),'Sales Log'!$I$5:$I$1004,"&lt;&gt;Refunded",'Sales Log'!$I$5:$I$1004,"&lt;&gt;Cancelled",'Sales Log'!$B$5:$B$1004,$A73))</f>
        <v/>
      </c>
      <c r="D73" s="21" t="str">
        <f aca="false">IF($A73="","",SUMIFS('Sales Log'!$J$5:$J$1004,'Sales Log'!$A$5:$A$1004,"&gt;="&amp;DATE($B$4,1,1),'Sales Log'!$A$5:$A$1004,"&lt;"&amp;DATE($B$4+1,1,1),'Sales Log'!$I$5:$I$1004,"&lt;&gt;Refunded",'Sales Log'!$I$5:$I$1004,"&lt;&gt;Cancelled",'Sales Log'!$B$5:$B$1004,$A73))</f>
        <v/>
      </c>
      <c r="E73" s="21" t="str">
        <f aca="false">IF($A73="","",SUMIFS('Sales Log'!$K$5:$K$1004,'Sales Log'!$A$5:$A$1004,"&gt;="&amp;DATE($B$4,1,1),'Sales Log'!$A$5:$A$1004,"&lt;"&amp;DATE($B$4+1,1,1),'Sales Log'!$I$5:$I$1004,"&lt;&gt;Refunded",'Sales Log'!$I$5:$I$1004,"&lt;&gt;Cancelled",'Sales Log'!$B$5:$B$1004,$A73))</f>
        <v/>
      </c>
      <c r="F73" s="21" t="str">
        <f aca="false">IF($A73="","",SUMIFS('Sales Log'!$M$5:$M$1004,'Sales Log'!$A$5:$A$1004,"&gt;="&amp;DATE($B$4,1,1),'Sales Log'!$A$5:$A$1004,"&lt;"&amp;DATE($B$4+1,1,1),'Sales Log'!$I$5:$I$1004,"&lt;&gt;Refunded",'Sales Log'!$I$5:$I$1004,"&lt;&gt;Cancelled",'Sales Log'!$B$5:$B$1004,$A73))</f>
        <v/>
      </c>
      <c r="G73" s="22" t="str">
        <f aca="false">IF(OR($A73="",N($D73)&lt;=0),"",$F73/$D73)</f>
        <v/>
      </c>
    </row>
    <row r="74" customFormat="false" ht="15" hidden="false" customHeight="false" outlineLevel="0" collapsed="false">
      <c r="A74" s="28" t="str">
        <f aca="false">IF(Products!$A$40="","",Products!$A$40)</f>
        <v/>
      </c>
      <c r="B74" s="20" t="str">
        <f aca="false">IF($A74="","",COUNTIFS('Sales Log'!$A$5:$A$1004,"&gt;="&amp;DATE($B$4,1,1),'Sales Log'!$A$5:$A$1004,"&lt;"&amp;DATE($B$4+1,1,1),'Sales Log'!$I$5:$I$1004,"&lt;&gt;Refunded",'Sales Log'!$I$5:$I$1004,"&lt;&gt;Cancelled",'Sales Log'!$B$5:$B$1004,$A74))</f>
        <v/>
      </c>
      <c r="C74" s="20" t="str">
        <f aca="false">IF($A74="","",SUMIFS('Sales Log'!$T$5:$T$1004,'Sales Log'!$A$5:$A$1004,"&gt;="&amp;DATE($B$4,1,1),'Sales Log'!$A$5:$A$1004,"&lt;"&amp;DATE($B$4+1,1,1),'Sales Log'!$I$5:$I$1004,"&lt;&gt;Refunded",'Sales Log'!$I$5:$I$1004,"&lt;&gt;Cancelled",'Sales Log'!$B$5:$B$1004,$A74))</f>
        <v/>
      </c>
      <c r="D74" s="21" t="str">
        <f aca="false">IF($A74="","",SUMIFS('Sales Log'!$J$5:$J$1004,'Sales Log'!$A$5:$A$1004,"&gt;="&amp;DATE($B$4,1,1),'Sales Log'!$A$5:$A$1004,"&lt;"&amp;DATE($B$4+1,1,1),'Sales Log'!$I$5:$I$1004,"&lt;&gt;Refunded",'Sales Log'!$I$5:$I$1004,"&lt;&gt;Cancelled",'Sales Log'!$B$5:$B$1004,$A74))</f>
        <v/>
      </c>
      <c r="E74" s="21" t="str">
        <f aca="false">IF($A74="","",SUMIFS('Sales Log'!$K$5:$K$1004,'Sales Log'!$A$5:$A$1004,"&gt;="&amp;DATE($B$4,1,1),'Sales Log'!$A$5:$A$1004,"&lt;"&amp;DATE($B$4+1,1,1),'Sales Log'!$I$5:$I$1004,"&lt;&gt;Refunded",'Sales Log'!$I$5:$I$1004,"&lt;&gt;Cancelled",'Sales Log'!$B$5:$B$1004,$A74))</f>
        <v/>
      </c>
      <c r="F74" s="21" t="str">
        <f aca="false">IF($A74="","",SUMIFS('Sales Log'!$M$5:$M$1004,'Sales Log'!$A$5:$A$1004,"&gt;="&amp;DATE($B$4,1,1),'Sales Log'!$A$5:$A$1004,"&lt;"&amp;DATE($B$4+1,1,1),'Sales Log'!$I$5:$I$1004,"&lt;&gt;Refunded",'Sales Log'!$I$5:$I$1004,"&lt;&gt;Cancelled",'Sales Log'!$B$5:$B$1004,$A74))</f>
        <v/>
      </c>
      <c r="G74" s="22" t="str">
        <f aca="false">IF(OR($A74="",N($D74)&lt;=0),"",$F74/$D74)</f>
        <v/>
      </c>
    </row>
    <row r="75" customFormat="false" ht="15" hidden="false" customHeight="false" outlineLevel="0" collapsed="false">
      <c r="A75" s="28" t="str">
        <f aca="false">IF(Products!$A$41="","",Products!$A$41)</f>
        <v/>
      </c>
      <c r="B75" s="20" t="str">
        <f aca="false">IF($A75="","",COUNTIFS('Sales Log'!$A$5:$A$1004,"&gt;="&amp;DATE($B$4,1,1),'Sales Log'!$A$5:$A$1004,"&lt;"&amp;DATE($B$4+1,1,1),'Sales Log'!$I$5:$I$1004,"&lt;&gt;Refunded",'Sales Log'!$I$5:$I$1004,"&lt;&gt;Cancelled",'Sales Log'!$B$5:$B$1004,$A75))</f>
        <v/>
      </c>
      <c r="C75" s="20" t="str">
        <f aca="false">IF($A75="","",SUMIFS('Sales Log'!$T$5:$T$1004,'Sales Log'!$A$5:$A$1004,"&gt;="&amp;DATE($B$4,1,1),'Sales Log'!$A$5:$A$1004,"&lt;"&amp;DATE($B$4+1,1,1),'Sales Log'!$I$5:$I$1004,"&lt;&gt;Refunded",'Sales Log'!$I$5:$I$1004,"&lt;&gt;Cancelled",'Sales Log'!$B$5:$B$1004,$A75))</f>
        <v/>
      </c>
      <c r="D75" s="21" t="str">
        <f aca="false">IF($A75="","",SUMIFS('Sales Log'!$J$5:$J$1004,'Sales Log'!$A$5:$A$1004,"&gt;="&amp;DATE($B$4,1,1),'Sales Log'!$A$5:$A$1004,"&lt;"&amp;DATE($B$4+1,1,1),'Sales Log'!$I$5:$I$1004,"&lt;&gt;Refunded",'Sales Log'!$I$5:$I$1004,"&lt;&gt;Cancelled",'Sales Log'!$B$5:$B$1004,$A75))</f>
        <v/>
      </c>
      <c r="E75" s="21" t="str">
        <f aca="false">IF($A75="","",SUMIFS('Sales Log'!$K$5:$K$1004,'Sales Log'!$A$5:$A$1004,"&gt;="&amp;DATE($B$4,1,1),'Sales Log'!$A$5:$A$1004,"&lt;"&amp;DATE($B$4+1,1,1),'Sales Log'!$I$5:$I$1004,"&lt;&gt;Refunded",'Sales Log'!$I$5:$I$1004,"&lt;&gt;Cancelled",'Sales Log'!$B$5:$B$1004,$A75))</f>
        <v/>
      </c>
      <c r="F75" s="21" t="str">
        <f aca="false">IF($A75="","",SUMIFS('Sales Log'!$M$5:$M$1004,'Sales Log'!$A$5:$A$1004,"&gt;="&amp;DATE($B$4,1,1),'Sales Log'!$A$5:$A$1004,"&lt;"&amp;DATE($B$4+1,1,1),'Sales Log'!$I$5:$I$1004,"&lt;&gt;Refunded",'Sales Log'!$I$5:$I$1004,"&lt;&gt;Cancelled",'Sales Log'!$B$5:$B$1004,$A75))</f>
        <v/>
      </c>
      <c r="G75" s="22" t="str">
        <f aca="false">IF(OR($A75="",N($D75)&lt;=0),"",$F75/$D75)</f>
        <v/>
      </c>
    </row>
    <row r="76" customFormat="false" ht="15" hidden="false" customHeight="false" outlineLevel="0" collapsed="false">
      <c r="A76" s="28" t="str">
        <f aca="false">IF(Products!$A$42="","",Products!$A$42)</f>
        <v/>
      </c>
      <c r="B76" s="20" t="str">
        <f aca="false">IF($A76="","",COUNTIFS('Sales Log'!$A$5:$A$1004,"&gt;="&amp;DATE($B$4,1,1),'Sales Log'!$A$5:$A$1004,"&lt;"&amp;DATE($B$4+1,1,1),'Sales Log'!$I$5:$I$1004,"&lt;&gt;Refunded",'Sales Log'!$I$5:$I$1004,"&lt;&gt;Cancelled",'Sales Log'!$B$5:$B$1004,$A76))</f>
        <v/>
      </c>
      <c r="C76" s="20" t="str">
        <f aca="false">IF($A76="","",SUMIFS('Sales Log'!$T$5:$T$1004,'Sales Log'!$A$5:$A$1004,"&gt;="&amp;DATE($B$4,1,1),'Sales Log'!$A$5:$A$1004,"&lt;"&amp;DATE($B$4+1,1,1),'Sales Log'!$I$5:$I$1004,"&lt;&gt;Refunded",'Sales Log'!$I$5:$I$1004,"&lt;&gt;Cancelled",'Sales Log'!$B$5:$B$1004,$A76))</f>
        <v/>
      </c>
      <c r="D76" s="21" t="str">
        <f aca="false">IF($A76="","",SUMIFS('Sales Log'!$J$5:$J$1004,'Sales Log'!$A$5:$A$1004,"&gt;="&amp;DATE($B$4,1,1),'Sales Log'!$A$5:$A$1004,"&lt;"&amp;DATE($B$4+1,1,1),'Sales Log'!$I$5:$I$1004,"&lt;&gt;Refunded",'Sales Log'!$I$5:$I$1004,"&lt;&gt;Cancelled",'Sales Log'!$B$5:$B$1004,$A76))</f>
        <v/>
      </c>
      <c r="E76" s="21" t="str">
        <f aca="false">IF($A76="","",SUMIFS('Sales Log'!$K$5:$K$1004,'Sales Log'!$A$5:$A$1004,"&gt;="&amp;DATE($B$4,1,1),'Sales Log'!$A$5:$A$1004,"&lt;"&amp;DATE($B$4+1,1,1),'Sales Log'!$I$5:$I$1004,"&lt;&gt;Refunded",'Sales Log'!$I$5:$I$1004,"&lt;&gt;Cancelled",'Sales Log'!$B$5:$B$1004,$A76))</f>
        <v/>
      </c>
      <c r="F76" s="21" t="str">
        <f aca="false">IF($A76="","",SUMIFS('Sales Log'!$M$5:$M$1004,'Sales Log'!$A$5:$A$1004,"&gt;="&amp;DATE($B$4,1,1),'Sales Log'!$A$5:$A$1004,"&lt;"&amp;DATE($B$4+1,1,1),'Sales Log'!$I$5:$I$1004,"&lt;&gt;Refunded",'Sales Log'!$I$5:$I$1004,"&lt;&gt;Cancelled",'Sales Log'!$B$5:$B$1004,$A76))</f>
        <v/>
      </c>
      <c r="G76" s="22" t="str">
        <f aca="false">IF(OR($A76="",N($D76)&lt;=0),"",$F76/$D76)</f>
        <v/>
      </c>
    </row>
    <row r="77" customFormat="false" ht="15" hidden="false" customHeight="false" outlineLevel="0" collapsed="false">
      <c r="A77" s="28" t="str">
        <f aca="false">IF(Products!$A$43="","",Products!$A$43)</f>
        <v/>
      </c>
      <c r="B77" s="20" t="str">
        <f aca="false">IF($A77="","",COUNTIFS('Sales Log'!$A$5:$A$1004,"&gt;="&amp;DATE($B$4,1,1),'Sales Log'!$A$5:$A$1004,"&lt;"&amp;DATE($B$4+1,1,1),'Sales Log'!$I$5:$I$1004,"&lt;&gt;Refunded",'Sales Log'!$I$5:$I$1004,"&lt;&gt;Cancelled",'Sales Log'!$B$5:$B$1004,$A77))</f>
        <v/>
      </c>
      <c r="C77" s="20" t="str">
        <f aca="false">IF($A77="","",SUMIFS('Sales Log'!$T$5:$T$1004,'Sales Log'!$A$5:$A$1004,"&gt;="&amp;DATE($B$4,1,1),'Sales Log'!$A$5:$A$1004,"&lt;"&amp;DATE($B$4+1,1,1),'Sales Log'!$I$5:$I$1004,"&lt;&gt;Refunded",'Sales Log'!$I$5:$I$1004,"&lt;&gt;Cancelled",'Sales Log'!$B$5:$B$1004,$A77))</f>
        <v/>
      </c>
      <c r="D77" s="21" t="str">
        <f aca="false">IF($A77="","",SUMIFS('Sales Log'!$J$5:$J$1004,'Sales Log'!$A$5:$A$1004,"&gt;="&amp;DATE($B$4,1,1),'Sales Log'!$A$5:$A$1004,"&lt;"&amp;DATE($B$4+1,1,1),'Sales Log'!$I$5:$I$1004,"&lt;&gt;Refunded",'Sales Log'!$I$5:$I$1004,"&lt;&gt;Cancelled",'Sales Log'!$B$5:$B$1004,$A77))</f>
        <v/>
      </c>
      <c r="E77" s="21" t="str">
        <f aca="false">IF($A77="","",SUMIFS('Sales Log'!$K$5:$K$1004,'Sales Log'!$A$5:$A$1004,"&gt;="&amp;DATE($B$4,1,1),'Sales Log'!$A$5:$A$1004,"&lt;"&amp;DATE($B$4+1,1,1),'Sales Log'!$I$5:$I$1004,"&lt;&gt;Refunded",'Sales Log'!$I$5:$I$1004,"&lt;&gt;Cancelled",'Sales Log'!$B$5:$B$1004,$A77))</f>
        <v/>
      </c>
      <c r="F77" s="21" t="str">
        <f aca="false">IF($A77="","",SUMIFS('Sales Log'!$M$5:$M$1004,'Sales Log'!$A$5:$A$1004,"&gt;="&amp;DATE($B$4,1,1),'Sales Log'!$A$5:$A$1004,"&lt;"&amp;DATE($B$4+1,1,1),'Sales Log'!$I$5:$I$1004,"&lt;&gt;Refunded",'Sales Log'!$I$5:$I$1004,"&lt;&gt;Cancelled",'Sales Log'!$B$5:$B$1004,$A77))</f>
        <v/>
      </c>
      <c r="G77" s="22" t="str">
        <f aca="false">IF(OR($A77="",N($D77)&lt;=0),"",$F77/$D77)</f>
        <v/>
      </c>
    </row>
    <row r="78" customFormat="false" ht="15" hidden="false" customHeight="false" outlineLevel="0" collapsed="false">
      <c r="A78" s="28" t="str">
        <f aca="false">IF(Products!$A$44="","",Products!$A$44)</f>
        <v/>
      </c>
      <c r="B78" s="20" t="str">
        <f aca="false">IF($A78="","",COUNTIFS('Sales Log'!$A$5:$A$1004,"&gt;="&amp;DATE($B$4,1,1),'Sales Log'!$A$5:$A$1004,"&lt;"&amp;DATE($B$4+1,1,1),'Sales Log'!$I$5:$I$1004,"&lt;&gt;Refunded",'Sales Log'!$I$5:$I$1004,"&lt;&gt;Cancelled",'Sales Log'!$B$5:$B$1004,$A78))</f>
        <v/>
      </c>
      <c r="C78" s="20" t="str">
        <f aca="false">IF($A78="","",SUMIFS('Sales Log'!$T$5:$T$1004,'Sales Log'!$A$5:$A$1004,"&gt;="&amp;DATE($B$4,1,1),'Sales Log'!$A$5:$A$1004,"&lt;"&amp;DATE($B$4+1,1,1),'Sales Log'!$I$5:$I$1004,"&lt;&gt;Refunded",'Sales Log'!$I$5:$I$1004,"&lt;&gt;Cancelled",'Sales Log'!$B$5:$B$1004,$A78))</f>
        <v/>
      </c>
      <c r="D78" s="21" t="str">
        <f aca="false">IF($A78="","",SUMIFS('Sales Log'!$J$5:$J$1004,'Sales Log'!$A$5:$A$1004,"&gt;="&amp;DATE($B$4,1,1),'Sales Log'!$A$5:$A$1004,"&lt;"&amp;DATE($B$4+1,1,1),'Sales Log'!$I$5:$I$1004,"&lt;&gt;Refunded",'Sales Log'!$I$5:$I$1004,"&lt;&gt;Cancelled",'Sales Log'!$B$5:$B$1004,$A78))</f>
        <v/>
      </c>
      <c r="E78" s="21" t="str">
        <f aca="false">IF($A78="","",SUMIFS('Sales Log'!$K$5:$K$1004,'Sales Log'!$A$5:$A$1004,"&gt;="&amp;DATE($B$4,1,1),'Sales Log'!$A$5:$A$1004,"&lt;"&amp;DATE($B$4+1,1,1),'Sales Log'!$I$5:$I$1004,"&lt;&gt;Refunded",'Sales Log'!$I$5:$I$1004,"&lt;&gt;Cancelled",'Sales Log'!$B$5:$B$1004,$A78))</f>
        <v/>
      </c>
      <c r="F78" s="21" t="str">
        <f aca="false">IF($A78="","",SUMIFS('Sales Log'!$M$5:$M$1004,'Sales Log'!$A$5:$A$1004,"&gt;="&amp;DATE($B$4,1,1),'Sales Log'!$A$5:$A$1004,"&lt;"&amp;DATE($B$4+1,1,1),'Sales Log'!$I$5:$I$1004,"&lt;&gt;Refunded",'Sales Log'!$I$5:$I$1004,"&lt;&gt;Cancelled",'Sales Log'!$B$5:$B$1004,$A78))</f>
        <v/>
      </c>
      <c r="G78" s="22" t="str">
        <f aca="false">IF(OR($A78="",N($D78)&lt;=0),"",$F78/$D78)</f>
        <v/>
      </c>
    </row>
    <row r="79" customFormat="false" ht="15" hidden="false" customHeight="false" outlineLevel="0" collapsed="false">
      <c r="A79" s="28" t="str">
        <f aca="false">IF(Products!$A$45="","",Products!$A$45)</f>
        <v/>
      </c>
      <c r="B79" s="20" t="str">
        <f aca="false">IF($A79="","",COUNTIFS('Sales Log'!$A$5:$A$1004,"&gt;="&amp;DATE($B$4,1,1),'Sales Log'!$A$5:$A$1004,"&lt;"&amp;DATE($B$4+1,1,1),'Sales Log'!$I$5:$I$1004,"&lt;&gt;Refunded",'Sales Log'!$I$5:$I$1004,"&lt;&gt;Cancelled",'Sales Log'!$B$5:$B$1004,$A79))</f>
        <v/>
      </c>
      <c r="C79" s="20" t="str">
        <f aca="false">IF($A79="","",SUMIFS('Sales Log'!$T$5:$T$1004,'Sales Log'!$A$5:$A$1004,"&gt;="&amp;DATE($B$4,1,1),'Sales Log'!$A$5:$A$1004,"&lt;"&amp;DATE($B$4+1,1,1),'Sales Log'!$I$5:$I$1004,"&lt;&gt;Refunded",'Sales Log'!$I$5:$I$1004,"&lt;&gt;Cancelled",'Sales Log'!$B$5:$B$1004,$A79))</f>
        <v/>
      </c>
      <c r="D79" s="21" t="str">
        <f aca="false">IF($A79="","",SUMIFS('Sales Log'!$J$5:$J$1004,'Sales Log'!$A$5:$A$1004,"&gt;="&amp;DATE($B$4,1,1),'Sales Log'!$A$5:$A$1004,"&lt;"&amp;DATE($B$4+1,1,1),'Sales Log'!$I$5:$I$1004,"&lt;&gt;Refunded",'Sales Log'!$I$5:$I$1004,"&lt;&gt;Cancelled",'Sales Log'!$B$5:$B$1004,$A79))</f>
        <v/>
      </c>
      <c r="E79" s="21" t="str">
        <f aca="false">IF($A79="","",SUMIFS('Sales Log'!$K$5:$K$1004,'Sales Log'!$A$5:$A$1004,"&gt;="&amp;DATE($B$4,1,1),'Sales Log'!$A$5:$A$1004,"&lt;"&amp;DATE($B$4+1,1,1),'Sales Log'!$I$5:$I$1004,"&lt;&gt;Refunded",'Sales Log'!$I$5:$I$1004,"&lt;&gt;Cancelled",'Sales Log'!$B$5:$B$1004,$A79))</f>
        <v/>
      </c>
      <c r="F79" s="21" t="str">
        <f aca="false">IF($A79="","",SUMIFS('Sales Log'!$M$5:$M$1004,'Sales Log'!$A$5:$A$1004,"&gt;="&amp;DATE($B$4,1,1),'Sales Log'!$A$5:$A$1004,"&lt;"&amp;DATE($B$4+1,1,1),'Sales Log'!$I$5:$I$1004,"&lt;&gt;Refunded",'Sales Log'!$I$5:$I$1004,"&lt;&gt;Cancelled",'Sales Log'!$B$5:$B$1004,$A79))</f>
        <v/>
      </c>
      <c r="G79" s="22" t="str">
        <f aca="false">IF(OR($A79="",N($D79)&lt;=0),"",$F79/$D79)</f>
        <v/>
      </c>
    </row>
    <row r="80" customFormat="false" ht="15" hidden="false" customHeight="false" outlineLevel="0" collapsed="false">
      <c r="A80" s="28" t="str">
        <f aca="false">IF(Products!$A$46="","",Products!$A$46)</f>
        <v/>
      </c>
      <c r="B80" s="20" t="str">
        <f aca="false">IF($A80="","",COUNTIFS('Sales Log'!$A$5:$A$1004,"&gt;="&amp;DATE($B$4,1,1),'Sales Log'!$A$5:$A$1004,"&lt;"&amp;DATE($B$4+1,1,1),'Sales Log'!$I$5:$I$1004,"&lt;&gt;Refunded",'Sales Log'!$I$5:$I$1004,"&lt;&gt;Cancelled",'Sales Log'!$B$5:$B$1004,$A80))</f>
        <v/>
      </c>
      <c r="C80" s="20" t="str">
        <f aca="false">IF($A80="","",SUMIFS('Sales Log'!$T$5:$T$1004,'Sales Log'!$A$5:$A$1004,"&gt;="&amp;DATE($B$4,1,1),'Sales Log'!$A$5:$A$1004,"&lt;"&amp;DATE($B$4+1,1,1),'Sales Log'!$I$5:$I$1004,"&lt;&gt;Refunded",'Sales Log'!$I$5:$I$1004,"&lt;&gt;Cancelled",'Sales Log'!$B$5:$B$1004,$A80))</f>
        <v/>
      </c>
      <c r="D80" s="21" t="str">
        <f aca="false">IF($A80="","",SUMIFS('Sales Log'!$J$5:$J$1004,'Sales Log'!$A$5:$A$1004,"&gt;="&amp;DATE($B$4,1,1),'Sales Log'!$A$5:$A$1004,"&lt;"&amp;DATE($B$4+1,1,1),'Sales Log'!$I$5:$I$1004,"&lt;&gt;Refunded",'Sales Log'!$I$5:$I$1004,"&lt;&gt;Cancelled",'Sales Log'!$B$5:$B$1004,$A80))</f>
        <v/>
      </c>
      <c r="E80" s="21" t="str">
        <f aca="false">IF($A80="","",SUMIFS('Sales Log'!$K$5:$K$1004,'Sales Log'!$A$5:$A$1004,"&gt;="&amp;DATE($B$4,1,1),'Sales Log'!$A$5:$A$1004,"&lt;"&amp;DATE($B$4+1,1,1),'Sales Log'!$I$5:$I$1004,"&lt;&gt;Refunded",'Sales Log'!$I$5:$I$1004,"&lt;&gt;Cancelled",'Sales Log'!$B$5:$B$1004,$A80))</f>
        <v/>
      </c>
      <c r="F80" s="21" t="str">
        <f aca="false">IF($A80="","",SUMIFS('Sales Log'!$M$5:$M$1004,'Sales Log'!$A$5:$A$1004,"&gt;="&amp;DATE($B$4,1,1),'Sales Log'!$A$5:$A$1004,"&lt;"&amp;DATE($B$4+1,1,1),'Sales Log'!$I$5:$I$1004,"&lt;&gt;Refunded",'Sales Log'!$I$5:$I$1004,"&lt;&gt;Cancelled",'Sales Log'!$B$5:$B$1004,$A80))</f>
        <v/>
      </c>
      <c r="G80" s="22" t="str">
        <f aca="false">IF(OR($A80="",N($D80)&lt;=0),"",$F80/$D80)</f>
        <v/>
      </c>
    </row>
    <row r="81" customFormat="false" ht="15" hidden="false" customHeight="false" outlineLevel="0" collapsed="false">
      <c r="A81" s="28" t="str">
        <f aca="false">IF(Products!$A$47="","",Products!$A$47)</f>
        <v/>
      </c>
      <c r="B81" s="20" t="str">
        <f aca="false">IF($A81="","",COUNTIFS('Sales Log'!$A$5:$A$1004,"&gt;="&amp;DATE($B$4,1,1),'Sales Log'!$A$5:$A$1004,"&lt;"&amp;DATE($B$4+1,1,1),'Sales Log'!$I$5:$I$1004,"&lt;&gt;Refunded",'Sales Log'!$I$5:$I$1004,"&lt;&gt;Cancelled",'Sales Log'!$B$5:$B$1004,$A81))</f>
        <v/>
      </c>
      <c r="C81" s="20" t="str">
        <f aca="false">IF($A81="","",SUMIFS('Sales Log'!$T$5:$T$1004,'Sales Log'!$A$5:$A$1004,"&gt;="&amp;DATE($B$4,1,1),'Sales Log'!$A$5:$A$1004,"&lt;"&amp;DATE($B$4+1,1,1),'Sales Log'!$I$5:$I$1004,"&lt;&gt;Refunded",'Sales Log'!$I$5:$I$1004,"&lt;&gt;Cancelled",'Sales Log'!$B$5:$B$1004,$A81))</f>
        <v/>
      </c>
      <c r="D81" s="21" t="str">
        <f aca="false">IF($A81="","",SUMIFS('Sales Log'!$J$5:$J$1004,'Sales Log'!$A$5:$A$1004,"&gt;="&amp;DATE($B$4,1,1),'Sales Log'!$A$5:$A$1004,"&lt;"&amp;DATE($B$4+1,1,1),'Sales Log'!$I$5:$I$1004,"&lt;&gt;Refunded",'Sales Log'!$I$5:$I$1004,"&lt;&gt;Cancelled",'Sales Log'!$B$5:$B$1004,$A81))</f>
        <v/>
      </c>
      <c r="E81" s="21" t="str">
        <f aca="false">IF($A81="","",SUMIFS('Sales Log'!$K$5:$K$1004,'Sales Log'!$A$5:$A$1004,"&gt;="&amp;DATE($B$4,1,1),'Sales Log'!$A$5:$A$1004,"&lt;"&amp;DATE($B$4+1,1,1),'Sales Log'!$I$5:$I$1004,"&lt;&gt;Refunded",'Sales Log'!$I$5:$I$1004,"&lt;&gt;Cancelled",'Sales Log'!$B$5:$B$1004,$A81))</f>
        <v/>
      </c>
      <c r="F81" s="21" t="str">
        <f aca="false">IF($A81="","",SUMIFS('Sales Log'!$M$5:$M$1004,'Sales Log'!$A$5:$A$1004,"&gt;="&amp;DATE($B$4,1,1),'Sales Log'!$A$5:$A$1004,"&lt;"&amp;DATE($B$4+1,1,1),'Sales Log'!$I$5:$I$1004,"&lt;&gt;Refunded",'Sales Log'!$I$5:$I$1004,"&lt;&gt;Cancelled",'Sales Log'!$B$5:$B$1004,$A81))</f>
        <v/>
      </c>
      <c r="G81" s="22" t="str">
        <f aca="false">IF(OR($A81="",N($D81)&lt;=0),"",$F81/$D81)</f>
        <v/>
      </c>
    </row>
    <row r="82" customFormat="false" ht="15" hidden="false" customHeight="false" outlineLevel="0" collapsed="false">
      <c r="A82" s="28" t="str">
        <f aca="false">IF(Products!$A$48="","",Products!$A$48)</f>
        <v/>
      </c>
      <c r="B82" s="20" t="str">
        <f aca="false">IF($A82="","",COUNTIFS('Sales Log'!$A$5:$A$1004,"&gt;="&amp;DATE($B$4,1,1),'Sales Log'!$A$5:$A$1004,"&lt;"&amp;DATE($B$4+1,1,1),'Sales Log'!$I$5:$I$1004,"&lt;&gt;Refunded",'Sales Log'!$I$5:$I$1004,"&lt;&gt;Cancelled",'Sales Log'!$B$5:$B$1004,$A82))</f>
        <v/>
      </c>
      <c r="C82" s="20" t="str">
        <f aca="false">IF($A82="","",SUMIFS('Sales Log'!$T$5:$T$1004,'Sales Log'!$A$5:$A$1004,"&gt;="&amp;DATE($B$4,1,1),'Sales Log'!$A$5:$A$1004,"&lt;"&amp;DATE($B$4+1,1,1),'Sales Log'!$I$5:$I$1004,"&lt;&gt;Refunded",'Sales Log'!$I$5:$I$1004,"&lt;&gt;Cancelled",'Sales Log'!$B$5:$B$1004,$A82))</f>
        <v/>
      </c>
      <c r="D82" s="21" t="str">
        <f aca="false">IF($A82="","",SUMIFS('Sales Log'!$J$5:$J$1004,'Sales Log'!$A$5:$A$1004,"&gt;="&amp;DATE($B$4,1,1),'Sales Log'!$A$5:$A$1004,"&lt;"&amp;DATE($B$4+1,1,1),'Sales Log'!$I$5:$I$1004,"&lt;&gt;Refunded",'Sales Log'!$I$5:$I$1004,"&lt;&gt;Cancelled",'Sales Log'!$B$5:$B$1004,$A82))</f>
        <v/>
      </c>
      <c r="E82" s="21" t="str">
        <f aca="false">IF($A82="","",SUMIFS('Sales Log'!$K$5:$K$1004,'Sales Log'!$A$5:$A$1004,"&gt;="&amp;DATE($B$4,1,1),'Sales Log'!$A$5:$A$1004,"&lt;"&amp;DATE($B$4+1,1,1),'Sales Log'!$I$5:$I$1004,"&lt;&gt;Refunded",'Sales Log'!$I$5:$I$1004,"&lt;&gt;Cancelled",'Sales Log'!$B$5:$B$1004,$A82))</f>
        <v/>
      </c>
      <c r="F82" s="21" t="str">
        <f aca="false">IF($A82="","",SUMIFS('Sales Log'!$M$5:$M$1004,'Sales Log'!$A$5:$A$1004,"&gt;="&amp;DATE($B$4,1,1),'Sales Log'!$A$5:$A$1004,"&lt;"&amp;DATE($B$4+1,1,1),'Sales Log'!$I$5:$I$1004,"&lt;&gt;Refunded",'Sales Log'!$I$5:$I$1004,"&lt;&gt;Cancelled",'Sales Log'!$B$5:$B$1004,$A82))</f>
        <v/>
      </c>
      <c r="G82" s="22" t="str">
        <f aca="false">IF(OR($A82="",N($D82)&lt;=0),"",$F82/$D82)</f>
        <v/>
      </c>
    </row>
    <row r="83" customFormat="false" ht="15" hidden="false" customHeight="false" outlineLevel="0" collapsed="false">
      <c r="A83" s="28" t="str">
        <f aca="false">IF(Products!$A$49="","",Products!$A$49)</f>
        <v/>
      </c>
      <c r="B83" s="20" t="str">
        <f aca="false">IF($A83="","",COUNTIFS('Sales Log'!$A$5:$A$1004,"&gt;="&amp;DATE($B$4,1,1),'Sales Log'!$A$5:$A$1004,"&lt;"&amp;DATE($B$4+1,1,1),'Sales Log'!$I$5:$I$1004,"&lt;&gt;Refunded",'Sales Log'!$I$5:$I$1004,"&lt;&gt;Cancelled",'Sales Log'!$B$5:$B$1004,$A83))</f>
        <v/>
      </c>
      <c r="C83" s="20" t="str">
        <f aca="false">IF($A83="","",SUMIFS('Sales Log'!$T$5:$T$1004,'Sales Log'!$A$5:$A$1004,"&gt;="&amp;DATE($B$4,1,1),'Sales Log'!$A$5:$A$1004,"&lt;"&amp;DATE($B$4+1,1,1),'Sales Log'!$I$5:$I$1004,"&lt;&gt;Refunded",'Sales Log'!$I$5:$I$1004,"&lt;&gt;Cancelled",'Sales Log'!$B$5:$B$1004,$A83))</f>
        <v/>
      </c>
      <c r="D83" s="21" t="str">
        <f aca="false">IF($A83="","",SUMIFS('Sales Log'!$J$5:$J$1004,'Sales Log'!$A$5:$A$1004,"&gt;="&amp;DATE($B$4,1,1),'Sales Log'!$A$5:$A$1004,"&lt;"&amp;DATE($B$4+1,1,1),'Sales Log'!$I$5:$I$1004,"&lt;&gt;Refunded",'Sales Log'!$I$5:$I$1004,"&lt;&gt;Cancelled",'Sales Log'!$B$5:$B$1004,$A83))</f>
        <v/>
      </c>
      <c r="E83" s="21" t="str">
        <f aca="false">IF($A83="","",SUMIFS('Sales Log'!$K$5:$K$1004,'Sales Log'!$A$5:$A$1004,"&gt;="&amp;DATE($B$4,1,1),'Sales Log'!$A$5:$A$1004,"&lt;"&amp;DATE($B$4+1,1,1),'Sales Log'!$I$5:$I$1004,"&lt;&gt;Refunded",'Sales Log'!$I$5:$I$1004,"&lt;&gt;Cancelled",'Sales Log'!$B$5:$B$1004,$A83))</f>
        <v/>
      </c>
      <c r="F83" s="21" t="str">
        <f aca="false">IF($A83="","",SUMIFS('Sales Log'!$M$5:$M$1004,'Sales Log'!$A$5:$A$1004,"&gt;="&amp;DATE($B$4,1,1),'Sales Log'!$A$5:$A$1004,"&lt;"&amp;DATE($B$4+1,1,1),'Sales Log'!$I$5:$I$1004,"&lt;&gt;Refunded",'Sales Log'!$I$5:$I$1004,"&lt;&gt;Cancelled",'Sales Log'!$B$5:$B$1004,$A83))</f>
        <v/>
      </c>
      <c r="G83" s="22" t="str">
        <f aca="false">IF(OR($A83="",N($D83)&lt;=0),"",$F83/$D83)</f>
        <v/>
      </c>
    </row>
    <row r="84" customFormat="false" ht="15" hidden="false" customHeight="false" outlineLevel="0" collapsed="false">
      <c r="A84" s="28" t="str">
        <f aca="false">IF(Products!$A$50="","",Products!$A$50)</f>
        <v/>
      </c>
      <c r="B84" s="20" t="str">
        <f aca="false">IF($A84="","",COUNTIFS('Sales Log'!$A$5:$A$1004,"&gt;="&amp;DATE($B$4,1,1),'Sales Log'!$A$5:$A$1004,"&lt;"&amp;DATE($B$4+1,1,1),'Sales Log'!$I$5:$I$1004,"&lt;&gt;Refunded",'Sales Log'!$I$5:$I$1004,"&lt;&gt;Cancelled",'Sales Log'!$B$5:$B$1004,$A84))</f>
        <v/>
      </c>
      <c r="C84" s="20" t="str">
        <f aca="false">IF($A84="","",SUMIFS('Sales Log'!$T$5:$T$1004,'Sales Log'!$A$5:$A$1004,"&gt;="&amp;DATE($B$4,1,1),'Sales Log'!$A$5:$A$1004,"&lt;"&amp;DATE($B$4+1,1,1),'Sales Log'!$I$5:$I$1004,"&lt;&gt;Refunded",'Sales Log'!$I$5:$I$1004,"&lt;&gt;Cancelled",'Sales Log'!$B$5:$B$1004,$A84))</f>
        <v/>
      </c>
      <c r="D84" s="21" t="str">
        <f aca="false">IF($A84="","",SUMIFS('Sales Log'!$J$5:$J$1004,'Sales Log'!$A$5:$A$1004,"&gt;="&amp;DATE($B$4,1,1),'Sales Log'!$A$5:$A$1004,"&lt;"&amp;DATE($B$4+1,1,1),'Sales Log'!$I$5:$I$1004,"&lt;&gt;Refunded",'Sales Log'!$I$5:$I$1004,"&lt;&gt;Cancelled",'Sales Log'!$B$5:$B$1004,$A84))</f>
        <v/>
      </c>
      <c r="E84" s="21" t="str">
        <f aca="false">IF($A84="","",SUMIFS('Sales Log'!$K$5:$K$1004,'Sales Log'!$A$5:$A$1004,"&gt;="&amp;DATE($B$4,1,1),'Sales Log'!$A$5:$A$1004,"&lt;"&amp;DATE($B$4+1,1,1),'Sales Log'!$I$5:$I$1004,"&lt;&gt;Refunded",'Sales Log'!$I$5:$I$1004,"&lt;&gt;Cancelled",'Sales Log'!$B$5:$B$1004,$A84))</f>
        <v/>
      </c>
      <c r="F84" s="21" t="str">
        <f aca="false">IF($A84="","",SUMIFS('Sales Log'!$M$5:$M$1004,'Sales Log'!$A$5:$A$1004,"&gt;="&amp;DATE($B$4,1,1),'Sales Log'!$A$5:$A$1004,"&lt;"&amp;DATE($B$4+1,1,1),'Sales Log'!$I$5:$I$1004,"&lt;&gt;Refunded",'Sales Log'!$I$5:$I$1004,"&lt;&gt;Cancelled",'Sales Log'!$B$5:$B$1004,$A84))</f>
        <v/>
      </c>
      <c r="G84" s="22" t="str">
        <f aca="false">IF(OR($A84="",N($D84)&lt;=0),"",$F84/$D84)</f>
        <v/>
      </c>
    </row>
    <row r="85" customFormat="false" ht="15" hidden="false" customHeight="false" outlineLevel="0" collapsed="false">
      <c r="A85" s="28" t="str">
        <f aca="false">IF(Products!$A$51="","",Products!$A$51)</f>
        <v/>
      </c>
      <c r="B85" s="20" t="str">
        <f aca="false">IF($A85="","",COUNTIFS('Sales Log'!$A$5:$A$1004,"&gt;="&amp;DATE($B$4,1,1),'Sales Log'!$A$5:$A$1004,"&lt;"&amp;DATE($B$4+1,1,1),'Sales Log'!$I$5:$I$1004,"&lt;&gt;Refunded",'Sales Log'!$I$5:$I$1004,"&lt;&gt;Cancelled",'Sales Log'!$B$5:$B$1004,$A85))</f>
        <v/>
      </c>
      <c r="C85" s="20" t="str">
        <f aca="false">IF($A85="","",SUMIFS('Sales Log'!$T$5:$T$1004,'Sales Log'!$A$5:$A$1004,"&gt;="&amp;DATE($B$4,1,1),'Sales Log'!$A$5:$A$1004,"&lt;"&amp;DATE($B$4+1,1,1),'Sales Log'!$I$5:$I$1004,"&lt;&gt;Refunded",'Sales Log'!$I$5:$I$1004,"&lt;&gt;Cancelled",'Sales Log'!$B$5:$B$1004,$A85))</f>
        <v/>
      </c>
      <c r="D85" s="21" t="str">
        <f aca="false">IF($A85="","",SUMIFS('Sales Log'!$J$5:$J$1004,'Sales Log'!$A$5:$A$1004,"&gt;="&amp;DATE($B$4,1,1),'Sales Log'!$A$5:$A$1004,"&lt;"&amp;DATE($B$4+1,1,1),'Sales Log'!$I$5:$I$1004,"&lt;&gt;Refunded",'Sales Log'!$I$5:$I$1004,"&lt;&gt;Cancelled",'Sales Log'!$B$5:$B$1004,$A85))</f>
        <v/>
      </c>
      <c r="E85" s="21" t="str">
        <f aca="false">IF($A85="","",SUMIFS('Sales Log'!$K$5:$K$1004,'Sales Log'!$A$5:$A$1004,"&gt;="&amp;DATE($B$4,1,1),'Sales Log'!$A$5:$A$1004,"&lt;"&amp;DATE($B$4+1,1,1),'Sales Log'!$I$5:$I$1004,"&lt;&gt;Refunded",'Sales Log'!$I$5:$I$1004,"&lt;&gt;Cancelled",'Sales Log'!$B$5:$B$1004,$A85))</f>
        <v/>
      </c>
      <c r="F85" s="21" t="str">
        <f aca="false">IF($A85="","",SUMIFS('Sales Log'!$M$5:$M$1004,'Sales Log'!$A$5:$A$1004,"&gt;="&amp;DATE($B$4,1,1),'Sales Log'!$A$5:$A$1004,"&lt;"&amp;DATE($B$4+1,1,1),'Sales Log'!$I$5:$I$1004,"&lt;&gt;Refunded",'Sales Log'!$I$5:$I$1004,"&lt;&gt;Cancelled",'Sales Log'!$B$5:$B$1004,$A85))</f>
        <v/>
      </c>
      <c r="G85" s="22" t="str">
        <f aca="false">IF(OR($A85="",N($D85)&lt;=0),"",$F85/$D85)</f>
        <v/>
      </c>
    </row>
    <row r="86" customFormat="false" ht="15" hidden="false" customHeight="false" outlineLevel="0" collapsed="false">
      <c r="A86" s="28" t="str">
        <f aca="false">IF(Products!$A$52="","",Products!$A$52)</f>
        <v/>
      </c>
      <c r="B86" s="20" t="str">
        <f aca="false">IF($A86="","",COUNTIFS('Sales Log'!$A$5:$A$1004,"&gt;="&amp;DATE($B$4,1,1),'Sales Log'!$A$5:$A$1004,"&lt;"&amp;DATE($B$4+1,1,1),'Sales Log'!$I$5:$I$1004,"&lt;&gt;Refunded",'Sales Log'!$I$5:$I$1004,"&lt;&gt;Cancelled",'Sales Log'!$B$5:$B$1004,$A86))</f>
        <v/>
      </c>
      <c r="C86" s="20" t="str">
        <f aca="false">IF($A86="","",SUMIFS('Sales Log'!$T$5:$T$1004,'Sales Log'!$A$5:$A$1004,"&gt;="&amp;DATE($B$4,1,1),'Sales Log'!$A$5:$A$1004,"&lt;"&amp;DATE($B$4+1,1,1),'Sales Log'!$I$5:$I$1004,"&lt;&gt;Refunded",'Sales Log'!$I$5:$I$1004,"&lt;&gt;Cancelled",'Sales Log'!$B$5:$B$1004,$A86))</f>
        <v/>
      </c>
      <c r="D86" s="21" t="str">
        <f aca="false">IF($A86="","",SUMIFS('Sales Log'!$J$5:$J$1004,'Sales Log'!$A$5:$A$1004,"&gt;="&amp;DATE($B$4,1,1),'Sales Log'!$A$5:$A$1004,"&lt;"&amp;DATE($B$4+1,1,1),'Sales Log'!$I$5:$I$1004,"&lt;&gt;Refunded",'Sales Log'!$I$5:$I$1004,"&lt;&gt;Cancelled",'Sales Log'!$B$5:$B$1004,$A86))</f>
        <v/>
      </c>
      <c r="E86" s="21" t="str">
        <f aca="false">IF($A86="","",SUMIFS('Sales Log'!$K$5:$K$1004,'Sales Log'!$A$5:$A$1004,"&gt;="&amp;DATE($B$4,1,1),'Sales Log'!$A$5:$A$1004,"&lt;"&amp;DATE($B$4+1,1,1),'Sales Log'!$I$5:$I$1004,"&lt;&gt;Refunded",'Sales Log'!$I$5:$I$1004,"&lt;&gt;Cancelled",'Sales Log'!$B$5:$B$1004,$A86))</f>
        <v/>
      </c>
      <c r="F86" s="21" t="str">
        <f aca="false">IF($A86="","",SUMIFS('Sales Log'!$M$5:$M$1004,'Sales Log'!$A$5:$A$1004,"&gt;="&amp;DATE($B$4,1,1),'Sales Log'!$A$5:$A$1004,"&lt;"&amp;DATE($B$4+1,1,1),'Sales Log'!$I$5:$I$1004,"&lt;&gt;Refunded",'Sales Log'!$I$5:$I$1004,"&lt;&gt;Cancelled",'Sales Log'!$B$5:$B$1004,$A86))</f>
        <v/>
      </c>
      <c r="G86" s="22" t="str">
        <f aca="false">IF(OR($A86="",N($D86)&lt;=0),"",$F86/$D86)</f>
        <v/>
      </c>
    </row>
    <row r="87" customFormat="false" ht="15" hidden="false" customHeight="false" outlineLevel="0" collapsed="false">
      <c r="A87" s="28" t="str">
        <f aca="false">IF(Products!$A$53="","",Products!$A$53)</f>
        <v/>
      </c>
      <c r="B87" s="20" t="str">
        <f aca="false">IF($A87="","",COUNTIFS('Sales Log'!$A$5:$A$1004,"&gt;="&amp;DATE($B$4,1,1),'Sales Log'!$A$5:$A$1004,"&lt;"&amp;DATE($B$4+1,1,1),'Sales Log'!$I$5:$I$1004,"&lt;&gt;Refunded",'Sales Log'!$I$5:$I$1004,"&lt;&gt;Cancelled",'Sales Log'!$B$5:$B$1004,$A87))</f>
        <v/>
      </c>
      <c r="C87" s="20" t="str">
        <f aca="false">IF($A87="","",SUMIFS('Sales Log'!$T$5:$T$1004,'Sales Log'!$A$5:$A$1004,"&gt;="&amp;DATE($B$4,1,1),'Sales Log'!$A$5:$A$1004,"&lt;"&amp;DATE($B$4+1,1,1),'Sales Log'!$I$5:$I$1004,"&lt;&gt;Refunded",'Sales Log'!$I$5:$I$1004,"&lt;&gt;Cancelled",'Sales Log'!$B$5:$B$1004,$A87))</f>
        <v/>
      </c>
      <c r="D87" s="21" t="str">
        <f aca="false">IF($A87="","",SUMIFS('Sales Log'!$J$5:$J$1004,'Sales Log'!$A$5:$A$1004,"&gt;="&amp;DATE($B$4,1,1),'Sales Log'!$A$5:$A$1004,"&lt;"&amp;DATE($B$4+1,1,1),'Sales Log'!$I$5:$I$1004,"&lt;&gt;Refunded",'Sales Log'!$I$5:$I$1004,"&lt;&gt;Cancelled",'Sales Log'!$B$5:$B$1004,$A87))</f>
        <v/>
      </c>
      <c r="E87" s="21" t="str">
        <f aca="false">IF($A87="","",SUMIFS('Sales Log'!$K$5:$K$1004,'Sales Log'!$A$5:$A$1004,"&gt;="&amp;DATE($B$4,1,1),'Sales Log'!$A$5:$A$1004,"&lt;"&amp;DATE($B$4+1,1,1),'Sales Log'!$I$5:$I$1004,"&lt;&gt;Refunded",'Sales Log'!$I$5:$I$1004,"&lt;&gt;Cancelled",'Sales Log'!$B$5:$B$1004,$A87))</f>
        <v/>
      </c>
      <c r="F87" s="21" t="str">
        <f aca="false">IF($A87="","",SUMIFS('Sales Log'!$M$5:$M$1004,'Sales Log'!$A$5:$A$1004,"&gt;="&amp;DATE($B$4,1,1),'Sales Log'!$A$5:$A$1004,"&lt;"&amp;DATE($B$4+1,1,1),'Sales Log'!$I$5:$I$1004,"&lt;&gt;Refunded",'Sales Log'!$I$5:$I$1004,"&lt;&gt;Cancelled",'Sales Log'!$B$5:$B$1004,$A87))</f>
        <v/>
      </c>
      <c r="G87" s="22" t="str">
        <f aca="false">IF(OR($A87="",N($D87)&lt;=0),"",$F87/$D87)</f>
        <v/>
      </c>
    </row>
    <row r="88" customFormat="false" ht="15" hidden="false" customHeight="false" outlineLevel="0" collapsed="false">
      <c r="A88" s="28" t="str">
        <f aca="false">IF(Products!$A$54="","",Products!$A$54)</f>
        <v/>
      </c>
      <c r="B88" s="20" t="str">
        <f aca="false">IF($A88="","",COUNTIFS('Sales Log'!$A$5:$A$1004,"&gt;="&amp;DATE($B$4,1,1),'Sales Log'!$A$5:$A$1004,"&lt;"&amp;DATE($B$4+1,1,1),'Sales Log'!$I$5:$I$1004,"&lt;&gt;Refunded",'Sales Log'!$I$5:$I$1004,"&lt;&gt;Cancelled",'Sales Log'!$B$5:$B$1004,$A88))</f>
        <v/>
      </c>
      <c r="C88" s="20" t="str">
        <f aca="false">IF($A88="","",SUMIFS('Sales Log'!$T$5:$T$1004,'Sales Log'!$A$5:$A$1004,"&gt;="&amp;DATE($B$4,1,1),'Sales Log'!$A$5:$A$1004,"&lt;"&amp;DATE($B$4+1,1,1),'Sales Log'!$I$5:$I$1004,"&lt;&gt;Refunded",'Sales Log'!$I$5:$I$1004,"&lt;&gt;Cancelled",'Sales Log'!$B$5:$B$1004,$A88))</f>
        <v/>
      </c>
      <c r="D88" s="21" t="str">
        <f aca="false">IF($A88="","",SUMIFS('Sales Log'!$J$5:$J$1004,'Sales Log'!$A$5:$A$1004,"&gt;="&amp;DATE($B$4,1,1),'Sales Log'!$A$5:$A$1004,"&lt;"&amp;DATE($B$4+1,1,1),'Sales Log'!$I$5:$I$1004,"&lt;&gt;Refunded",'Sales Log'!$I$5:$I$1004,"&lt;&gt;Cancelled",'Sales Log'!$B$5:$B$1004,$A88))</f>
        <v/>
      </c>
      <c r="E88" s="21" t="str">
        <f aca="false">IF($A88="","",SUMIFS('Sales Log'!$K$5:$K$1004,'Sales Log'!$A$5:$A$1004,"&gt;="&amp;DATE($B$4,1,1),'Sales Log'!$A$5:$A$1004,"&lt;"&amp;DATE($B$4+1,1,1),'Sales Log'!$I$5:$I$1004,"&lt;&gt;Refunded",'Sales Log'!$I$5:$I$1004,"&lt;&gt;Cancelled",'Sales Log'!$B$5:$B$1004,$A88))</f>
        <v/>
      </c>
      <c r="F88" s="21" t="str">
        <f aca="false">IF($A88="","",SUMIFS('Sales Log'!$M$5:$M$1004,'Sales Log'!$A$5:$A$1004,"&gt;="&amp;DATE($B$4,1,1),'Sales Log'!$A$5:$A$1004,"&lt;"&amp;DATE($B$4+1,1,1),'Sales Log'!$I$5:$I$1004,"&lt;&gt;Refunded",'Sales Log'!$I$5:$I$1004,"&lt;&gt;Cancelled",'Sales Log'!$B$5:$B$1004,$A88))</f>
        <v/>
      </c>
      <c r="G88" s="22" t="str">
        <f aca="false">IF(OR($A88="",N($D88)&lt;=0),"",$F88/$D88)</f>
        <v/>
      </c>
    </row>
  </sheetData>
  <dataValidations count="1">
    <dataValidation allowBlank="false" errorStyle="stop" operator="between" showDropDown="false" showErrorMessage="false" showInputMessage="false" sqref="B4" type="whole">
      <formula1>2000</formula1>
      <formula2>2100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4" customFormat="false" ht="31.5" hidden="false" customHeight="true" outlineLevel="0" collapsed="false">
      <c r="A4" s="3" t="s">
        <v>4</v>
      </c>
      <c r="B4" s="3" t="s">
        <v>58</v>
      </c>
      <c r="C4" s="3" t="s">
        <v>59</v>
      </c>
      <c r="D4" s="3" t="s">
        <v>60</v>
      </c>
      <c r="E4" s="3" t="s">
        <v>21</v>
      </c>
    </row>
    <row r="5" customFormat="false" ht="15" hidden="false" customHeight="false" outlineLevel="0" collapsed="false">
      <c r="A5" s="8" t="s">
        <v>23</v>
      </c>
      <c r="B5" s="12" t="s">
        <v>61</v>
      </c>
      <c r="C5" s="11" t="n">
        <v>50</v>
      </c>
      <c r="D5" s="10" t="n">
        <v>12.3</v>
      </c>
      <c r="E5" s="12" t="s">
        <v>62</v>
      </c>
    </row>
    <row r="6" customFormat="false" ht="15" hidden="false" customHeight="false" outlineLevel="0" collapsed="false">
      <c r="A6" s="8" t="s">
        <v>31</v>
      </c>
      <c r="B6" s="12" t="s">
        <v>63</v>
      </c>
      <c r="C6" s="11" t="n">
        <v>153</v>
      </c>
      <c r="D6" s="10" t="n">
        <v>21.81</v>
      </c>
      <c r="E6" s="12" t="s">
        <v>64</v>
      </c>
    </row>
    <row r="7" customFormat="false" ht="15" hidden="false" customHeight="false" outlineLevel="0" collapsed="false">
      <c r="A7" s="8" t="s">
        <v>28</v>
      </c>
      <c r="B7" s="12" t="s">
        <v>61</v>
      </c>
      <c r="C7" s="11" t="n">
        <v>11</v>
      </c>
      <c r="D7" s="10" t="n">
        <v>1.25</v>
      </c>
      <c r="E7" s="12" t="s">
        <v>65</v>
      </c>
    </row>
    <row r="8" customFormat="false" ht="15" hidden="false" customHeight="false" outlineLevel="0" collapsed="false">
      <c r="A8" s="8" t="s">
        <v>35</v>
      </c>
      <c r="B8" s="12" t="s">
        <v>61</v>
      </c>
      <c r="C8" s="11" t="n">
        <v>45</v>
      </c>
      <c r="D8" s="10" t="n">
        <v>13.34</v>
      </c>
      <c r="E8" s="12" t="s">
        <v>66</v>
      </c>
    </row>
    <row r="9" customFormat="false" ht="15" hidden="false" customHeight="false" outlineLevel="0" collapsed="false">
      <c r="A9" s="8"/>
      <c r="B9" s="12"/>
      <c r="C9" s="11"/>
      <c r="D9" s="10"/>
      <c r="E9" s="12"/>
    </row>
    <row r="10" customFormat="false" ht="15" hidden="false" customHeight="false" outlineLevel="0" collapsed="false">
      <c r="A10" s="8"/>
      <c r="B10" s="12"/>
      <c r="C10" s="11"/>
      <c r="D10" s="10"/>
      <c r="E10" s="12"/>
    </row>
    <row r="11" customFormat="false" ht="15" hidden="false" customHeight="false" outlineLevel="0" collapsed="false">
      <c r="A11" s="8"/>
      <c r="B11" s="12"/>
      <c r="C11" s="11"/>
      <c r="D11" s="10"/>
      <c r="E11" s="12"/>
    </row>
    <row r="12" customFormat="false" ht="15" hidden="false" customHeight="false" outlineLevel="0" collapsed="false">
      <c r="A12" s="8"/>
      <c r="B12" s="12"/>
      <c r="C12" s="11"/>
      <c r="D12" s="10"/>
      <c r="E12" s="12"/>
    </row>
    <row r="13" customFormat="false" ht="15" hidden="false" customHeight="false" outlineLevel="0" collapsed="false">
      <c r="A13" s="8"/>
      <c r="B13" s="12"/>
      <c r="C13" s="11"/>
      <c r="D13" s="10"/>
      <c r="E13" s="12"/>
    </row>
    <row r="14" customFormat="false" ht="15" hidden="false" customHeight="false" outlineLevel="0" collapsed="false">
      <c r="A14" s="8"/>
      <c r="B14" s="12"/>
      <c r="C14" s="11"/>
      <c r="D14" s="10"/>
      <c r="E14" s="12"/>
    </row>
    <row r="15" customFormat="false" ht="15" hidden="false" customHeight="false" outlineLevel="0" collapsed="false">
      <c r="A15" s="8"/>
      <c r="B15" s="12"/>
      <c r="C15" s="11"/>
      <c r="D15" s="10"/>
      <c r="E15" s="12"/>
    </row>
    <row r="16" customFormat="false" ht="15" hidden="false" customHeight="false" outlineLevel="0" collapsed="false">
      <c r="A16" s="8"/>
      <c r="B16" s="12"/>
      <c r="C16" s="11"/>
      <c r="D16" s="10"/>
      <c r="E16" s="12"/>
    </row>
    <row r="17" customFormat="false" ht="15" hidden="false" customHeight="false" outlineLevel="0" collapsed="false">
      <c r="A17" s="8"/>
      <c r="B17" s="12"/>
      <c r="C17" s="11"/>
      <c r="D17" s="10"/>
      <c r="E17" s="12"/>
    </row>
    <row r="18" customFormat="false" ht="15" hidden="false" customHeight="false" outlineLevel="0" collapsed="false">
      <c r="A18" s="8"/>
      <c r="B18" s="12"/>
      <c r="C18" s="11"/>
      <c r="D18" s="10"/>
      <c r="E18" s="12"/>
    </row>
    <row r="19" customFormat="false" ht="15" hidden="false" customHeight="false" outlineLevel="0" collapsed="false">
      <c r="A19" s="8"/>
      <c r="B19" s="12"/>
      <c r="C19" s="11"/>
      <c r="D19" s="10"/>
      <c r="E19" s="12"/>
    </row>
    <row r="20" customFormat="false" ht="15" hidden="false" customHeight="false" outlineLevel="0" collapsed="false">
      <c r="A20" s="8"/>
      <c r="B20" s="12"/>
      <c r="C20" s="11"/>
      <c r="D20" s="10"/>
      <c r="E20" s="12"/>
    </row>
    <row r="21" customFormat="false" ht="15" hidden="false" customHeight="false" outlineLevel="0" collapsed="false">
      <c r="A21" s="8"/>
      <c r="B21" s="12"/>
      <c r="C21" s="11"/>
      <c r="D21" s="10"/>
      <c r="E21" s="12"/>
    </row>
    <row r="22" customFormat="false" ht="15" hidden="false" customHeight="false" outlineLevel="0" collapsed="false">
      <c r="A22" s="8"/>
      <c r="B22" s="12"/>
      <c r="C22" s="11"/>
      <c r="D22" s="10"/>
      <c r="E22" s="12"/>
    </row>
    <row r="23" customFormat="false" ht="15" hidden="false" customHeight="false" outlineLevel="0" collapsed="false">
      <c r="A23" s="8"/>
      <c r="B23" s="12"/>
      <c r="C23" s="11"/>
      <c r="D23" s="10"/>
      <c r="E23" s="12"/>
    </row>
    <row r="24" customFormat="false" ht="15" hidden="false" customHeight="false" outlineLevel="0" collapsed="false">
      <c r="A24" s="8"/>
      <c r="B24" s="12"/>
      <c r="C24" s="11"/>
      <c r="D24" s="10"/>
      <c r="E24" s="12"/>
    </row>
    <row r="25" customFormat="false" ht="15" hidden="false" customHeight="false" outlineLevel="0" collapsed="false">
      <c r="A25" s="8"/>
      <c r="B25" s="12"/>
      <c r="C25" s="11"/>
      <c r="D25" s="10"/>
      <c r="E25" s="12"/>
    </row>
    <row r="26" customFormat="false" ht="15" hidden="false" customHeight="false" outlineLevel="0" collapsed="false">
      <c r="A26" s="8"/>
      <c r="B26" s="12"/>
      <c r="C26" s="11"/>
      <c r="D26" s="10"/>
      <c r="E26" s="12"/>
    </row>
    <row r="27" customFormat="false" ht="15" hidden="false" customHeight="false" outlineLevel="0" collapsed="false">
      <c r="A27" s="8"/>
      <c r="B27" s="12"/>
      <c r="C27" s="11"/>
      <c r="D27" s="10"/>
      <c r="E27" s="12"/>
    </row>
    <row r="28" customFormat="false" ht="15" hidden="false" customHeight="false" outlineLevel="0" collapsed="false">
      <c r="A28" s="8"/>
      <c r="B28" s="12"/>
      <c r="C28" s="11"/>
      <c r="D28" s="10"/>
      <c r="E28" s="12"/>
    </row>
    <row r="29" customFormat="false" ht="15" hidden="false" customHeight="false" outlineLevel="0" collapsed="false">
      <c r="A29" s="8"/>
      <c r="B29" s="12"/>
      <c r="C29" s="11"/>
      <c r="D29" s="10"/>
      <c r="E29" s="12"/>
    </row>
    <row r="30" customFormat="false" ht="15" hidden="false" customHeight="false" outlineLevel="0" collapsed="false">
      <c r="A30" s="8"/>
      <c r="B30" s="12"/>
      <c r="C30" s="11"/>
      <c r="D30" s="10"/>
      <c r="E30" s="12"/>
    </row>
    <row r="31" customFormat="false" ht="15" hidden="false" customHeight="false" outlineLevel="0" collapsed="false">
      <c r="A31" s="8"/>
      <c r="B31" s="12"/>
      <c r="C31" s="11"/>
      <c r="D31" s="10"/>
      <c r="E31" s="12"/>
    </row>
    <row r="32" customFormat="false" ht="15" hidden="false" customHeight="false" outlineLevel="0" collapsed="false">
      <c r="A32" s="8"/>
      <c r="B32" s="12"/>
      <c r="C32" s="11"/>
      <c r="D32" s="10"/>
      <c r="E32" s="12"/>
    </row>
    <row r="33" customFormat="false" ht="15" hidden="false" customHeight="false" outlineLevel="0" collapsed="false">
      <c r="A33" s="8"/>
      <c r="B33" s="12"/>
      <c r="C33" s="11"/>
      <c r="D33" s="10"/>
      <c r="E33" s="12"/>
    </row>
    <row r="34" customFormat="false" ht="15" hidden="false" customHeight="false" outlineLevel="0" collapsed="false">
      <c r="A34" s="8"/>
      <c r="B34" s="12"/>
      <c r="C34" s="11"/>
      <c r="D34" s="10"/>
      <c r="E34" s="12"/>
    </row>
    <row r="35" customFormat="false" ht="15" hidden="false" customHeight="false" outlineLevel="0" collapsed="false">
      <c r="A35" s="8"/>
      <c r="B35" s="12"/>
      <c r="C35" s="11"/>
      <c r="D35" s="10"/>
      <c r="E35" s="12"/>
    </row>
    <row r="36" customFormat="false" ht="15" hidden="false" customHeight="false" outlineLevel="0" collapsed="false">
      <c r="A36" s="8"/>
      <c r="B36" s="12"/>
      <c r="C36" s="11"/>
      <c r="D36" s="10"/>
      <c r="E36" s="12"/>
    </row>
    <row r="37" customFormat="false" ht="15" hidden="false" customHeight="false" outlineLevel="0" collapsed="false">
      <c r="A37" s="8"/>
      <c r="B37" s="12"/>
      <c r="C37" s="11"/>
      <c r="D37" s="10"/>
      <c r="E37" s="12"/>
    </row>
    <row r="38" customFormat="false" ht="15" hidden="false" customHeight="false" outlineLevel="0" collapsed="false">
      <c r="A38" s="8"/>
      <c r="B38" s="12"/>
      <c r="C38" s="11"/>
      <c r="D38" s="10"/>
      <c r="E38" s="12"/>
    </row>
    <row r="39" customFormat="false" ht="15" hidden="false" customHeight="false" outlineLevel="0" collapsed="false">
      <c r="A39" s="8"/>
      <c r="B39" s="12"/>
      <c r="C39" s="11"/>
      <c r="D39" s="10"/>
      <c r="E39" s="12"/>
    </row>
    <row r="40" customFormat="false" ht="15" hidden="false" customHeight="false" outlineLevel="0" collapsed="false">
      <c r="A40" s="8"/>
      <c r="B40" s="12"/>
      <c r="C40" s="11"/>
      <c r="D40" s="10"/>
      <c r="E40" s="12"/>
    </row>
    <row r="41" customFormat="false" ht="15" hidden="false" customHeight="false" outlineLevel="0" collapsed="false">
      <c r="A41" s="8"/>
      <c r="B41" s="12"/>
      <c r="C41" s="11"/>
      <c r="D41" s="10"/>
      <c r="E41" s="12"/>
    </row>
    <row r="42" customFormat="false" ht="15" hidden="false" customHeight="false" outlineLevel="0" collapsed="false">
      <c r="A42" s="8"/>
      <c r="B42" s="12"/>
      <c r="C42" s="11"/>
      <c r="D42" s="10"/>
      <c r="E42" s="12"/>
    </row>
    <row r="43" customFormat="false" ht="15" hidden="false" customHeight="false" outlineLevel="0" collapsed="false">
      <c r="A43" s="8"/>
      <c r="B43" s="12"/>
      <c r="C43" s="11"/>
      <c r="D43" s="10"/>
      <c r="E43" s="12"/>
    </row>
    <row r="44" customFormat="false" ht="15" hidden="false" customHeight="false" outlineLevel="0" collapsed="false">
      <c r="A44" s="8"/>
      <c r="B44" s="12"/>
      <c r="C44" s="11"/>
      <c r="D44" s="10"/>
      <c r="E44" s="12"/>
    </row>
    <row r="45" customFormat="false" ht="15" hidden="false" customHeight="false" outlineLevel="0" collapsed="false">
      <c r="A45" s="8"/>
      <c r="B45" s="12"/>
      <c r="C45" s="11"/>
      <c r="D45" s="10"/>
      <c r="E45" s="12"/>
    </row>
    <row r="46" customFormat="false" ht="15" hidden="false" customHeight="false" outlineLevel="0" collapsed="false">
      <c r="A46" s="8"/>
      <c r="B46" s="12"/>
      <c r="C46" s="11"/>
      <c r="D46" s="10"/>
      <c r="E46" s="12"/>
    </row>
    <row r="47" customFormat="false" ht="15" hidden="false" customHeight="false" outlineLevel="0" collapsed="false">
      <c r="A47" s="8"/>
      <c r="B47" s="12"/>
      <c r="C47" s="11"/>
      <c r="D47" s="10"/>
      <c r="E47" s="12"/>
    </row>
    <row r="48" customFormat="false" ht="15" hidden="false" customHeight="false" outlineLevel="0" collapsed="false">
      <c r="A48" s="8"/>
      <c r="B48" s="12"/>
      <c r="C48" s="11"/>
      <c r="D48" s="10"/>
      <c r="E48" s="12"/>
    </row>
    <row r="49" customFormat="false" ht="15" hidden="false" customHeight="false" outlineLevel="0" collapsed="false">
      <c r="A49" s="8"/>
      <c r="B49" s="12"/>
      <c r="C49" s="11"/>
      <c r="D49" s="10"/>
      <c r="E49" s="12"/>
    </row>
    <row r="50" customFormat="false" ht="15" hidden="false" customHeight="false" outlineLevel="0" collapsed="false">
      <c r="A50" s="8"/>
      <c r="B50" s="12"/>
      <c r="C50" s="11"/>
      <c r="D50" s="10"/>
      <c r="E50" s="12"/>
    </row>
    <row r="51" customFormat="false" ht="15" hidden="false" customHeight="false" outlineLevel="0" collapsed="false">
      <c r="A51" s="8"/>
      <c r="B51" s="12"/>
      <c r="C51" s="11"/>
      <c r="D51" s="10"/>
      <c r="E51" s="12"/>
    </row>
    <row r="52" customFormat="false" ht="15" hidden="false" customHeight="false" outlineLevel="0" collapsed="false">
      <c r="A52" s="8"/>
      <c r="B52" s="12"/>
      <c r="C52" s="11"/>
      <c r="D52" s="10"/>
      <c r="E52" s="12"/>
    </row>
    <row r="53" customFormat="false" ht="15" hidden="false" customHeight="false" outlineLevel="0" collapsed="false">
      <c r="A53" s="8"/>
      <c r="B53" s="12"/>
      <c r="C53" s="11"/>
      <c r="D53" s="10"/>
      <c r="E53" s="12"/>
    </row>
    <row r="54" customFormat="false" ht="15" hidden="false" customHeight="false" outlineLevel="0" collapsed="false">
      <c r="A54" s="8"/>
      <c r="B54" s="12"/>
      <c r="C54" s="11"/>
      <c r="D54" s="10"/>
      <c r="E54" s="12"/>
    </row>
  </sheetData>
  <dataValidations count="1">
    <dataValidation allowBlank="true" errorStyle="stop" operator="between" showDropDown="false" showErrorMessage="false" showInputMessage="false" sqref="B5:B54" type="list">
      <formula1>"Single color,Multicolor,Painted"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95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3" customFormat="false" ht="15" hidden="false" customHeight="false" outlineLevel="0" collapsed="false">
      <c r="A3" s="2" t="s">
        <v>69</v>
      </c>
    </row>
    <row r="5" customFormat="false" ht="31.5" hidden="false" customHeight="true" outlineLevel="0" collapsed="false">
      <c r="A5" s="3" t="s">
        <v>9</v>
      </c>
      <c r="B5" s="3" t="s">
        <v>70</v>
      </c>
      <c r="C5" s="3" t="s">
        <v>71</v>
      </c>
      <c r="D5" s="3" t="s">
        <v>72</v>
      </c>
      <c r="E5" s="3" t="s">
        <v>73</v>
      </c>
    </row>
    <row r="6" customFormat="false" ht="23.85" hidden="false" customHeight="false" outlineLevel="0" collapsed="false">
      <c r="A6" s="29" t="s">
        <v>24</v>
      </c>
      <c r="B6" s="30" t="n">
        <v>0.095</v>
      </c>
      <c r="C6" s="31" t="n">
        <v>0.45</v>
      </c>
      <c r="D6" s="31" t="n">
        <v>0</v>
      </c>
      <c r="E6" s="32" t="s">
        <v>74</v>
      </c>
    </row>
    <row r="7" customFormat="false" ht="23.85" hidden="false" customHeight="false" outlineLevel="0" collapsed="false">
      <c r="A7" s="29" t="s">
        <v>75</v>
      </c>
      <c r="B7" s="30" t="n">
        <v>0.1</v>
      </c>
      <c r="C7" s="31" t="n">
        <v>0</v>
      </c>
      <c r="D7" s="31" t="n">
        <v>0.8</v>
      </c>
      <c r="E7" s="32" t="s">
        <v>76</v>
      </c>
    </row>
    <row r="8" customFormat="false" ht="23.85" hidden="false" customHeight="false" outlineLevel="0" collapsed="false">
      <c r="A8" s="29" t="s">
        <v>77</v>
      </c>
      <c r="B8" s="30" t="n">
        <v>0.136</v>
      </c>
      <c r="C8" s="31" t="n">
        <v>0.4</v>
      </c>
      <c r="D8" s="31" t="n">
        <v>0</v>
      </c>
      <c r="E8" s="32" t="s">
        <v>78</v>
      </c>
    </row>
    <row r="9" customFormat="false" ht="15" hidden="false" customHeight="false" outlineLevel="0" collapsed="false">
      <c r="A9" s="29" t="s">
        <v>29</v>
      </c>
      <c r="B9" s="30" t="n">
        <v>0</v>
      </c>
      <c r="C9" s="31" t="n">
        <v>0</v>
      </c>
      <c r="D9" s="31" t="n">
        <v>0</v>
      </c>
      <c r="E9" s="32" t="s">
        <v>79</v>
      </c>
    </row>
    <row r="10" customFormat="false" ht="15" hidden="false" customHeight="false" outlineLevel="0" collapsed="false">
      <c r="A10" s="29" t="s">
        <v>80</v>
      </c>
      <c r="B10" s="30" t="n">
        <v>0</v>
      </c>
      <c r="C10" s="31" t="n">
        <v>0</v>
      </c>
      <c r="D10" s="31" t="n">
        <v>0</v>
      </c>
      <c r="E10" s="32"/>
    </row>
    <row r="11" customFormat="false" ht="15" hidden="false" customHeight="false" outlineLevel="0" collapsed="false">
      <c r="A11" s="29"/>
      <c r="B11" s="30"/>
      <c r="C11" s="31"/>
      <c r="D11" s="31"/>
      <c r="E11" s="32"/>
    </row>
    <row r="12" customFormat="false" ht="15" hidden="false" customHeight="false" outlineLevel="0" collapsed="false">
      <c r="A12" s="29"/>
      <c r="B12" s="30"/>
      <c r="C12" s="31"/>
      <c r="D12" s="31"/>
      <c r="E12" s="32"/>
    </row>
    <row r="13" customFormat="false" ht="15" hidden="false" customHeight="false" outlineLevel="0" collapsed="false">
      <c r="A13" s="29"/>
      <c r="B13" s="30"/>
      <c r="C13" s="31"/>
      <c r="D13" s="31"/>
      <c r="E13" s="32"/>
    </row>
    <row r="14" customFormat="false" ht="15" hidden="false" customHeight="false" outlineLevel="0" collapsed="false">
      <c r="A14" s="29"/>
      <c r="B14" s="30"/>
      <c r="C14" s="31"/>
      <c r="D14" s="31"/>
      <c r="E14" s="32"/>
    </row>
    <row r="15" customFormat="false" ht="15" hidden="false" customHeight="false" outlineLevel="0" collapsed="false">
      <c r="A15" s="29"/>
      <c r="B15" s="30"/>
      <c r="C15" s="31"/>
      <c r="D15" s="31"/>
      <c r="E15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33" t="s">
        <v>81</v>
      </c>
    </row>
    <row r="2" customFormat="false" ht="15" hidden="false" customHeight="false" outlineLevel="0" collapsed="false">
      <c r="A2" s="34"/>
    </row>
    <row r="3" customFormat="false" ht="23.85" hidden="false" customHeight="false" outlineLevel="0" collapsed="false">
      <c r="A3" s="34" t="s">
        <v>82</v>
      </c>
    </row>
    <row r="4" customFormat="false" ht="15" hidden="false" customHeight="false" outlineLevel="0" collapsed="false">
      <c r="A4" s="34" t="s">
        <v>83</v>
      </c>
    </row>
    <row r="5" customFormat="false" ht="23.85" hidden="false" customHeight="false" outlineLevel="0" collapsed="false">
      <c r="A5" s="34" t="s">
        <v>84</v>
      </c>
    </row>
    <row r="6" customFormat="false" ht="23.85" hidden="false" customHeight="false" outlineLevel="0" collapsed="false">
      <c r="A6" s="34" t="s">
        <v>85</v>
      </c>
    </row>
    <row r="7" customFormat="false" ht="15" hidden="false" customHeight="false" outlineLevel="0" collapsed="false">
      <c r="A7" s="34" t="s">
        <v>86</v>
      </c>
    </row>
    <row r="8" customFormat="false" ht="15" hidden="false" customHeight="false" outlineLevel="0" collapsed="false">
      <c r="A8" s="34" t="s">
        <v>87</v>
      </c>
    </row>
    <row r="9" customFormat="false" ht="15" hidden="false" customHeight="false" outlineLevel="0" collapsed="false">
      <c r="A9" s="34"/>
    </row>
    <row r="10" customFormat="false" ht="15" hidden="false" customHeight="false" outlineLevel="0" collapsed="false">
      <c r="A10" s="35" t="s">
        <v>88</v>
      </c>
    </row>
    <row r="11" customFormat="false" ht="15" hidden="false" customHeight="false" outlineLevel="0" collapsed="false">
      <c r="A11" s="34" t="s">
        <v>89</v>
      </c>
    </row>
    <row r="12" customFormat="false" ht="15" hidden="false" customHeight="false" outlineLevel="0" collapsed="false">
      <c r="A12" s="34" t="s">
        <v>90</v>
      </c>
    </row>
    <row r="13" customFormat="false" ht="15" hidden="false" customHeight="false" outlineLevel="0" collapsed="false">
      <c r="A13" s="34" t="s">
        <v>91</v>
      </c>
    </row>
    <row r="14" customFormat="false" ht="15" hidden="false" customHeight="false" outlineLevel="0" collapsed="false">
      <c r="A14" s="34" t="s">
        <v>92</v>
      </c>
    </row>
    <row r="15" customFormat="false" ht="15" hidden="false" customHeight="false" outlineLevel="0" collapsed="false">
      <c r="A15" s="34"/>
    </row>
    <row r="16" customFormat="false" ht="15" hidden="false" customHeight="false" outlineLevel="0" collapsed="false">
      <c r="A16" s="35" t="s">
        <v>93</v>
      </c>
    </row>
    <row r="17" customFormat="false" ht="23.85" hidden="false" customHeight="false" outlineLevel="0" collapsed="false">
      <c r="A17" s="34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2026-10-06T15:37:39Z</dcterms:created>
  <dc:creator>openpyxl</dc:creator>
  <dc:description/>
  <dc:language>en-US</dc:language>
  <cp:lastModifiedBy/>
  <dcterms:modified xsi:type="dcterms:W3CDTF">2026-10-06T15:37:40Z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