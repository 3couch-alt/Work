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Calculator" sheetId="1" state="visible" r:id="rId3"/>
    <sheet name="Settings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Any name that helps you tell masks apart.</t>
        </r>
      </text>
    </comment>
    <comment ref="A5" authorId="0">
      <text>
        <r>
          <rPr>
            <sz val="10"/>
            <rFont val="Arial"/>
            <family val="2"/>
          </rPr>
          <t xml:space="preserve">Example values - type over these rows with your own masks.</t>
        </r>
      </text>
    </comment>
    <comment ref="B4" authorId="0">
      <text>
        <r>
          <rPr>
            <sz val="10"/>
            <rFont val="Arial"/>
            <family val="2"/>
          </rPr>
          <t xml:space="preserve">Pick from the dropdown: Unpainted, Multicolor or Painted.</t>
        </r>
      </text>
    </comment>
    <comment ref="C4" authorId="0">
      <text>
        <r>
          <rPr>
            <sz val="10"/>
            <rFont val="Arial"/>
            <family val="2"/>
          </rPr>
          <t xml:space="preserve">Total grams from Bambu Studio after slicing. For multicolor, include flushed/purged filament.</t>
        </r>
      </text>
    </comment>
    <comment ref="D4" authorId="0">
      <text>
        <r>
          <rPr>
            <sz val="10"/>
            <rFont val="Arial"/>
            <family val="2"/>
          </rPr>
          <t xml:space="preserve">Print time from Bambu Studio, in hours (e.g. 8.5).</t>
        </r>
      </text>
    </comment>
    <comment ref="E4" authorId="0">
      <text>
        <r>
          <rPr>
            <sz val="10"/>
            <rFont val="Arial"/>
            <family val="2"/>
          </rPr>
          <t xml:space="preserve">Your hands-on painting time. Leave blank or 0 for unpainted masks.</t>
        </r>
      </text>
    </comment>
    <comment ref="F4" authorId="0">
      <text>
        <r>
          <rPr>
            <sz val="10"/>
            <rFont val="Arial"/>
            <family val="2"/>
          </rPr>
          <t xml:space="preserve">Filament (g) x filament cost per gram.</t>
        </r>
      </text>
    </comment>
    <comment ref="G4" authorId="0">
      <text>
        <r>
          <rPr>
            <sz val="10"/>
            <rFont val="Arial"/>
            <family val="2"/>
          </rPr>
          <t xml:space="preserve">Print hours x machine rate.</t>
        </r>
      </text>
    </comment>
    <comment ref="H4" authorId="0">
      <text>
        <r>
          <rPr>
            <sz val="10"/>
            <rFont val="Arial"/>
            <family val="2"/>
          </rPr>
          <t xml:space="preserve">(Material + machine time) x failure buffer %.</t>
        </r>
      </text>
    </comment>
    <comment ref="I4" authorId="0">
      <text>
        <r>
          <rPr>
            <sz val="10"/>
            <rFont val="Arial"/>
            <family val="2"/>
          </rPr>
          <t xml:space="preserve">Cleanup minutes / 60 x your labor rate.</t>
        </r>
      </text>
    </comment>
    <comment ref="J4" authorId="0">
      <text>
        <r>
          <rPr>
            <sz val="10"/>
            <rFont val="Arial"/>
            <family val="2"/>
          </rPr>
          <t xml:space="preserve">Painting hours x your labor rate, plus paint supplies for 'Painted' masks.</t>
        </r>
      </text>
    </comment>
    <comment ref="K4" authorId="0">
      <text>
        <r>
          <rPr>
            <sz val="10"/>
            <rFont val="Arial"/>
            <family val="2"/>
          </rPr>
          <t xml:space="preserve">Strap/eye mesh + packaging from Settings.</t>
        </r>
      </text>
    </comment>
    <comment ref="L4" authorId="0">
      <text>
        <r>
          <rPr>
            <sz val="10"/>
            <rFont val="Arial"/>
            <family val="2"/>
          </rPr>
          <t xml:space="preserve">Everything it costs you to make and ship-ready one mask.</t>
        </r>
      </text>
    </comment>
    <comment ref="M4" authorId="0">
      <text>
        <r>
          <rPr>
            <sz val="10"/>
            <rFont val="Arial"/>
            <family val="2"/>
          </rPr>
          <t xml:space="preserve">From the Settings tab, based on version.</t>
        </r>
      </text>
    </comment>
    <comment ref="N4" authorId="0">
      <text>
        <r>
          <rPr>
            <sz val="10"/>
            <rFont val="Arial"/>
            <family val="2"/>
          </rPr>
          <t xml:space="preserve">Total cost x markup.</t>
        </r>
      </text>
    </comment>
    <comment ref="O4" authorId="0">
      <text>
        <r>
          <rPr>
            <sz val="10"/>
            <rFont val="Arial"/>
            <family val="2"/>
          </rPr>
          <t xml:space="preserve">Price to list at: covers selling fees so you still get your target, rounded up.</t>
        </r>
      </text>
    </comment>
    <comment ref="P4" authorId="0">
      <text>
        <r>
          <rPr>
            <sz val="10"/>
            <rFont val="Arial"/>
            <family val="2"/>
          </rPr>
          <t xml:space="preserve">What Etsy (or your platform) takes from the list price.</t>
        </r>
      </text>
    </comment>
    <comment ref="Q4" authorId="0">
      <text>
        <r>
          <rPr>
            <sz val="10"/>
            <rFont val="Arial"/>
            <family val="2"/>
          </rPr>
          <t xml:space="preserve">Left over after costs and fees - on top of paying yourself your labor rate.</t>
        </r>
      </text>
    </comment>
    <comment ref="R4" authorId="0">
      <text>
        <r>
          <rPr>
            <sz val="10"/>
            <rFont val="Arial"/>
            <family val="2"/>
          </rPr>
          <t xml:space="preserve">Profit / print hours. Higher = better use of your printer's time.</t>
        </r>
      </text>
    </comment>
    <comment ref="S4" authorId="0">
      <text>
        <r>
          <rPr>
            <sz val="10"/>
            <rFont val="Arial"/>
            <family val="2"/>
          </rPr>
          <t xml:space="preserve">Anything you want to remember: Etsy comparables, colors, buyer requests.</t>
        </r>
      </text>
    </comment>
  </commentList>
</comments>
</file>

<file path=xl/sharedStrings.xml><?xml version="1.0" encoding="utf-8"?>
<sst xmlns="http://schemas.openxmlformats.org/spreadsheetml/2006/main" count="88" uniqueCount="83">
  <si>
    <t xml:space="preserve">Oni Mask Price Calculator</t>
  </si>
  <si>
    <t xml:space="preserve">Fill in the yellow cells for each mask (name, version, grams, print hours, painting hours). Everything else calculates. Change shared costs on the Settings tab.</t>
  </si>
  <si>
    <t xml:space="preserve">Rows 5-7 are examples - type over them with your own masks. Get grams and print time from Bambu Studio after slicing (for multicolor, use the total including flushed filament).</t>
  </si>
  <si>
    <t xml:space="preserve">Mask name</t>
  </si>
  <si>
    <t xml:space="preserve">Version</t>
  </si>
  <si>
    <t xml:space="preserve">Filament (g)</t>
  </si>
  <si>
    <t xml:space="preserve">Print time (hrs)</t>
  </si>
  <si>
    <t xml:space="preserve">Painting time (hrs)</t>
  </si>
  <si>
    <t xml:space="preserve">Material ($)</t>
  </si>
  <si>
    <t xml:space="preserve">Machine time ($)</t>
  </si>
  <si>
    <t xml:space="preserve">Failure buffer ($)</t>
  </si>
  <si>
    <t xml:space="preserve">Cleanup labor ($)</t>
  </si>
  <si>
    <t xml:space="preserve">Painting ($)</t>
  </si>
  <si>
    <t xml:space="preserve">Strap &amp; packaging ($)</t>
  </si>
  <si>
    <t xml:space="preserve">Total cost ($)</t>
  </si>
  <si>
    <t xml:space="preserve">Markup</t>
  </si>
  <si>
    <t xml:space="preserve">Target price before fees ($)</t>
  </si>
  <si>
    <t xml:space="preserve">LIST PRICE ($)</t>
  </si>
  <si>
    <t xml:space="preserve">Selling fees ($)</t>
  </si>
  <si>
    <t xml:space="preserve">Your profit ($)</t>
  </si>
  <si>
    <t xml:space="preserve">Profit per print hour ($)</t>
  </si>
  <si>
    <t xml:space="preserve">Notes</t>
  </si>
  <si>
    <t xml:space="preserve">Example - Oni (8 hr print)</t>
  </si>
  <si>
    <t xml:space="preserve">Unpainted</t>
  </si>
  <si>
    <t xml:space="preserve">Etsy unpainted: ~$41-65</t>
  </si>
  <si>
    <t xml:space="preserve">Example - Oni multicolor (12 hr)</t>
  </si>
  <si>
    <t xml:space="preserve">Multicolor</t>
  </si>
  <si>
    <t xml:space="preserve">Grams include AMS flush</t>
  </si>
  <si>
    <t xml:space="preserve">Example - Oni hand-painted (15 hr)</t>
  </si>
  <si>
    <t xml:space="preserve">Painted</t>
  </si>
  <si>
    <t xml:space="preserve">Etsy painted: ~$129-175</t>
  </si>
  <si>
    <t xml:space="preserve">Settings - shared costs used for every mask</t>
  </si>
  <si>
    <t xml:space="preserve">Yellow cells with blue text are yours to change. Gray cells calculate automatically.</t>
  </si>
  <si>
    <t xml:space="preserve">Setting</t>
  </si>
  <si>
    <t xml:space="preserve">Value</t>
  </si>
  <si>
    <t xml:space="preserve">What it means / where the number came from</t>
  </si>
  <si>
    <t xml:space="preserve">Filament spool price ($)</t>
  </si>
  <si>
    <t xml:space="preserve">What you pay for one spool of PLA. Starting estimate - change it to your real price.</t>
  </si>
  <si>
    <t xml:space="preserve">Spool weight (g)</t>
  </si>
  <si>
    <t xml:space="preserve">Most PLA spools are 1 kg (1000 g).</t>
  </si>
  <si>
    <t xml:space="preserve">Filament cost per gram ($)</t>
  </si>
  <si>
    <t xml:space="preserve">Calculated: spool price / spool weight.</t>
  </si>
  <si>
    <t xml:space="preserve">Machine rate ($ per print hour)</t>
  </si>
  <si>
    <t xml:space="preserve">Covers electricity (only a few cents an hour on a P2S), nozzle and plate wear, and paying off the printer. Common rule-of-thumb estimate.</t>
  </si>
  <si>
    <t xml:space="preserve">Failure buffer (%)</t>
  </si>
  <si>
    <t xml:space="preserve">Extra added to material + machine cost to cover prints that fail.</t>
  </si>
  <si>
    <t xml:space="preserve">Your labor rate ($/hr)</t>
  </si>
  <si>
    <t xml:space="preserve">What you pay yourself for hands-on work (cleanup and painting).</t>
  </si>
  <si>
    <t xml:space="preserve">Cleanup time per mask (minutes)</t>
  </si>
  <si>
    <t xml:space="preserve">Removing supports, light sanding, attaching the strap, packing.</t>
  </si>
  <si>
    <t xml:space="preserve">Paint supplies per painted mask ($)</t>
  </si>
  <si>
    <t xml:space="preserve">Your share of primer, acrylic paint and clear coat used on one mask. Only added to 'Painted' masks.</t>
  </si>
  <si>
    <t xml:space="preserve">Strap / eye mesh per mask ($)</t>
  </si>
  <si>
    <t xml:space="preserve">Elastic strap, eye mesh or other wearable hardware. Set to 0 for display-only masks.</t>
  </si>
  <si>
    <t xml:space="preserve">Packaging per mask ($)</t>
  </si>
  <si>
    <t xml:space="preserve">Box, tissue or bubble wrap, label.</t>
  </si>
  <si>
    <t xml:space="preserve">Selling fee (%)</t>
  </si>
  <si>
    <t xml:space="preserve">Etsy (US, as of 2025): 6.5% transaction fee + 3% payment processing. Offsite Ads sales cost an extra 12-15%. Set to 0% for cash or in-person sales. Check current fees: https://www.etsy.com/legal/fees/</t>
  </si>
  <si>
    <t xml:space="preserve">Fixed fee per sale ($)</t>
  </si>
  <si>
    <t xml:space="preserve">Etsy (US, as of 2025): $0.20 listing fee + $0.25 payment processing. Set to 0 for in-person sales.</t>
  </si>
  <si>
    <t xml:space="preserve">Round list price up to nearest ($)</t>
  </si>
  <si>
    <t xml:space="preserve">Keeps prices tidy, e.g. $62.10 becomes $65. Use 1 for whole dollars.</t>
  </si>
  <si>
    <t xml:space="preserve">Markup by version</t>
  </si>
  <si>
    <t xml:space="preserve">Why this multiplier</t>
  </si>
  <si>
    <t xml:space="preserve">Single-color print. Similar 3D-printed Oni masks on Etsy list for about $41-65.</t>
  </si>
  <si>
    <t xml:space="preserve">Printed in several colors with the AMS - looks finished without paint, so it sells at a premium.</t>
  </si>
  <si>
    <t xml:space="preserve">Lower multiplier because your painting hours are already paid at your labor rate. Similar hand-painted masks on Etsy list for about $129-175.</t>
  </si>
  <si>
    <t xml:space="preserve">Keep the version names as they are - the calculator's dropdown uses them.</t>
  </si>
  <si>
    <t xml:space="preserve">Etsy price ranges: etsy.com/market/3d_printed_oni_mask and etsy.com/market/oni_wearable_mask, checked Oct 2026.</t>
  </si>
  <si>
    <t xml:space="preserve">How to use this calculator</t>
  </si>
  <si>
    <t xml:space="preserve">1. Open the Settings tab and change the yellow cells to match your real costs (spool price, your hourly rate, packaging, fees).</t>
  </si>
  <si>
    <t xml:space="preserve">2. On the Price Calculator tab, add one row per mask: name, version (dropdown), grams and print time from Bambu Studio, and painting hours if painted.</t>
  </si>
  <si>
    <t xml:space="preserve">3. The green LIST PRICE column is what to list it for. It already covers Etsy's fees.</t>
  </si>
  <si>
    <t xml:space="preserve">4. Compare that price with similar masks on Etsy. If yours is much higher, lower the markup on the Settings tab or find ways to cut print or painting time.</t>
  </si>
  <si>
    <t xml:space="preserve">5. Use 'Profit per print hour' to see which masks make the best use of your printer.</t>
  </si>
  <si>
    <t xml:space="preserve">Tips</t>
  </si>
  <si>
    <t xml:space="preserve">- Time yourself on your first few painted masks and use real hours - painting is the biggest cost.</t>
  </si>
  <si>
    <t xml:space="preserve">- Selling in person or with cash? Set the selling fee % and fixed fee to 0 on the Settings tab.</t>
  </si>
  <si>
    <t xml:space="preserve">- 'Your profit' is extra money after paying yourself your labor rate for cleanup and painting.</t>
  </si>
  <si>
    <t xml:space="preserve">- Red numbers in the profit columns mean that mask loses money at the current settings.</t>
  </si>
  <si>
    <t xml:space="preserve">- Check the model's license allows selling prints before you list it.</t>
  </si>
  <si>
    <t xml:space="preserve">Cell colors</t>
  </si>
  <si>
    <t xml:space="preserve">Yellow with blue text = your input. Green = the price to list. White/gray = calculated, don't type here.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</si>
</sst>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\$#,##0.00;&quot;($&quot;#,##0.00\);\-"/>
    <numFmt numFmtId="168" formatCode="0.00\x"/>
    <numFmt numFmtId="169" formatCode="\$#,##0.000"/>
    <numFmt numFmtId="170" formatCode="0.0%;\(0.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sz val="10"/>
      <color rgb="FF555555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E5E7EB"/>
      </patternFill>
    </fill>
    <fill>
      <patternFill patternType="solid">
        <fgColor rgb="FFDCFCE7"/>
        <bgColor rgb="FFCCFFCC"/>
      </patternFill>
    </fill>
    <fill>
      <patternFill patternType="solid">
        <fgColor rgb="FFE5E7EB"/>
        <bgColor rgb="FFDCF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11" min="3" style="0" width="11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5" min="14" style="0" width="13"/>
    <col collapsed="false" customWidth="true" hidden="false" outlineLevel="0" max="16" min="16" style="0" width="11"/>
    <col collapsed="false" customWidth="true" hidden="false" outlineLevel="0" max="18" min="17" style="0" width="12"/>
    <col collapsed="false" customWidth="true" hidden="false" outlineLevel="0" max="19" min="19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43.5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</row>
    <row r="5" customFormat="false" ht="15" hidden="false" customHeight="false" outlineLevel="0" collapsed="false">
      <c r="A5" s="4" t="s">
        <v>22</v>
      </c>
      <c r="B5" s="4" t="s">
        <v>23</v>
      </c>
      <c r="C5" s="5" t="n">
        <v>200</v>
      </c>
      <c r="D5" s="6" t="n">
        <v>8</v>
      </c>
      <c r="E5" s="6"/>
      <c r="F5" s="7" t="n">
        <f aca="false">IF(COUNT($C5:$D5)&lt;2,"",$C5*Settings!$B$7)</f>
        <v>4</v>
      </c>
      <c r="G5" s="7" t="n">
        <f aca="false">IF(COUNT($C5:$D5)&lt;2,"",$D5*Settings!$B$8)</f>
        <v>4</v>
      </c>
      <c r="H5" s="7" t="n">
        <f aca="false">IF(COUNT($C5:$D5)&lt;2,"",($F5+$G5)*Settings!$B$9)</f>
        <v>0.8</v>
      </c>
      <c r="I5" s="7" t="n">
        <f aca="false">IF(COUNT($C5:$D5)&lt;2,"",Settings!$B$11/60*Settings!$B$10)</f>
        <v>10</v>
      </c>
      <c r="J5" s="7" t="n">
        <f aca="false">IF(COUNT($C5:$D5)&lt;2,"",N($E5)*Settings!$B$10+IF($B5="Painted",Settings!$B$12,0))</f>
        <v>0</v>
      </c>
      <c r="K5" s="7" t="n">
        <f aca="false">IF(COUNT($C5:$D5)&lt;2,"",Settings!$B$13+Settings!$B$14)</f>
        <v>3.5</v>
      </c>
      <c r="L5" s="7" t="n">
        <f aca="false">IF(COUNT($C5:$D5)&lt;2,"",SUM($F5:$K5))</f>
        <v>22.3</v>
      </c>
      <c r="M5" s="8" t="n">
        <f aca="false">IF(OR(COUNT($C5:$D5)&lt;2,$B5=""),"",IFERROR(INDEX(Settings!$B$21:$B$23,MATCH($B5,Settings!$A$21:$A$23,0)),""))</f>
        <v>2</v>
      </c>
      <c r="N5" s="7" t="n">
        <f aca="false">IF(OR($L5="",$M5=""),"",$L5*$M5)</f>
        <v>44.6</v>
      </c>
      <c r="O5" s="9" t="n">
        <f aca="false">IF($N5="","",IF(Settings!$B$17&gt;0,CEILING(($N5+Settings!$B$16)/(1-Settings!$B$15),Settings!$B$17),($N5+Settings!$B$16)/(1-Settings!$B$15)))</f>
        <v>50</v>
      </c>
      <c r="P5" s="7" t="n">
        <f aca="false">IF($O5="","",$O5*Settings!$B$15+Settings!$B$16)</f>
        <v>5.2</v>
      </c>
      <c r="Q5" s="7" t="n">
        <f aca="false">IF($O5="","",$O5-$P5-$L5)</f>
        <v>22.5</v>
      </c>
      <c r="R5" s="7" t="n">
        <f aca="false">IF(OR($Q5="",N($D5)&lt;=0),"",$Q5/$D5)</f>
        <v>2.8125</v>
      </c>
      <c r="S5" s="4" t="s">
        <v>24</v>
      </c>
    </row>
    <row r="6" customFormat="false" ht="15" hidden="false" customHeight="false" outlineLevel="0" collapsed="false">
      <c r="A6" s="4" t="s">
        <v>25</v>
      </c>
      <c r="B6" s="4" t="s">
        <v>26</v>
      </c>
      <c r="C6" s="5" t="n">
        <v>260</v>
      </c>
      <c r="D6" s="6" t="n">
        <v>12</v>
      </c>
      <c r="E6" s="6"/>
      <c r="F6" s="7" t="n">
        <f aca="false">IF(COUNT($C6:$D6)&lt;2,"",$C6*Settings!$B$7)</f>
        <v>5.2</v>
      </c>
      <c r="G6" s="7" t="n">
        <f aca="false">IF(COUNT($C6:$D6)&lt;2,"",$D6*Settings!$B$8)</f>
        <v>6</v>
      </c>
      <c r="H6" s="7" t="n">
        <f aca="false">IF(COUNT($C6:$D6)&lt;2,"",($F6+$G6)*Settings!$B$9)</f>
        <v>1.12</v>
      </c>
      <c r="I6" s="7" t="n">
        <f aca="false">IF(COUNT($C6:$D6)&lt;2,"",Settings!$B$11/60*Settings!$B$10)</f>
        <v>10</v>
      </c>
      <c r="J6" s="7" t="n">
        <f aca="false">IF(COUNT($C6:$D6)&lt;2,"",N($E6)*Settings!$B$10+IF($B6="Painted",Settings!$B$12,0))</f>
        <v>0</v>
      </c>
      <c r="K6" s="7" t="n">
        <f aca="false">IF(COUNT($C6:$D6)&lt;2,"",Settings!$B$13+Settings!$B$14)</f>
        <v>3.5</v>
      </c>
      <c r="L6" s="7" t="n">
        <f aca="false">IF(COUNT($C6:$D6)&lt;2,"",SUM($F6:$K6))</f>
        <v>25.82</v>
      </c>
      <c r="M6" s="8" t="n">
        <f aca="false">IF(OR(COUNT($C6:$D6)&lt;2,$B6=""),"",IFERROR(INDEX(Settings!$B$21:$B$23,MATCH($B6,Settings!$A$21:$A$23,0)),""))</f>
        <v>2.5</v>
      </c>
      <c r="N6" s="7" t="n">
        <f aca="false">IF(OR($L6="",$M6=""),"",$L6*$M6)</f>
        <v>64.55</v>
      </c>
      <c r="O6" s="9" t="n">
        <f aca="false">IF($N6="","",IF(Settings!$B$17&gt;0,CEILING(($N6+Settings!$B$16)/(1-Settings!$B$15),Settings!$B$17),($N6+Settings!$B$16)/(1-Settings!$B$15)))</f>
        <v>75</v>
      </c>
      <c r="P6" s="7" t="n">
        <f aca="false">IF($O6="","",$O6*Settings!$B$15+Settings!$B$16)</f>
        <v>7.575</v>
      </c>
      <c r="Q6" s="7" t="n">
        <f aca="false">IF($O6="","",$O6-$P6-$L6)</f>
        <v>41.605</v>
      </c>
      <c r="R6" s="7" t="n">
        <f aca="false">IF(OR($Q6="",N($D6)&lt;=0),"",$Q6/$D6)</f>
        <v>3.46708333333333</v>
      </c>
      <c r="S6" s="4" t="s">
        <v>27</v>
      </c>
    </row>
    <row r="7" customFormat="false" ht="15" hidden="false" customHeight="false" outlineLevel="0" collapsed="false">
      <c r="A7" s="4" t="s">
        <v>28</v>
      </c>
      <c r="B7" s="4" t="s">
        <v>29</v>
      </c>
      <c r="C7" s="5" t="n">
        <v>230</v>
      </c>
      <c r="D7" s="6" t="n">
        <v>15</v>
      </c>
      <c r="E7" s="6" t="n">
        <v>3</v>
      </c>
      <c r="F7" s="7" t="n">
        <f aca="false">IF(COUNT($C7:$D7)&lt;2,"",$C7*Settings!$B$7)</f>
        <v>4.6</v>
      </c>
      <c r="G7" s="7" t="n">
        <f aca="false">IF(COUNT($C7:$D7)&lt;2,"",$D7*Settings!$B$8)</f>
        <v>7.5</v>
      </c>
      <c r="H7" s="7" t="n">
        <f aca="false">IF(COUNT($C7:$D7)&lt;2,"",($F7+$G7)*Settings!$B$9)</f>
        <v>1.21</v>
      </c>
      <c r="I7" s="7" t="n">
        <f aca="false">IF(COUNT($C7:$D7)&lt;2,"",Settings!$B$11/60*Settings!$B$10)</f>
        <v>10</v>
      </c>
      <c r="J7" s="7" t="n">
        <f aca="false">IF(COUNT($C7:$D7)&lt;2,"",N($E7)*Settings!$B$10+IF($B7="Painted",Settings!$B$12,0))</f>
        <v>65</v>
      </c>
      <c r="K7" s="7" t="n">
        <f aca="false">IF(COUNT($C7:$D7)&lt;2,"",Settings!$B$13+Settings!$B$14)</f>
        <v>3.5</v>
      </c>
      <c r="L7" s="7" t="n">
        <f aca="false">IF(COUNT($C7:$D7)&lt;2,"",SUM($F7:$K7))</f>
        <v>91.81</v>
      </c>
      <c r="M7" s="8" t="n">
        <f aca="false">IF(OR(COUNT($C7:$D7)&lt;2,$B7=""),"",IFERROR(INDEX(Settings!$B$21:$B$23,MATCH($B7,Settings!$A$21:$A$23,0)),""))</f>
        <v>1.5</v>
      </c>
      <c r="N7" s="7" t="n">
        <f aca="false">IF(OR($L7="",$M7=""),"",$L7*$M7)</f>
        <v>137.715</v>
      </c>
      <c r="O7" s="9" t="n">
        <f aca="false">IF($N7="","",IF(Settings!$B$17&gt;0,CEILING(($N7+Settings!$B$16)/(1-Settings!$B$15),Settings!$B$17),($N7+Settings!$B$16)/(1-Settings!$B$15)))</f>
        <v>155</v>
      </c>
      <c r="P7" s="7" t="n">
        <f aca="false">IF($O7="","",$O7*Settings!$B$15+Settings!$B$16)</f>
        <v>15.175</v>
      </c>
      <c r="Q7" s="7" t="n">
        <f aca="false">IF($O7="","",$O7-$P7-$L7)</f>
        <v>48.015</v>
      </c>
      <c r="R7" s="7" t="n">
        <f aca="false">IF(OR($Q7="",N($D7)&lt;=0),"",$Q7/$D7)</f>
        <v>3.201</v>
      </c>
      <c r="S7" s="4" t="s">
        <v>30</v>
      </c>
    </row>
    <row r="8" customFormat="false" ht="15" hidden="false" customHeight="false" outlineLevel="0" collapsed="false">
      <c r="A8" s="4"/>
      <c r="B8" s="4"/>
      <c r="C8" s="5"/>
      <c r="D8" s="6"/>
      <c r="E8" s="6"/>
      <c r="F8" s="7" t="str">
        <f aca="false">IF(COUNT($C8:$D8)&lt;2,"",$C8*Settings!$B$7)</f>
        <v/>
      </c>
      <c r="G8" s="7" t="str">
        <f aca="false">IF(COUNT($C8:$D8)&lt;2,"",$D8*Settings!$B$8)</f>
        <v/>
      </c>
      <c r="H8" s="7" t="str">
        <f aca="false">IF(COUNT($C8:$D8)&lt;2,"",($F8+$G8)*Settings!$B$9)</f>
        <v/>
      </c>
      <c r="I8" s="7" t="str">
        <f aca="false">IF(COUNT($C8:$D8)&lt;2,"",Settings!$B$11/60*Settings!$B$10)</f>
        <v/>
      </c>
      <c r="J8" s="7" t="str">
        <f aca="false">IF(COUNT($C8:$D8)&lt;2,"",N($E8)*Settings!$B$10+IF($B8="Painted",Settings!$B$12,0))</f>
        <v/>
      </c>
      <c r="K8" s="7" t="str">
        <f aca="false">IF(COUNT($C8:$D8)&lt;2,"",Settings!$B$13+Settings!$B$14)</f>
        <v/>
      </c>
      <c r="L8" s="7" t="str">
        <f aca="false">IF(COUNT($C8:$D8)&lt;2,"",SUM($F8:$K8))</f>
        <v/>
      </c>
      <c r="M8" s="8" t="str">
        <f aca="false">IF(OR(COUNT($C8:$D8)&lt;2,$B8=""),"",IFERROR(INDEX(Settings!$B$21:$B$23,MATCH($B8,Settings!$A$21:$A$23,0)),""))</f>
        <v/>
      </c>
      <c r="N8" s="7" t="str">
        <f aca="false">IF(OR($L8="",$M8=""),"",$L8*$M8)</f>
        <v/>
      </c>
      <c r="O8" s="9" t="str">
        <f aca="false">IF($N8="","",IF(Settings!$B$17&gt;0,CEILING(($N8+Settings!$B$16)/(1-Settings!$B$15),Settings!$B$17),($N8+Settings!$B$16)/(1-Settings!$B$15)))</f>
        <v/>
      </c>
      <c r="P8" s="7" t="str">
        <f aca="false">IF($O8="","",$O8*Settings!$B$15+Settings!$B$16)</f>
        <v/>
      </c>
      <c r="Q8" s="7" t="str">
        <f aca="false">IF($O8="","",$O8-$P8-$L8)</f>
        <v/>
      </c>
      <c r="R8" s="7" t="str">
        <f aca="false">IF(OR($Q8="",N($D8)&lt;=0),"",$Q8/$D8)</f>
        <v/>
      </c>
      <c r="S8" s="4"/>
    </row>
    <row r="9" customFormat="false" ht="15" hidden="false" customHeight="false" outlineLevel="0" collapsed="false">
      <c r="A9" s="4"/>
      <c r="B9" s="4"/>
      <c r="C9" s="5"/>
      <c r="D9" s="6"/>
      <c r="E9" s="6"/>
      <c r="F9" s="7" t="str">
        <f aca="false">IF(COUNT($C9:$D9)&lt;2,"",$C9*Settings!$B$7)</f>
        <v/>
      </c>
      <c r="G9" s="7" t="str">
        <f aca="false">IF(COUNT($C9:$D9)&lt;2,"",$D9*Settings!$B$8)</f>
        <v/>
      </c>
      <c r="H9" s="7" t="str">
        <f aca="false">IF(COUNT($C9:$D9)&lt;2,"",($F9+$G9)*Settings!$B$9)</f>
        <v/>
      </c>
      <c r="I9" s="7" t="str">
        <f aca="false">IF(COUNT($C9:$D9)&lt;2,"",Settings!$B$11/60*Settings!$B$10)</f>
        <v/>
      </c>
      <c r="J9" s="7" t="str">
        <f aca="false">IF(COUNT($C9:$D9)&lt;2,"",N($E9)*Settings!$B$10+IF($B9="Painted",Settings!$B$12,0))</f>
        <v/>
      </c>
      <c r="K9" s="7" t="str">
        <f aca="false">IF(COUNT($C9:$D9)&lt;2,"",Settings!$B$13+Settings!$B$14)</f>
        <v/>
      </c>
      <c r="L9" s="7" t="str">
        <f aca="false">IF(COUNT($C9:$D9)&lt;2,"",SUM($F9:$K9))</f>
        <v/>
      </c>
      <c r="M9" s="8" t="str">
        <f aca="false">IF(OR(COUNT($C9:$D9)&lt;2,$B9=""),"",IFERROR(INDEX(Settings!$B$21:$B$23,MATCH($B9,Settings!$A$21:$A$23,0)),""))</f>
        <v/>
      </c>
      <c r="N9" s="7" t="str">
        <f aca="false">IF(OR($L9="",$M9=""),"",$L9*$M9)</f>
        <v/>
      </c>
      <c r="O9" s="9" t="str">
        <f aca="false">IF($N9="","",IF(Settings!$B$17&gt;0,CEILING(($N9+Settings!$B$16)/(1-Settings!$B$15),Settings!$B$17),($N9+Settings!$B$16)/(1-Settings!$B$15)))</f>
        <v/>
      </c>
      <c r="P9" s="7" t="str">
        <f aca="false">IF($O9="","",$O9*Settings!$B$15+Settings!$B$16)</f>
        <v/>
      </c>
      <c r="Q9" s="7" t="str">
        <f aca="false">IF($O9="","",$O9-$P9-$L9)</f>
        <v/>
      </c>
      <c r="R9" s="7" t="str">
        <f aca="false">IF(OR($Q9="",N($D9)&lt;=0),"",$Q9/$D9)</f>
        <v/>
      </c>
      <c r="S9" s="4"/>
    </row>
    <row r="10" customFormat="false" ht="15" hidden="false" customHeight="false" outlineLevel="0" collapsed="false">
      <c r="A10" s="4"/>
      <c r="B10" s="4"/>
      <c r="C10" s="5"/>
      <c r="D10" s="6"/>
      <c r="E10" s="6"/>
      <c r="F10" s="7" t="str">
        <f aca="false">IF(COUNT($C10:$D10)&lt;2,"",$C10*Settings!$B$7)</f>
        <v/>
      </c>
      <c r="G10" s="7" t="str">
        <f aca="false">IF(COUNT($C10:$D10)&lt;2,"",$D10*Settings!$B$8)</f>
        <v/>
      </c>
      <c r="H10" s="7" t="str">
        <f aca="false">IF(COUNT($C10:$D10)&lt;2,"",($F10+$G10)*Settings!$B$9)</f>
        <v/>
      </c>
      <c r="I10" s="7" t="str">
        <f aca="false">IF(COUNT($C10:$D10)&lt;2,"",Settings!$B$11/60*Settings!$B$10)</f>
        <v/>
      </c>
      <c r="J10" s="7" t="str">
        <f aca="false">IF(COUNT($C10:$D10)&lt;2,"",N($E10)*Settings!$B$10+IF($B10="Painted",Settings!$B$12,0))</f>
        <v/>
      </c>
      <c r="K10" s="7" t="str">
        <f aca="false">IF(COUNT($C10:$D10)&lt;2,"",Settings!$B$13+Settings!$B$14)</f>
        <v/>
      </c>
      <c r="L10" s="7" t="str">
        <f aca="false">IF(COUNT($C10:$D10)&lt;2,"",SUM($F10:$K10))</f>
        <v/>
      </c>
      <c r="M10" s="8" t="str">
        <f aca="false">IF(OR(COUNT($C10:$D10)&lt;2,$B10=""),"",IFERROR(INDEX(Settings!$B$21:$B$23,MATCH($B10,Settings!$A$21:$A$23,0)),""))</f>
        <v/>
      </c>
      <c r="N10" s="7" t="str">
        <f aca="false">IF(OR($L10="",$M10=""),"",$L10*$M10)</f>
        <v/>
      </c>
      <c r="O10" s="9" t="str">
        <f aca="false">IF($N10="","",IF(Settings!$B$17&gt;0,CEILING(($N10+Settings!$B$16)/(1-Settings!$B$15),Settings!$B$17),($N10+Settings!$B$16)/(1-Settings!$B$15)))</f>
        <v/>
      </c>
      <c r="P10" s="7" t="str">
        <f aca="false">IF($O10="","",$O10*Settings!$B$15+Settings!$B$16)</f>
        <v/>
      </c>
      <c r="Q10" s="7" t="str">
        <f aca="false">IF($O10="","",$O10-$P10-$L10)</f>
        <v/>
      </c>
      <c r="R10" s="7" t="str">
        <f aca="false">IF(OR($Q10="",N($D10)&lt;=0),"",$Q10/$D10)</f>
        <v/>
      </c>
      <c r="S10" s="4"/>
    </row>
    <row r="11" customFormat="false" ht="15" hidden="false" customHeight="false" outlineLevel="0" collapsed="false">
      <c r="A11" s="4"/>
      <c r="B11" s="4"/>
      <c r="C11" s="5"/>
      <c r="D11" s="6"/>
      <c r="E11" s="6"/>
      <c r="F11" s="7" t="str">
        <f aca="false">IF(COUNT($C11:$D11)&lt;2,"",$C11*Settings!$B$7)</f>
        <v/>
      </c>
      <c r="G11" s="7" t="str">
        <f aca="false">IF(COUNT($C11:$D11)&lt;2,"",$D11*Settings!$B$8)</f>
        <v/>
      </c>
      <c r="H11" s="7" t="str">
        <f aca="false">IF(COUNT($C11:$D11)&lt;2,"",($F11+$G11)*Settings!$B$9)</f>
        <v/>
      </c>
      <c r="I11" s="7" t="str">
        <f aca="false">IF(COUNT($C11:$D11)&lt;2,"",Settings!$B$11/60*Settings!$B$10)</f>
        <v/>
      </c>
      <c r="J11" s="7" t="str">
        <f aca="false">IF(COUNT($C11:$D11)&lt;2,"",N($E11)*Settings!$B$10+IF($B11="Painted",Settings!$B$12,0))</f>
        <v/>
      </c>
      <c r="K11" s="7" t="str">
        <f aca="false">IF(COUNT($C11:$D11)&lt;2,"",Settings!$B$13+Settings!$B$14)</f>
        <v/>
      </c>
      <c r="L11" s="7" t="str">
        <f aca="false">IF(COUNT($C11:$D11)&lt;2,"",SUM($F11:$K11))</f>
        <v/>
      </c>
      <c r="M11" s="8" t="str">
        <f aca="false">IF(OR(COUNT($C11:$D11)&lt;2,$B11=""),"",IFERROR(INDEX(Settings!$B$21:$B$23,MATCH($B11,Settings!$A$21:$A$23,0)),""))</f>
        <v/>
      </c>
      <c r="N11" s="7" t="str">
        <f aca="false">IF(OR($L11="",$M11=""),"",$L11*$M11)</f>
        <v/>
      </c>
      <c r="O11" s="9" t="str">
        <f aca="false">IF($N11="","",IF(Settings!$B$17&gt;0,CEILING(($N11+Settings!$B$16)/(1-Settings!$B$15),Settings!$B$17),($N11+Settings!$B$16)/(1-Settings!$B$15)))</f>
        <v/>
      </c>
      <c r="P11" s="7" t="str">
        <f aca="false">IF($O11="","",$O11*Settings!$B$15+Settings!$B$16)</f>
        <v/>
      </c>
      <c r="Q11" s="7" t="str">
        <f aca="false">IF($O11="","",$O11-$P11-$L11)</f>
        <v/>
      </c>
      <c r="R11" s="7" t="str">
        <f aca="false">IF(OR($Q11="",N($D11)&lt;=0),"",$Q11/$D11)</f>
        <v/>
      </c>
      <c r="S11" s="4"/>
    </row>
    <row r="12" customFormat="false" ht="15" hidden="false" customHeight="false" outlineLevel="0" collapsed="false">
      <c r="A12" s="4"/>
      <c r="B12" s="4"/>
      <c r="C12" s="5"/>
      <c r="D12" s="6"/>
      <c r="E12" s="6"/>
      <c r="F12" s="7" t="str">
        <f aca="false">IF(COUNT($C12:$D12)&lt;2,"",$C12*Settings!$B$7)</f>
        <v/>
      </c>
      <c r="G12" s="7" t="str">
        <f aca="false">IF(COUNT($C12:$D12)&lt;2,"",$D12*Settings!$B$8)</f>
        <v/>
      </c>
      <c r="H12" s="7" t="str">
        <f aca="false">IF(COUNT($C12:$D12)&lt;2,"",($F12+$G12)*Settings!$B$9)</f>
        <v/>
      </c>
      <c r="I12" s="7" t="str">
        <f aca="false">IF(COUNT($C12:$D12)&lt;2,"",Settings!$B$11/60*Settings!$B$10)</f>
        <v/>
      </c>
      <c r="J12" s="7" t="str">
        <f aca="false">IF(COUNT($C12:$D12)&lt;2,"",N($E12)*Settings!$B$10+IF($B12="Painted",Settings!$B$12,0))</f>
        <v/>
      </c>
      <c r="K12" s="7" t="str">
        <f aca="false">IF(COUNT($C12:$D12)&lt;2,"",Settings!$B$13+Settings!$B$14)</f>
        <v/>
      </c>
      <c r="L12" s="7" t="str">
        <f aca="false">IF(COUNT($C12:$D12)&lt;2,"",SUM($F12:$K12))</f>
        <v/>
      </c>
      <c r="M12" s="8" t="str">
        <f aca="false">IF(OR(COUNT($C12:$D12)&lt;2,$B12=""),"",IFERROR(INDEX(Settings!$B$21:$B$23,MATCH($B12,Settings!$A$21:$A$23,0)),""))</f>
        <v/>
      </c>
      <c r="N12" s="7" t="str">
        <f aca="false">IF(OR($L12="",$M12=""),"",$L12*$M12)</f>
        <v/>
      </c>
      <c r="O12" s="9" t="str">
        <f aca="false">IF($N12="","",IF(Settings!$B$17&gt;0,CEILING(($N12+Settings!$B$16)/(1-Settings!$B$15),Settings!$B$17),($N12+Settings!$B$16)/(1-Settings!$B$15)))</f>
        <v/>
      </c>
      <c r="P12" s="7" t="str">
        <f aca="false">IF($O12="","",$O12*Settings!$B$15+Settings!$B$16)</f>
        <v/>
      </c>
      <c r="Q12" s="7" t="str">
        <f aca="false">IF($O12="","",$O12-$P12-$L12)</f>
        <v/>
      </c>
      <c r="R12" s="7" t="str">
        <f aca="false">IF(OR($Q12="",N($D12)&lt;=0),"",$Q12/$D12)</f>
        <v/>
      </c>
      <c r="S12" s="4"/>
    </row>
    <row r="13" customFormat="false" ht="15" hidden="false" customHeight="false" outlineLevel="0" collapsed="false">
      <c r="A13" s="4"/>
      <c r="B13" s="4"/>
      <c r="C13" s="5"/>
      <c r="D13" s="6"/>
      <c r="E13" s="6"/>
      <c r="F13" s="7" t="str">
        <f aca="false">IF(COUNT($C13:$D13)&lt;2,"",$C13*Settings!$B$7)</f>
        <v/>
      </c>
      <c r="G13" s="7" t="str">
        <f aca="false">IF(COUNT($C13:$D13)&lt;2,"",$D13*Settings!$B$8)</f>
        <v/>
      </c>
      <c r="H13" s="7" t="str">
        <f aca="false">IF(COUNT($C13:$D13)&lt;2,"",($F13+$G13)*Settings!$B$9)</f>
        <v/>
      </c>
      <c r="I13" s="7" t="str">
        <f aca="false">IF(COUNT($C13:$D13)&lt;2,"",Settings!$B$11/60*Settings!$B$10)</f>
        <v/>
      </c>
      <c r="J13" s="7" t="str">
        <f aca="false">IF(COUNT($C13:$D13)&lt;2,"",N($E13)*Settings!$B$10+IF($B13="Painted",Settings!$B$12,0))</f>
        <v/>
      </c>
      <c r="K13" s="7" t="str">
        <f aca="false">IF(COUNT($C13:$D13)&lt;2,"",Settings!$B$13+Settings!$B$14)</f>
        <v/>
      </c>
      <c r="L13" s="7" t="str">
        <f aca="false">IF(COUNT($C13:$D13)&lt;2,"",SUM($F13:$K13))</f>
        <v/>
      </c>
      <c r="M13" s="8" t="str">
        <f aca="false">IF(OR(COUNT($C13:$D13)&lt;2,$B13=""),"",IFERROR(INDEX(Settings!$B$21:$B$23,MATCH($B13,Settings!$A$21:$A$23,0)),""))</f>
        <v/>
      </c>
      <c r="N13" s="7" t="str">
        <f aca="false">IF(OR($L13="",$M13=""),"",$L13*$M13)</f>
        <v/>
      </c>
      <c r="O13" s="9" t="str">
        <f aca="false">IF($N13="","",IF(Settings!$B$17&gt;0,CEILING(($N13+Settings!$B$16)/(1-Settings!$B$15),Settings!$B$17),($N13+Settings!$B$16)/(1-Settings!$B$15)))</f>
        <v/>
      </c>
      <c r="P13" s="7" t="str">
        <f aca="false">IF($O13="","",$O13*Settings!$B$15+Settings!$B$16)</f>
        <v/>
      </c>
      <c r="Q13" s="7" t="str">
        <f aca="false">IF($O13="","",$O13-$P13-$L13)</f>
        <v/>
      </c>
      <c r="R13" s="7" t="str">
        <f aca="false">IF(OR($Q13="",N($D13)&lt;=0),"",$Q13/$D13)</f>
        <v/>
      </c>
      <c r="S13" s="4"/>
    </row>
    <row r="14" customFormat="false" ht="15" hidden="false" customHeight="false" outlineLevel="0" collapsed="false">
      <c r="A14" s="4"/>
      <c r="B14" s="4"/>
      <c r="C14" s="5"/>
      <c r="D14" s="6"/>
      <c r="E14" s="6"/>
      <c r="F14" s="7" t="str">
        <f aca="false">IF(COUNT($C14:$D14)&lt;2,"",$C14*Settings!$B$7)</f>
        <v/>
      </c>
      <c r="G14" s="7" t="str">
        <f aca="false">IF(COUNT($C14:$D14)&lt;2,"",$D14*Settings!$B$8)</f>
        <v/>
      </c>
      <c r="H14" s="7" t="str">
        <f aca="false">IF(COUNT($C14:$D14)&lt;2,"",($F14+$G14)*Settings!$B$9)</f>
        <v/>
      </c>
      <c r="I14" s="7" t="str">
        <f aca="false">IF(COUNT($C14:$D14)&lt;2,"",Settings!$B$11/60*Settings!$B$10)</f>
        <v/>
      </c>
      <c r="J14" s="7" t="str">
        <f aca="false">IF(COUNT($C14:$D14)&lt;2,"",N($E14)*Settings!$B$10+IF($B14="Painted",Settings!$B$12,0))</f>
        <v/>
      </c>
      <c r="K14" s="7" t="str">
        <f aca="false">IF(COUNT($C14:$D14)&lt;2,"",Settings!$B$13+Settings!$B$14)</f>
        <v/>
      </c>
      <c r="L14" s="7" t="str">
        <f aca="false">IF(COUNT($C14:$D14)&lt;2,"",SUM($F14:$K14))</f>
        <v/>
      </c>
      <c r="M14" s="8" t="str">
        <f aca="false">IF(OR(COUNT($C14:$D14)&lt;2,$B14=""),"",IFERROR(INDEX(Settings!$B$21:$B$23,MATCH($B14,Settings!$A$21:$A$23,0)),""))</f>
        <v/>
      </c>
      <c r="N14" s="7" t="str">
        <f aca="false">IF(OR($L14="",$M14=""),"",$L14*$M14)</f>
        <v/>
      </c>
      <c r="O14" s="9" t="str">
        <f aca="false">IF($N14="","",IF(Settings!$B$17&gt;0,CEILING(($N14+Settings!$B$16)/(1-Settings!$B$15),Settings!$B$17),($N14+Settings!$B$16)/(1-Settings!$B$15)))</f>
        <v/>
      </c>
      <c r="P14" s="7" t="str">
        <f aca="false">IF($O14="","",$O14*Settings!$B$15+Settings!$B$16)</f>
        <v/>
      </c>
      <c r="Q14" s="7" t="str">
        <f aca="false">IF($O14="","",$O14-$P14-$L14)</f>
        <v/>
      </c>
      <c r="R14" s="7" t="str">
        <f aca="false">IF(OR($Q14="",N($D14)&lt;=0),"",$Q14/$D14)</f>
        <v/>
      </c>
      <c r="S14" s="4"/>
    </row>
    <row r="15" customFormat="false" ht="15" hidden="false" customHeight="false" outlineLevel="0" collapsed="false">
      <c r="A15" s="4"/>
      <c r="B15" s="4"/>
      <c r="C15" s="5"/>
      <c r="D15" s="6"/>
      <c r="E15" s="6"/>
      <c r="F15" s="7" t="str">
        <f aca="false">IF(COUNT($C15:$D15)&lt;2,"",$C15*Settings!$B$7)</f>
        <v/>
      </c>
      <c r="G15" s="7" t="str">
        <f aca="false">IF(COUNT($C15:$D15)&lt;2,"",$D15*Settings!$B$8)</f>
        <v/>
      </c>
      <c r="H15" s="7" t="str">
        <f aca="false">IF(COUNT($C15:$D15)&lt;2,"",($F15+$G15)*Settings!$B$9)</f>
        <v/>
      </c>
      <c r="I15" s="7" t="str">
        <f aca="false">IF(COUNT($C15:$D15)&lt;2,"",Settings!$B$11/60*Settings!$B$10)</f>
        <v/>
      </c>
      <c r="J15" s="7" t="str">
        <f aca="false">IF(COUNT($C15:$D15)&lt;2,"",N($E15)*Settings!$B$10+IF($B15="Painted",Settings!$B$12,0))</f>
        <v/>
      </c>
      <c r="K15" s="7" t="str">
        <f aca="false">IF(COUNT($C15:$D15)&lt;2,"",Settings!$B$13+Settings!$B$14)</f>
        <v/>
      </c>
      <c r="L15" s="7" t="str">
        <f aca="false">IF(COUNT($C15:$D15)&lt;2,"",SUM($F15:$K15))</f>
        <v/>
      </c>
      <c r="M15" s="8" t="str">
        <f aca="false">IF(OR(COUNT($C15:$D15)&lt;2,$B15=""),"",IFERROR(INDEX(Settings!$B$21:$B$23,MATCH($B15,Settings!$A$21:$A$23,0)),""))</f>
        <v/>
      </c>
      <c r="N15" s="7" t="str">
        <f aca="false">IF(OR($L15="",$M15=""),"",$L15*$M15)</f>
        <v/>
      </c>
      <c r="O15" s="9" t="str">
        <f aca="false">IF($N15="","",IF(Settings!$B$17&gt;0,CEILING(($N15+Settings!$B$16)/(1-Settings!$B$15),Settings!$B$17),($N15+Settings!$B$16)/(1-Settings!$B$15)))</f>
        <v/>
      </c>
      <c r="P15" s="7" t="str">
        <f aca="false">IF($O15="","",$O15*Settings!$B$15+Settings!$B$16)</f>
        <v/>
      </c>
      <c r="Q15" s="7" t="str">
        <f aca="false">IF($O15="","",$O15-$P15-$L15)</f>
        <v/>
      </c>
      <c r="R15" s="7" t="str">
        <f aca="false">IF(OR($Q15="",N($D15)&lt;=0),"",$Q15/$D15)</f>
        <v/>
      </c>
      <c r="S15" s="4"/>
    </row>
    <row r="16" customFormat="false" ht="15" hidden="false" customHeight="false" outlineLevel="0" collapsed="false">
      <c r="A16" s="4"/>
      <c r="B16" s="4"/>
      <c r="C16" s="5"/>
      <c r="D16" s="6"/>
      <c r="E16" s="6"/>
      <c r="F16" s="7" t="str">
        <f aca="false">IF(COUNT($C16:$D16)&lt;2,"",$C16*Settings!$B$7)</f>
        <v/>
      </c>
      <c r="G16" s="7" t="str">
        <f aca="false">IF(COUNT($C16:$D16)&lt;2,"",$D16*Settings!$B$8)</f>
        <v/>
      </c>
      <c r="H16" s="7" t="str">
        <f aca="false">IF(COUNT($C16:$D16)&lt;2,"",($F16+$G16)*Settings!$B$9)</f>
        <v/>
      </c>
      <c r="I16" s="7" t="str">
        <f aca="false">IF(COUNT($C16:$D16)&lt;2,"",Settings!$B$11/60*Settings!$B$10)</f>
        <v/>
      </c>
      <c r="J16" s="7" t="str">
        <f aca="false">IF(COUNT($C16:$D16)&lt;2,"",N($E16)*Settings!$B$10+IF($B16="Painted",Settings!$B$12,0))</f>
        <v/>
      </c>
      <c r="K16" s="7" t="str">
        <f aca="false">IF(COUNT($C16:$D16)&lt;2,"",Settings!$B$13+Settings!$B$14)</f>
        <v/>
      </c>
      <c r="L16" s="7" t="str">
        <f aca="false">IF(COUNT($C16:$D16)&lt;2,"",SUM($F16:$K16))</f>
        <v/>
      </c>
      <c r="M16" s="8" t="str">
        <f aca="false">IF(OR(COUNT($C16:$D16)&lt;2,$B16=""),"",IFERROR(INDEX(Settings!$B$21:$B$23,MATCH($B16,Settings!$A$21:$A$23,0)),""))</f>
        <v/>
      </c>
      <c r="N16" s="7" t="str">
        <f aca="false">IF(OR($L16="",$M16=""),"",$L16*$M16)</f>
        <v/>
      </c>
      <c r="O16" s="9" t="str">
        <f aca="false">IF($N16="","",IF(Settings!$B$17&gt;0,CEILING(($N16+Settings!$B$16)/(1-Settings!$B$15),Settings!$B$17),($N16+Settings!$B$16)/(1-Settings!$B$15)))</f>
        <v/>
      </c>
      <c r="P16" s="7" t="str">
        <f aca="false">IF($O16="","",$O16*Settings!$B$15+Settings!$B$16)</f>
        <v/>
      </c>
      <c r="Q16" s="7" t="str">
        <f aca="false">IF($O16="","",$O16-$P16-$L16)</f>
        <v/>
      </c>
      <c r="R16" s="7" t="str">
        <f aca="false">IF(OR($Q16="",N($D16)&lt;=0),"",$Q16/$D16)</f>
        <v/>
      </c>
      <c r="S16" s="4"/>
    </row>
    <row r="17" customFormat="false" ht="15" hidden="false" customHeight="false" outlineLevel="0" collapsed="false">
      <c r="A17" s="4"/>
      <c r="B17" s="4"/>
      <c r="C17" s="5"/>
      <c r="D17" s="6"/>
      <c r="E17" s="6"/>
      <c r="F17" s="7" t="str">
        <f aca="false">IF(COUNT($C17:$D17)&lt;2,"",$C17*Settings!$B$7)</f>
        <v/>
      </c>
      <c r="G17" s="7" t="str">
        <f aca="false">IF(COUNT($C17:$D17)&lt;2,"",$D17*Settings!$B$8)</f>
        <v/>
      </c>
      <c r="H17" s="7" t="str">
        <f aca="false">IF(COUNT($C17:$D17)&lt;2,"",($F17+$G17)*Settings!$B$9)</f>
        <v/>
      </c>
      <c r="I17" s="7" t="str">
        <f aca="false">IF(COUNT($C17:$D17)&lt;2,"",Settings!$B$11/60*Settings!$B$10)</f>
        <v/>
      </c>
      <c r="J17" s="7" t="str">
        <f aca="false">IF(COUNT($C17:$D17)&lt;2,"",N($E17)*Settings!$B$10+IF($B17="Painted",Settings!$B$12,0))</f>
        <v/>
      </c>
      <c r="K17" s="7" t="str">
        <f aca="false">IF(COUNT($C17:$D17)&lt;2,"",Settings!$B$13+Settings!$B$14)</f>
        <v/>
      </c>
      <c r="L17" s="7" t="str">
        <f aca="false">IF(COUNT($C17:$D17)&lt;2,"",SUM($F17:$K17))</f>
        <v/>
      </c>
      <c r="M17" s="8" t="str">
        <f aca="false">IF(OR(COUNT($C17:$D17)&lt;2,$B17=""),"",IFERROR(INDEX(Settings!$B$21:$B$23,MATCH($B17,Settings!$A$21:$A$23,0)),""))</f>
        <v/>
      </c>
      <c r="N17" s="7" t="str">
        <f aca="false">IF(OR($L17="",$M17=""),"",$L17*$M17)</f>
        <v/>
      </c>
      <c r="O17" s="9" t="str">
        <f aca="false">IF($N17="","",IF(Settings!$B$17&gt;0,CEILING(($N17+Settings!$B$16)/(1-Settings!$B$15),Settings!$B$17),($N17+Settings!$B$16)/(1-Settings!$B$15)))</f>
        <v/>
      </c>
      <c r="P17" s="7" t="str">
        <f aca="false">IF($O17="","",$O17*Settings!$B$15+Settings!$B$16)</f>
        <v/>
      </c>
      <c r="Q17" s="7" t="str">
        <f aca="false">IF($O17="","",$O17-$P17-$L17)</f>
        <v/>
      </c>
      <c r="R17" s="7" t="str">
        <f aca="false">IF(OR($Q17="",N($D17)&lt;=0),"",$Q17/$D17)</f>
        <v/>
      </c>
      <c r="S17" s="4"/>
    </row>
    <row r="18" customFormat="false" ht="15" hidden="false" customHeight="false" outlineLevel="0" collapsed="false">
      <c r="A18" s="4"/>
      <c r="B18" s="4"/>
      <c r="C18" s="5"/>
      <c r="D18" s="6"/>
      <c r="E18" s="6"/>
      <c r="F18" s="7" t="str">
        <f aca="false">IF(COUNT($C18:$D18)&lt;2,"",$C18*Settings!$B$7)</f>
        <v/>
      </c>
      <c r="G18" s="7" t="str">
        <f aca="false">IF(COUNT($C18:$D18)&lt;2,"",$D18*Settings!$B$8)</f>
        <v/>
      </c>
      <c r="H18" s="7" t="str">
        <f aca="false">IF(COUNT($C18:$D18)&lt;2,"",($F18+$G18)*Settings!$B$9)</f>
        <v/>
      </c>
      <c r="I18" s="7" t="str">
        <f aca="false">IF(COUNT($C18:$D18)&lt;2,"",Settings!$B$11/60*Settings!$B$10)</f>
        <v/>
      </c>
      <c r="J18" s="7" t="str">
        <f aca="false">IF(COUNT($C18:$D18)&lt;2,"",N($E18)*Settings!$B$10+IF($B18="Painted",Settings!$B$12,0))</f>
        <v/>
      </c>
      <c r="K18" s="7" t="str">
        <f aca="false">IF(COUNT($C18:$D18)&lt;2,"",Settings!$B$13+Settings!$B$14)</f>
        <v/>
      </c>
      <c r="L18" s="7" t="str">
        <f aca="false">IF(COUNT($C18:$D18)&lt;2,"",SUM($F18:$K18))</f>
        <v/>
      </c>
      <c r="M18" s="8" t="str">
        <f aca="false">IF(OR(COUNT($C18:$D18)&lt;2,$B18=""),"",IFERROR(INDEX(Settings!$B$21:$B$23,MATCH($B18,Settings!$A$21:$A$23,0)),""))</f>
        <v/>
      </c>
      <c r="N18" s="7" t="str">
        <f aca="false">IF(OR($L18="",$M18=""),"",$L18*$M18)</f>
        <v/>
      </c>
      <c r="O18" s="9" t="str">
        <f aca="false">IF($N18="","",IF(Settings!$B$17&gt;0,CEILING(($N18+Settings!$B$16)/(1-Settings!$B$15),Settings!$B$17),($N18+Settings!$B$16)/(1-Settings!$B$15)))</f>
        <v/>
      </c>
      <c r="P18" s="7" t="str">
        <f aca="false">IF($O18="","",$O18*Settings!$B$15+Settings!$B$16)</f>
        <v/>
      </c>
      <c r="Q18" s="7" t="str">
        <f aca="false">IF($O18="","",$O18-$P18-$L18)</f>
        <v/>
      </c>
      <c r="R18" s="7" t="str">
        <f aca="false">IF(OR($Q18="",N($D18)&lt;=0),"",$Q18/$D18)</f>
        <v/>
      </c>
      <c r="S18" s="4"/>
    </row>
    <row r="19" customFormat="false" ht="15" hidden="false" customHeight="false" outlineLevel="0" collapsed="false">
      <c r="A19" s="4"/>
      <c r="B19" s="4"/>
      <c r="C19" s="5"/>
      <c r="D19" s="6"/>
      <c r="E19" s="6"/>
      <c r="F19" s="7" t="str">
        <f aca="false">IF(COUNT($C19:$D19)&lt;2,"",$C19*Settings!$B$7)</f>
        <v/>
      </c>
      <c r="G19" s="7" t="str">
        <f aca="false">IF(COUNT($C19:$D19)&lt;2,"",$D19*Settings!$B$8)</f>
        <v/>
      </c>
      <c r="H19" s="7" t="str">
        <f aca="false">IF(COUNT($C19:$D19)&lt;2,"",($F19+$G19)*Settings!$B$9)</f>
        <v/>
      </c>
      <c r="I19" s="7" t="str">
        <f aca="false">IF(COUNT($C19:$D19)&lt;2,"",Settings!$B$11/60*Settings!$B$10)</f>
        <v/>
      </c>
      <c r="J19" s="7" t="str">
        <f aca="false">IF(COUNT($C19:$D19)&lt;2,"",N($E19)*Settings!$B$10+IF($B19="Painted",Settings!$B$12,0))</f>
        <v/>
      </c>
      <c r="K19" s="7" t="str">
        <f aca="false">IF(COUNT($C19:$D19)&lt;2,"",Settings!$B$13+Settings!$B$14)</f>
        <v/>
      </c>
      <c r="L19" s="7" t="str">
        <f aca="false">IF(COUNT($C19:$D19)&lt;2,"",SUM($F19:$K19))</f>
        <v/>
      </c>
      <c r="M19" s="8" t="str">
        <f aca="false">IF(OR(COUNT($C19:$D19)&lt;2,$B19=""),"",IFERROR(INDEX(Settings!$B$21:$B$23,MATCH($B19,Settings!$A$21:$A$23,0)),""))</f>
        <v/>
      </c>
      <c r="N19" s="7" t="str">
        <f aca="false">IF(OR($L19="",$M19=""),"",$L19*$M19)</f>
        <v/>
      </c>
      <c r="O19" s="9" t="str">
        <f aca="false">IF($N19="","",IF(Settings!$B$17&gt;0,CEILING(($N19+Settings!$B$16)/(1-Settings!$B$15),Settings!$B$17),($N19+Settings!$B$16)/(1-Settings!$B$15)))</f>
        <v/>
      </c>
      <c r="P19" s="7" t="str">
        <f aca="false">IF($O19="","",$O19*Settings!$B$15+Settings!$B$16)</f>
        <v/>
      </c>
      <c r="Q19" s="7" t="str">
        <f aca="false">IF($O19="","",$O19-$P19-$L19)</f>
        <v/>
      </c>
      <c r="R19" s="7" t="str">
        <f aca="false">IF(OR($Q19="",N($D19)&lt;=0),"",$Q19/$D19)</f>
        <v/>
      </c>
      <c r="S19" s="4"/>
    </row>
    <row r="20" customFormat="false" ht="15" hidden="false" customHeight="false" outlineLevel="0" collapsed="false">
      <c r="A20" s="4"/>
      <c r="B20" s="4"/>
      <c r="C20" s="5"/>
      <c r="D20" s="6"/>
      <c r="E20" s="6"/>
      <c r="F20" s="7" t="str">
        <f aca="false">IF(COUNT($C20:$D20)&lt;2,"",$C20*Settings!$B$7)</f>
        <v/>
      </c>
      <c r="G20" s="7" t="str">
        <f aca="false">IF(COUNT($C20:$D20)&lt;2,"",$D20*Settings!$B$8)</f>
        <v/>
      </c>
      <c r="H20" s="7" t="str">
        <f aca="false">IF(COUNT($C20:$D20)&lt;2,"",($F20+$G20)*Settings!$B$9)</f>
        <v/>
      </c>
      <c r="I20" s="7" t="str">
        <f aca="false">IF(COUNT($C20:$D20)&lt;2,"",Settings!$B$11/60*Settings!$B$10)</f>
        <v/>
      </c>
      <c r="J20" s="7" t="str">
        <f aca="false">IF(COUNT($C20:$D20)&lt;2,"",N($E20)*Settings!$B$10+IF($B20="Painted",Settings!$B$12,0))</f>
        <v/>
      </c>
      <c r="K20" s="7" t="str">
        <f aca="false">IF(COUNT($C20:$D20)&lt;2,"",Settings!$B$13+Settings!$B$14)</f>
        <v/>
      </c>
      <c r="L20" s="7" t="str">
        <f aca="false">IF(COUNT($C20:$D20)&lt;2,"",SUM($F20:$K20))</f>
        <v/>
      </c>
      <c r="M20" s="8" t="str">
        <f aca="false">IF(OR(COUNT($C20:$D20)&lt;2,$B20=""),"",IFERROR(INDEX(Settings!$B$21:$B$23,MATCH($B20,Settings!$A$21:$A$23,0)),""))</f>
        <v/>
      </c>
      <c r="N20" s="7" t="str">
        <f aca="false">IF(OR($L20="",$M20=""),"",$L20*$M20)</f>
        <v/>
      </c>
      <c r="O20" s="9" t="str">
        <f aca="false">IF($N20="","",IF(Settings!$B$17&gt;0,CEILING(($N20+Settings!$B$16)/(1-Settings!$B$15),Settings!$B$17),($N20+Settings!$B$16)/(1-Settings!$B$15)))</f>
        <v/>
      </c>
      <c r="P20" s="7" t="str">
        <f aca="false">IF($O20="","",$O20*Settings!$B$15+Settings!$B$16)</f>
        <v/>
      </c>
      <c r="Q20" s="7" t="str">
        <f aca="false">IF($O20="","",$O20-$P20-$L20)</f>
        <v/>
      </c>
      <c r="R20" s="7" t="str">
        <f aca="false">IF(OR($Q20="",N($D20)&lt;=0),"",$Q20/$D20)</f>
        <v/>
      </c>
      <c r="S20" s="4"/>
    </row>
    <row r="21" customFormat="false" ht="15" hidden="false" customHeight="false" outlineLevel="0" collapsed="false">
      <c r="A21" s="4"/>
      <c r="B21" s="4"/>
      <c r="C21" s="5"/>
      <c r="D21" s="6"/>
      <c r="E21" s="6"/>
      <c r="F21" s="7" t="str">
        <f aca="false">IF(COUNT($C21:$D21)&lt;2,"",$C21*Settings!$B$7)</f>
        <v/>
      </c>
      <c r="G21" s="7" t="str">
        <f aca="false">IF(COUNT($C21:$D21)&lt;2,"",$D21*Settings!$B$8)</f>
        <v/>
      </c>
      <c r="H21" s="7" t="str">
        <f aca="false">IF(COUNT($C21:$D21)&lt;2,"",($F21+$G21)*Settings!$B$9)</f>
        <v/>
      </c>
      <c r="I21" s="7" t="str">
        <f aca="false">IF(COUNT($C21:$D21)&lt;2,"",Settings!$B$11/60*Settings!$B$10)</f>
        <v/>
      </c>
      <c r="J21" s="7" t="str">
        <f aca="false">IF(COUNT($C21:$D21)&lt;2,"",N($E21)*Settings!$B$10+IF($B21="Painted",Settings!$B$12,0))</f>
        <v/>
      </c>
      <c r="K21" s="7" t="str">
        <f aca="false">IF(COUNT($C21:$D21)&lt;2,"",Settings!$B$13+Settings!$B$14)</f>
        <v/>
      </c>
      <c r="L21" s="7" t="str">
        <f aca="false">IF(COUNT($C21:$D21)&lt;2,"",SUM($F21:$K21))</f>
        <v/>
      </c>
      <c r="M21" s="8" t="str">
        <f aca="false">IF(OR(COUNT($C21:$D21)&lt;2,$B21=""),"",IFERROR(INDEX(Settings!$B$21:$B$23,MATCH($B21,Settings!$A$21:$A$23,0)),""))</f>
        <v/>
      </c>
      <c r="N21" s="7" t="str">
        <f aca="false">IF(OR($L21="",$M21=""),"",$L21*$M21)</f>
        <v/>
      </c>
      <c r="O21" s="9" t="str">
        <f aca="false">IF($N21="","",IF(Settings!$B$17&gt;0,CEILING(($N21+Settings!$B$16)/(1-Settings!$B$15),Settings!$B$17),($N21+Settings!$B$16)/(1-Settings!$B$15)))</f>
        <v/>
      </c>
      <c r="P21" s="7" t="str">
        <f aca="false">IF($O21="","",$O21*Settings!$B$15+Settings!$B$16)</f>
        <v/>
      </c>
      <c r="Q21" s="7" t="str">
        <f aca="false">IF($O21="","",$O21-$P21-$L21)</f>
        <v/>
      </c>
      <c r="R21" s="7" t="str">
        <f aca="false">IF(OR($Q21="",N($D21)&lt;=0),"",$Q21/$D21)</f>
        <v/>
      </c>
      <c r="S21" s="4"/>
    </row>
    <row r="22" customFormat="false" ht="15" hidden="false" customHeight="false" outlineLevel="0" collapsed="false">
      <c r="A22" s="4"/>
      <c r="B22" s="4"/>
      <c r="C22" s="5"/>
      <c r="D22" s="6"/>
      <c r="E22" s="6"/>
      <c r="F22" s="7" t="str">
        <f aca="false">IF(COUNT($C22:$D22)&lt;2,"",$C22*Settings!$B$7)</f>
        <v/>
      </c>
      <c r="G22" s="7" t="str">
        <f aca="false">IF(COUNT($C22:$D22)&lt;2,"",$D22*Settings!$B$8)</f>
        <v/>
      </c>
      <c r="H22" s="7" t="str">
        <f aca="false">IF(COUNT($C22:$D22)&lt;2,"",($F22+$G22)*Settings!$B$9)</f>
        <v/>
      </c>
      <c r="I22" s="7" t="str">
        <f aca="false">IF(COUNT($C22:$D22)&lt;2,"",Settings!$B$11/60*Settings!$B$10)</f>
        <v/>
      </c>
      <c r="J22" s="7" t="str">
        <f aca="false">IF(COUNT($C22:$D22)&lt;2,"",N($E22)*Settings!$B$10+IF($B22="Painted",Settings!$B$12,0))</f>
        <v/>
      </c>
      <c r="K22" s="7" t="str">
        <f aca="false">IF(COUNT($C22:$D22)&lt;2,"",Settings!$B$13+Settings!$B$14)</f>
        <v/>
      </c>
      <c r="L22" s="7" t="str">
        <f aca="false">IF(COUNT($C22:$D22)&lt;2,"",SUM($F22:$K22))</f>
        <v/>
      </c>
      <c r="M22" s="8" t="str">
        <f aca="false">IF(OR(COUNT($C22:$D22)&lt;2,$B22=""),"",IFERROR(INDEX(Settings!$B$21:$B$23,MATCH($B22,Settings!$A$21:$A$23,0)),""))</f>
        <v/>
      </c>
      <c r="N22" s="7" t="str">
        <f aca="false">IF(OR($L22="",$M22=""),"",$L22*$M22)</f>
        <v/>
      </c>
      <c r="O22" s="9" t="str">
        <f aca="false">IF($N22="","",IF(Settings!$B$17&gt;0,CEILING(($N22+Settings!$B$16)/(1-Settings!$B$15),Settings!$B$17),($N22+Settings!$B$16)/(1-Settings!$B$15)))</f>
        <v/>
      </c>
      <c r="P22" s="7" t="str">
        <f aca="false">IF($O22="","",$O22*Settings!$B$15+Settings!$B$16)</f>
        <v/>
      </c>
      <c r="Q22" s="7" t="str">
        <f aca="false">IF($O22="","",$O22-$P22-$L22)</f>
        <v/>
      </c>
      <c r="R22" s="7" t="str">
        <f aca="false">IF(OR($Q22="",N($D22)&lt;=0),"",$Q22/$D22)</f>
        <v/>
      </c>
      <c r="S22" s="4"/>
    </row>
    <row r="23" customFormat="false" ht="15" hidden="false" customHeight="false" outlineLevel="0" collapsed="false">
      <c r="A23" s="4"/>
      <c r="B23" s="4"/>
      <c r="C23" s="5"/>
      <c r="D23" s="6"/>
      <c r="E23" s="6"/>
      <c r="F23" s="7" t="str">
        <f aca="false">IF(COUNT($C23:$D23)&lt;2,"",$C23*Settings!$B$7)</f>
        <v/>
      </c>
      <c r="G23" s="7" t="str">
        <f aca="false">IF(COUNT($C23:$D23)&lt;2,"",$D23*Settings!$B$8)</f>
        <v/>
      </c>
      <c r="H23" s="7" t="str">
        <f aca="false">IF(COUNT($C23:$D23)&lt;2,"",($F23+$G23)*Settings!$B$9)</f>
        <v/>
      </c>
      <c r="I23" s="7" t="str">
        <f aca="false">IF(COUNT($C23:$D23)&lt;2,"",Settings!$B$11/60*Settings!$B$10)</f>
        <v/>
      </c>
      <c r="J23" s="7" t="str">
        <f aca="false">IF(COUNT($C23:$D23)&lt;2,"",N($E23)*Settings!$B$10+IF($B23="Painted",Settings!$B$12,0))</f>
        <v/>
      </c>
      <c r="K23" s="7" t="str">
        <f aca="false">IF(COUNT($C23:$D23)&lt;2,"",Settings!$B$13+Settings!$B$14)</f>
        <v/>
      </c>
      <c r="L23" s="7" t="str">
        <f aca="false">IF(COUNT($C23:$D23)&lt;2,"",SUM($F23:$K23))</f>
        <v/>
      </c>
      <c r="M23" s="8" t="str">
        <f aca="false">IF(OR(COUNT($C23:$D23)&lt;2,$B23=""),"",IFERROR(INDEX(Settings!$B$21:$B$23,MATCH($B23,Settings!$A$21:$A$23,0)),""))</f>
        <v/>
      </c>
      <c r="N23" s="7" t="str">
        <f aca="false">IF(OR($L23="",$M23=""),"",$L23*$M23)</f>
        <v/>
      </c>
      <c r="O23" s="9" t="str">
        <f aca="false">IF($N23="","",IF(Settings!$B$17&gt;0,CEILING(($N23+Settings!$B$16)/(1-Settings!$B$15),Settings!$B$17),($N23+Settings!$B$16)/(1-Settings!$B$15)))</f>
        <v/>
      </c>
      <c r="P23" s="7" t="str">
        <f aca="false">IF($O23="","",$O23*Settings!$B$15+Settings!$B$16)</f>
        <v/>
      </c>
      <c r="Q23" s="7" t="str">
        <f aca="false">IF($O23="","",$O23-$P23-$L23)</f>
        <v/>
      </c>
      <c r="R23" s="7" t="str">
        <f aca="false">IF(OR($Q23="",N($D23)&lt;=0),"",$Q23/$D23)</f>
        <v/>
      </c>
      <c r="S23" s="4"/>
    </row>
    <row r="24" customFormat="false" ht="15" hidden="false" customHeight="false" outlineLevel="0" collapsed="false">
      <c r="A24" s="4"/>
      <c r="B24" s="4"/>
      <c r="C24" s="5"/>
      <c r="D24" s="6"/>
      <c r="E24" s="6"/>
      <c r="F24" s="7" t="str">
        <f aca="false">IF(COUNT($C24:$D24)&lt;2,"",$C24*Settings!$B$7)</f>
        <v/>
      </c>
      <c r="G24" s="7" t="str">
        <f aca="false">IF(COUNT($C24:$D24)&lt;2,"",$D24*Settings!$B$8)</f>
        <v/>
      </c>
      <c r="H24" s="7" t="str">
        <f aca="false">IF(COUNT($C24:$D24)&lt;2,"",($F24+$G24)*Settings!$B$9)</f>
        <v/>
      </c>
      <c r="I24" s="7" t="str">
        <f aca="false">IF(COUNT($C24:$D24)&lt;2,"",Settings!$B$11/60*Settings!$B$10)</f>
        <v/>
      </c>
      <c r="J24" s="7" t="str">
        <f aca="false">IF(COUNT($C24:$D24)&lt;2,"",N($E24)*Settings!$B$10+IF($B24="Painted",Settings!$B$12,0))</f>
        <v/>
      </c>
      <c r="K24" s="7" t="str">
        <f aca="false">IF(COUNT($C24:$D24)&lt;2,"",Settings!$B$13+Settings!$B$14)</f>
        <v/>
      </c>
      <c r="L24" s="7" t="str">
        <f aca="false">IF(COUNT($C24:$D24)&lt;2,"",SUM($F24:$K24))</f>
        <v/>
      </c>
      <c r="M24" s="8" t="str">
        <f aca="false">IF(OR(COUNT($C24:$D24)&lt;2,$B24=""),"",IFERROR(INDEX(Settings!$B$21:$B$23,MATCH($B24,Settings!$A$21:$A$23,0)),""))</f>
        <v/>
      </c>
      <c r="N24" s="7" t="str">
        <f aca="false">IF(OR($L24="",$M24=""),"",$L24*$M24)</f>
        <v/>
      </c>
      <c r="O24" s="9" t="str">
        <f aca="false">IF($N24="","",IF(Settings!$B$17&gt;0,CEILING(($N24+Settings!$B$16)/(1-Settings!$B$15),Settings!$B$17),($N24+Settings!$B$16)/(1-Settings!$B$15)))</f>
        <v/>
      </c>
      <c r="P24" s="7" t="str">
        <f aca="false">IF($O24="","",$O24*Settings!$B$15+Settings!$B$16)</f>
        <v/>
      </c>
      <c r="Q24" s="7" t="str">
        <f aca="false">IF($O24="","",$O24-$P24-$L24)</f>
        <v/>
      </c>
      <c r="R24" s="7" t="str">
        <f aca="false">IF(OR($Q24="",N($D24)&lt;=0),"",$Q24/$D24)</f>
        <v/>
      </c>
      <c r="S24" s="4"/>
    </row>
    <row r="25" customFormat="false" ht="15" hidden="false" customHeight="false" outlineLevel="0" collapsed="false">
      <c r="A25" s="4"/>
      <c r="B25" s="4"/>
      <c r="C25" s="5"/>
      <c r="D25" s="6"/>
      <c r="E25" s="6"/>
      <c r="F25" s="7" t="str">
        <f aca="false">IF(COUNT($C25:$D25)&lt;2,"",$C25*Settings!$B$7)</f>
        <v/>
      </c>
      <c r="G25" s="7" t="str">
        <f aca="false">IF(COUNT($C25:$D25)&lt;2,"",$D25*Settings!$B$8)</f>
        <v/>
      </c>
      <c r="H25" s="7" t="str">
        <f aca="false">IF(COUNT($C25:$D25)&lt;2,"",($F25+$G25)*Settings!$B$9)</f>
        <v/>
      </c>
      <c r="I25" s="7" t="str">
        <f aca="false">IF(COUNT($C25:$D25)&lt;2,"",Settings!$B$11/60*Settings!$B$10)</f>
        <v/>
      </c>
      <c r="J25" s="7" t="str">
        <f aca="false">IF(COUNT($C25:$D25)&lt;2,"",N($E25)*Settings!$B$10+IF($B25="Painted",Settings!$B$12,0))</f>
        <v/>
      </c>
      <c r="K25" s="7" t="str">
        <f aca="false">IF(COUNT($C25:$D25)&lt;2,"",Settings!$B$13+Settings!$B$14)</f>
        <v/>
      </c>
      <c r="L25" s="7" t="str">
        <f aca="false">IF(COUNT($C25:$D25)&lt;2,"",SUM($F25:$K25))</f>
        <v/>
      </c>
      <c r="M25" s="8" t="str">
        <f aca="false">IF(OR(COUNT($C25:$D25)&lt;2,$B25=""),"",IFERROR(INDEX(Settings!$B$21:$B$23,MATCH($B25,Settings!$A$21:$A$23,0)),""))</f>
        <v/>
      </c>
      <c r="N25" s="7" t="str">
        <f aca="false">IF(OR($L25="",$M25=""),"",$L25*$M25)</f>
        <v/>
      </c>
      <c r="O25" s="9" t="str">
        <f aca="false">IF($N25="","",IF(Settings!$B$17&gt;0,CEILING(($N25+Settings!$B$16)/(1-Settings!$B$15),Settings!$B$17),($N25+Settings!$B$16)/(1-Settings!$B$15)))</f>
        <v/>
      </c>
      <c r="P25" s="7" t="str">
        <f aca="false">IF($O25="","",$O25*Settings!$B$15+Settings!$B$16)</f>
        <v/>
      </c>
      <c r="Q25" s="7" t="str">
        <f aca="false">IF($O25="","",$O25-$P25-$L25)</f>
        <v/>
      </c>
      <c r="R25" s="7" t="str">
        <f aca="false">IF(OR($Q25="",N($D25)&lt;=0),"",$Q25/$D25)</f>
        <v/>
      </c>
      <c r="S25" s="4"/>
    </row>
    <row r="26" customFormat="false" ht="15" hidden="false" customHeight="false" outlineLevel="0" collapsed="false">
      <c r="A26" s="4"/>
      <c r="B26" s="4"/>
      <c r="C26" s="5"/>
      <c r="D26" s="6"/>
      <c r="E26" s="6"/>
      <c r="F26" s="7" t="str">
        <f aca="false">IF(COUNT($C26:$D26)&lt;2,"",$C26*Settings!$B$7)</f>
        <v/>
      </c>
      <c r="G26" s="7" t="str">
        <f aca="false">IF(COUNT($C26:$D26)&lt;2,"",$D26*Settings!$B$8)</f>
        <v/>
      </c>
      <c r="H26" s="7" t="str">
        <f aca="false">IF(COUNT($C26:$D26)&lt;2,"",($F26+$G26)*Settings!$B$9)</f>
        <v/>
      </c>
      <c r="I26" s="7" t="str">
        <f aca="false">IF(COUNT($C26:$D26)&lt;2,"",Settings!$B$11/60*Settings!$B$10)</f>
        <v/>
      </c>
      <c r="J26" s="7" t="str">
        <f aca="false">IF(COUNT($C26:$D26)&lt;2,"",N($E26)*Settings!$B$10+IF($B26="Painted",Settings!$B$12,0))</f>
        <v/>
      </c>
      <c r="K26" s="7" t="str">
        <f aca="false">IF(COUNT($C26:$D26)&lt;2,"",Settings!$B$13+Settings!$B$14)</f>
        <v/>
      </c>
      <c r="L26" s="7" t="str">
        <f aca="false">IF(COUNT($C26:$D26)&lt;2,"",SUM($F26:$K26))</f>
        <v/>
      </c>
      <c r="M26" s="8" t="str">
        <f aca="false">IF(OR(COUNT($C26:$D26)&lt;2,$B26=""),"",IFERROR(INDEX(Settings!$B$21:$B$23,MATCH($B26,Settings!$A$21:$A$23,0)),""))</f>
        <v/>
      </c>
      <c r="N26" s="7" t="str">
        <f aca="false">IF(OR($L26="",$M26=""),"",$L26*$M26)</f>
        <v/>
      </c>
      <c r="O26" s="9" t="str">
        <f aca="false">IF($N26="","",IF(Settings!$B$17&gt;0,CEILING(($N26+Settings!$B$16)/(1-Settings!$B$15),Settings!$B$17),($N26+Settings!$B$16)/(1-Settings!$B$15)))</f>
        <v/>
      </c>
      <c r="P26" s="7" t="str">
        <f aca="false">IF($O26="","",$O26*Settings!$B$15+Settings!$B$16)</f>
        <v/>
      </c>
      <c r="Q26" s="7" t="str">
        <f aca="false">IF($O26="","",$O26-$P26-$L26)</f>
        <v/>
      </c>
      <c r="R26" s="7" t="str">
        <f aca="false">IF(OR($Q26="",N($D26)&lt;=0),"",$Q26/$D26)</f>
        <v/>
      </c>
      <c r="S26" s="4"/>
    </row>
    <row r="27" customFormat="false" ht="15" hidden="false" customHeight="false" outlineLevel="0" collapsed="false">
      <c r="A27" s="4"/>
      <c r="B27" s="4"/>
      <c r="C27" s="5"/>
      <c r="D27" s="6"/>
      <c r="E27" s="6"/>
      <c r="F27" s="7" t="str">
        <f aca="false">IF(COUNT($C27:$D27)&lt;2,"",$C27*Settings!$B$7)</f>
        <v/>
      </c>
      <c r="G27" s="7" t="str">
        <f aca="false">IF(COUNT($C27:$D27)&lt;2,"",$D27*Settings!$B$8)</f>
        <v/>
      </c>
      <c r="H27" s="7" t="str">
        <f aca="false">IF(COUNT($C27:$D27)&lt;2,"",($F27+$G27)*Settings!$B$9)</f>
        <v/>
      </c>
      <c r="I27" s="7" t="str">
        <f aca="false">IF(COUNT($C27:$D27)&lt;2,"",Settings!$B$11/60*Settings!$B$10)</f>
        <v/>
      </c>
      <c r="J27" s="7" t="str">
        <f aca="false">IF(COUNT($C27:$D27)&lt;2,"",N($E27)*Settings!$B$10+IF($B27="Painted",Settings!$B$12,0))</f>
        <v/>
      </c>
      <c r="K27" s="7" t="str">
        <f aca="false">IF(COUNT($C27:$D27)&lt;2,"",Settings!$B$13+Settings!$B$14)</f>
        <v/>
      </c>
      <c r="L27" s="7" t="str">
        <f aca="false">IF(COUNT($C27:$D27)&lt;2,"",SUM($F27:$K27))</f>
        <v/>
      </c>
      <c r="M27" s="8" t="str">
        <f aca="false">IF(OR(COUNT($C27:$D27)&lt;2,$B27=""),"",IFERROR(INDEX(Settings!$B$21:$B$23,MATCH($B27,Settings!$A$21:$A$23,0)),""))</f>
        <v/>
      </c>
      <c r="N27" s="7" t="str">
        <f aca="false">IF(OR($L27="",$M27=""),"",$L27*$M27)</f>
        <v/>
      </c>
      <c r="O27" s="9" t="str">
        <f aca="false">IF($N27="","",IF(Settings!$B$17&gt;0,CEILING(($N27+Settings!$B$16)/(1-Settings!$B$15),Settings!$B$17),($N27+Settings!$B$16)/(1-Settings!$B$15)))</f>
        <v/>
      </c>
      <c r="P27" s="7" t="str">
        <f aca="false">IF($O27="","",$O27*Settings!$B$15+Settings!$B$16)</f>
        <v/>
      </c>
      <c r="Q27" s="7" t="str">
        <f aca="false">IF($O27="","",$O27-$P27-$L27)</f>
        <v/>
      </c>
      <c r="R27" s="7" t="str">
        <f aca="false">IF(OR($Q27="",N($D27)&lt;=0),"",$Q27/$D27)</f>
        <v/>
      </c>
      <c r="S27" s="4"/>
    </row>
    <row r="28" customFormat="false" ht="15" hidden="false" customHeight="false" outlineLevel="0" collapsed="false">
      <c r="A28" s="4"/>
      <c r="B28" s="4"/>
      <c r="C28" s="5"/>
      <c r="D28" s="6"/>
      <c r="E28" s="6"/>
      <c r="F28" s="7" t="str">
        <f aca="false">IF(COUNT($C28:$D28)&lt;2,"",$C28*Settings!$B$7)</f>
        <v/>
      </c>
      <c r="G28" s="7" t="str">
        <f aca="false">IF(COUNT($C28:$D28)&lt;2,"",$D28*Settings!$B$8)</f>
        <v/>
      </c>
      <c r="H28" s="7" t="str">
        <f aca="false">IF(COUNT($C28:$D28)&lt;2,"",($F28+$G28)*Settings!$B$9)</f>
        <v/>
      </c>
      <c r="I28" s="7" t="str">
        <f aca="false">IF(COUNT($C28:$D28)&lt;2,"",Settings!$B$11/60*Settings!$B$10)</f>
        <v/>
      </c>
      <c r="J28" s="7" t="str">
        <f aca="false">IF(COUNT($C28:$D28)&lt;2,"",N($E28)*Settings!$B$10+IF($B28="Painted",Settings!$B$12,0))</f>
        <v/>
      </c>
      <c r="K28" s="7" t="str">
        <f aca="false">IF(COUNT($C28:$D28)&lt;2,"",Settings!$B$13+Settings!$B$14)</f>
        <v/>
      </c>
      <c r="L28" s="7" t="str">
        <f aca="false">IF(COUNT($C28:$D28)&lt;2,"",SUM($F28:$K28))</f>
        <v/>
      </c>
      <c r="M28" s="8" t="str">
        <f aca="false">IF(OR(COUNT($C28:$D28)&lt;2,$B28=""),"",IFERROR(INDEX(Settings!$B$21:$B$23,MATCH($B28,Settings!$A$21:$A$23,0)),""))</f>
        <v/>
      </c>
      <c r="N28" s="7" t="str">
        <f aca="false">IF(OR($L28="",$M28=""),"",$L28*$M28)</f>
        <v/>
      </c>
      <c r="O28" s="9" t="str">
        <f aca="false">IF($N28="","",IF(Settings!$B$17&gt;0,CEILING(($N28+Settings!$B$16)/(1-Settings!$B$15),Settings!$B$17),($N28+Settings!$B$16)/(1-Settings!$B$15)))</f>
        <v/>
      </c>
      <c r="P28" s="7" t="str">
        <f aca="false">IF($O28="","",$O28*Settings!$B$15+Settings!$B$16)</f>
        <v/>
      </c>
      <c r="Q28" s="7" t="str">
        <f aca="false">IF($O28="","",$O28-$P28-$L28)</f>
        <v/>
      </c>
      <c r="R28" s="7" t="str">
        <f aca="false">IF(OR($Q28="",N($D28)&lt;=0),"",$Q28/$D28)</f>
        <v/>
      </c>
      <c r="S28" s="4"/>
    </row>
    <row r="29" customFormat="false" ht="15" hidden="false" customHeight="false" outlineLevel="0" collapsed="false">
      <c r="A29" s="4"/>
      <c r="B29" s="4"/>
      <c r="C29" s="5"/>
      <c r="D29" s="6"/>
      <c r="E29" s="6"/>
      <c r="F29" s="7" t="str">
        <f aca="false">IF(COUNT($C29:$D29)&lt;2,"",$C29*Settings!$B$7)</f>
        <v/>
      </c>
      <c r="G29" s="7" t="str">
        <f aca="false">IF(COUNT($C29:$D29)&lt;2,"",$D29*Settings!$B$8)</f>
        <v/>
      </c>
      <c r="H29" s="7" t="str">
        <f aca="false">IF(COUNT($C29:$D29)&lt;2,"",($F29+$G29)*Settings!$B$9)</f>
        <v/>
      </c>
      <c r="I29" s="7" t="str">
        <f aca="false">IF(COUNT($C29:$D29)&lt;2,"",Settings!$B$11/60*Settings!$B$10)</f>
        <v/>
      </c>
      <c r="J29" s="7" t="str">
        <f aca="false">IF(COUNT($C29:$D29)&lt;2,"",N($E29)*Settings!$B$10+IF($B29="Painted",Settings!$B$12,0))</f>
        <v/>
      </c>
      <c r="K29" s="7" t="str">
        <f aca="false">IF(COUNT($C29:$D29)&lt;2,"",Settings!$B$13+Settings!$B$14)</f>
        <v/>
      </c>
      <c r="L29" s="7" t="str">
        <f aca="false">IF(COUNT($C29:$D29)&lt;2,"",SUM($F29:$K29))</f>
        <v/>
      </c>
      <c r="M29" s="8" t="str">
        <f aca="false">IF(OR(COUNT($C29:$D29)&lt;2,$B29=""),"",IFERROR(INDEX(Settings!$B$21:$B$23,MATCH($B29,Settings!$A$21:$A$23,0)),""))</f>
        <v/>
      </c>
      <c r="N29" s="7" t="str">
        <f aca="false">IF(OR($L29="",$M29=""),"",$L29*$M29)</f>
        <v/>
      </c>
      <c r="O29" s="9" t="str">
        <f aca="false">IF($N29="","",IF(Settings!$B$17&gt;0,CEILING(($N29+Settings!$B$16)/(1-Settings!$B$15),Settings!$B$17),($N29+Settings!$B$16)/(1-Settings!$B$15)))</f>
        <v/>
      </c>
      <c r="P29" s="7" t="str">
        <f aca="false">IF($O29="","",$O29*Settings!$B$15+Settings!$B$16)</f>
        <v/>
      </c>
      <c r="Q29" s="7" t="str">
        <f aca="false">IF($O29="","",$O29-$P29-$L29)</f>
        <v/>
      </c>
      <c r="R29" s="7" t="str">
        <f aca="false">IF(OR($Q29="",N($D29)&lt;=0),"",$Q29/$D29)</f>
        <v/>
      </c>
      <c r="S29" s="4"/>
    </row>
    <row r="30" customFormat="false" ht="15" hidden="false" customHeight="false" outlineLevel="0" collapsed="false">
      <c r="A30" s="4"/>
      <c r="B30" s="4"/>
      <c r="C30" s="5"/>
      <c r="D30" s="6"/>
      <c r="E30" s="6"/>
      <c r="F30" s="7" t="str">
        <f aca="false">IF(COUNT($C30:$D30)&lt;2,"",$C30*Settings!$B$7)</f>
        <v/>
      </c>
      <c r="G30" s="7" t="str">
        <f aca="false">IF(COUNT($C30:$D30)&lt;2,"",$D30*Settings!$B$8)</f>
        <v/>
      </c>
      <c r="H30" s="7" t="str">
        <f aca="false">IF(COUNT($C30:$D30)&lt;2,"",($F30+$G30)*Settings!$B$9)</f>
        <v/>
      </c>
      <c r="I30" s="7" t="str">
        <f aca="false">IF(COUNT($C30:$D30)&lt;2,"",Settings!$B$11/60*Settings!$B$10)</f>
        <v/>
      </c>
      <c r="J30" s="7" t="str">
        <f aca="false">IF(COUNT($C30:$D30)&lt;2,"",N($E30)*Settings!$B$10+IF($B30="Painted",Settings!$B$12,0))</f>
        <v/>
      </c>
      <c r="K30" s="7" t="str">
        <f aca="false">IF(COUNT($C30:$D30)&lt;2,"",Settings!$B$13+Settings!$B$14)</f>
        <v/>
      </c>
      <c r="L30" s="7" t="str">
        <f aca="false">IF(COUNT($C30:$D30)&lt;2,"",SUM($F30:$K30))</f>
        <v/>
      </c>
      <c r="M30" s="8" t="str">
        <f aca="false">IF(OR(COUNT($C30:$D30)&lt;2,$B30=""),"",IFERROR(INDEX(Settings!$B$21:$B$23,MATCH($B30,Settings!$A$21:$A$23,0)),""))</f>
        <v/>
      </c>
      <c r="N30" s="7" t="str">
        <f aca="false">IF(OR($L30="",$M30=""),"",$L30*$M30)</f>
        <v/>
      </c>
      <c r="O30" s="9" t="str">
        <f aca="false">IF($N30="","",IF(Settings!$B$17&gt;0,CEILING(($N30+Settings!$B$16)/(1-Settings!$B$15),Settings!$B$17),($N30+Settings!$B$16)/(1-Settings!$B$15)))</f>
        <v/>
      </c>
      <c r="P30" s="7" t="str">
        <f aca="false">IF($O30="","",$O30*Settings!$B$15+Settings!$B$16)</f>
        <v/>
      </c>
      <c r="Q30" s="7" t="str">
        <f aca="false">IF($O30="","",$O30-$P30-$L30)</f>
        <v/>
      </c>
      <c r="R30" s="7" t="str">
        <f aca="false">IF(OR($Q30="",N($D30)&lt;=0),"",$Q30/$D30)</f>
        <v/>
      </c>
      <c r="S30" s="4"/>
    </row>
    <row r="31" customFormat="false" ht="15" hidden="false" customHeight="false" outlineLevel="0" collapsed="false">
      <c r="A31" s="4"/>
      <c r="B31" s="4"/>
      <c r="C31" s="5"/>
      <c r="D31" s="6"/>
      <c r="E31" s="6"/>
      <c r="F31" s="7" t="str">
        <f aca="false">IF(COUNT($C31:$D31)&lt;2,"",$C31*Settings!$B$7)</f>
        <v/>
      </c>
      <c r="G31" s="7" t="str">
        <f aca="false">IF(COUNT($C31:$D31)&lt;2,"",$D31*Settings!$B$8)</f>
        <v/>
      </c>
      <c r="H31" s="7" t="str">
        <f aca="false">IF(COUNT($C31:$D31)&lt;2,"",($F31+$G31)*Settings!$B$9)</f>
        <v/>
      </c>
      <c r="I31" s="7" t="str">
        <f aca="false">IF(COUNT($C31:$D31)&lt;2,"",Settings!$B$11/60*Settings!$B$10)</f>
        <v/>
      </c>
      <c r="J31" s="7" t="str">
        <f aca="false">IF(COUNT($C31:$D31)&lt;2,"",N($E31)*Settings!$B$10+IF($B31="Painted",Settings!$B$12,0))</f>
        <v/>
      </c>
      <c r="K31" s="7" t="str">
        <f aca="false">IF(COUNT($C31:$D31)&lt;2,"",Settings!$B$13+Settings!$B$14)</f>
        <v/>
      </c>
      <c r="L31" s="7" t="str">
        <f aca="false">IF(COUNT($C31:$D31)&lt;2,"",SUM($F31:$K31))</f>
        <v/>
      </c>
      <c r="M31" s="8" t="str">
        <f aca="false">IF(OR(COUNT($C31:$D31)&lt;2,$B31=""),"",IFERROR(INDEX(Settings!$B$21:$B$23,MATCH($B31,Settings!$A$21:$A$23,0)),""))</f>
        <v/>
      </c>
      <c r="N31" s="7" t="str">
        <f aca="false">IF(OR($L31="",$M31=""),"",$L31*$M31)</f>
        <v/>
      </c>
      <c r="O31" s="9" t="str">
        <f aca="false">IF($N31="","",IF(Settings!$B$17&gt;0,CEILING(($N31+Settings!$B$16)/(1-Settings!$B$15),Settings!$B$17),($N31+Settings!$B$16)/(1-Settings!$B$15)))</f>
        <v/>
      </c>
      <c r="P31" s="7" t="str">
        <f aca="false">IF($O31="","",$O31*Settings!$B$15+Settings!$B$16)</f>
        <v/>
      </c>
      <c r="Q31" s="7" t="str">
        <f aca="false">IF($O31="","",$O31-$P31-$L31)</f>
        <v/>
      </c>
      <c r="R31" s="7" t="str">
        <f aca="false">IF(OR($Q31="",N($D31)&lt;=0),"",$Q31/$D31)</f>
        <v/>
      </c>
      <c r="S31" s="4"/>
    </row>
    <row r="32" customFormat="false" ht="15" hidden="false" customHeight="false" outlineLevel="0" collapsed="false">
      <c r="A32" s="4"/>
      <c r="B32" s="4"/>
      <c r="C32" s="5"/>
      <c r="D32" s="6"/>
      <c r="E32" s="6"/>
      <c r="F32" s="7" t="str">
        <f aca="false">IF(COUNT($C32:$D32)&lt;2,"",$C32*Settings!$B$7)</f>
        <v/>
      </c>
      <c r="G32" s="7" t="str">
        <f aca="false">IF(COUNT($C32:$D32)&lt;2,"",$D32*Settings!$B$8)</f>
        <v/>
      </c>
      <c r="H32" s="7" t="str">
        <f aca="false">IF(COUNT($C32:$D32)&lt;2,"",($F32+$G32)*Settings!$B$9)</f>
        <v/>
      </c>
      <c r="I32" s="7" t="str">
        <f aca="false">IF(COUNT($C32:$D32)&lt;2,"",Settings!$B$11/60*Settings!$B$10)</f>
        <v/>
      </c>
      <c r="J32" s="7" t="str">
        <f aca="false">IF(COUNT($C32:$D32)&lt;2,"",N($E32)*Settings!$B$10+IF($B32="Painted",Settings!$B$12,0))</f>
        <v/>
      </c>
      <c r="K32" s="7" t="str">
        <f aca="false">IF(COUNT($C32:$D32)&lt;2,"",Settings!$B$13+Settings!$B$14)</f>
        <v/>
      </c>
      <c r="L32" s="7" t="str">
        <f aca="false">IF(COUNT($C32:$D32)&lt;2,"",SUM($F32:$K32))</f>
        <v/>
      </c>
      <c r="M32" s="8" t="str">
        <f aca="false">IF(OR(COUNT($C32:$D32)&lt;2,$B32=""),"",IFERROR(INDEX(Settings!$B$21:$B$23,MATCH($B32,Settings!$A$21:$A$23,0)),""))</f>
        <v/>
      </c>
      <c r="N32" s="7" t="str">
        <f aca="false">IF(OR($L32="",$M32=""),"",$L32*$M32)</f>
        <v/>
      </c>
      <c r="O32" s="9" t="str">
        <f aca="false">IF($N32="","",IF(Settings!$B$17&gt;0,CEILING(($N32+Settings!$B$16)/(1-Settings!$B$15),Settings!$B$17),($N32+Settings!$B$16)/(1-Settings!$B$15)))</f>
        <v/>
      </c>
      <c r="P32" s="7" t="str">
        <f aca="false">IF($O32="","",$O32*Settings!$B$15+Settings!$B$16)</f>
        <v/>
      </c>
      <c r="Q32" s="7" t="str">
        <f aca="false">IF($O32="","",$O32-$P32-$L32)</f>
        <v/>
      </c>
      <c r="R32" s="7" t="str">
        <f aca="false">IF(OR($Q32="",N($D32)&lt;=0),"",$Q32/$D32)</f>
        <v/>
      </c>
      <c r="S32" s="4"/>
    </row>
    <row r="33" customFormat="false" ht="15" hidden="false" customHeight="false" outlineLevel="0" collapsed="false">
      <c r="A33" s="4"/>
      <c r="B33" s="4"/>
      <c r="C33" s="5"/>
      <c r="D33" s="6"/>
      <c r="E33" s="6"/>
      <c r="F33" s="7" t="str">
        <f aca="false">IF(COUNT($C33:$D33)&lt;2,"",$C33*Settings!$B$7)</f>
        <v/>
      </c>
      <c r="G33" s="7" t="str">
        <f aca="false">IF(COUNT($C33:$D33)&lt;2,"",$D33*Settings!$B$8)</f>
        <v/>
      </c>
      <c r="H33" s="7" t="str">
        <f aca="false">IF(COUNT($C33:$D33)&lt;2,"",($F33+$G33)*Settings!$B$9)</f>
        <v/>
      </c>
      <c r="I33" s="7" t="str">
        <f aca="false">IF(COUNT($C33:$D33)&lt;2,"",Settings!$B$11/60*Settings!$B$10)</f>
        <v/>
      </c>
      <c r="J33" s="7" t="str">
        <f aca="false">IF(COUNT($C33:$D33)&lt;2,"",N($E33)*Settings!$B$10+IF($B33="Painted",Settings!$B$12,0))</f>
        <v/>
      </c>
      <c r="K33" s="7" t="str">
        <f aca="false">IF(COUNT($C33:$D33)&lt;2,"",Settings!$B$13+Settings!$B$14)</f>
        <v/>
      </c>
      <c r="L33" s="7" t="str">
        <f aca="false">IF(COUNT($C33:$D33)&lt;2,"",SUM($F33:$K33))</f>
        <v/>
      </c>
      <c r="M33" s="8" t="str">
        <f aca="false">IF(OR(COUNT($C33:$D33)&lt;2,$B33=""),"",IFERROR(INDEX(Settings!$B$21:$B$23,MATCH($B33,Settings!$A$21:$A$23,0)),""))</f>
        <v/>
      </c>
      <c r="N33" s="7" t="str">
        <f aca="false">IF(OR($L33="",$M33=""),"",$L33*$M33)</f>
        <v/>
      </c>
      <c r="O33" s="9" t="str">
        <f aca="false">IF($N33="","",IF(Settings!$B$17&gt;0,CEILING(($N33+Settings!$B$16)/(1-Settings!$B$15),Settings!$B$17),($N33+Settings!$B$16)/(1-Settings!$B$15)))</f>
        <v/>
      </c>
      <c r="P33" s="7" t="str">
        <f aca="false">IF($O33="","",$O33*Settings!$B$15+Settings!$B$16)</f>
        <v/>
      </c>
      <c r="Q33" s="7" t="str">
        <f aca="false">IF($O33="","",$O33-$P33-$L33)</f>
        <v/>
      </c>
      <c r="R33" s="7" t="str">
        <f aca="false">IF(OR($Q33="",N($D33)&lt;=0),"",$Q33/$D33)</f>
        <v/>
      </c>
      <c r="S33" s="4"/>
    </row>
    <row r="34" customFormat="false" ht="15" hidden="false" customHeight="false" outlineLevel="0" collapsed="false">
      <c r="A34" s="4"/>
      <c r="B34" s="4"/>
      <c r="C34" s="5"/>
      <c r="D34" s="6"/>
      <c r="E34" s="6"/>
      <c r="F34" s="7" t="str">
        <f aca="false">IF(COUNT($C34:$D34)&lt;2,"",$C34*Settings!$B$7)</f>
        <v/>
      </c>
      <c r="G34" s="7" t="str">
        <f aca="false">IF(COUNT($C34:$D34)&lt;2,"",$D34*Settings!$B$8)</f>
        <v/>
      </c>
      <c r="H34" s="7" t="str">
        <f aca="false">IF(COUNT($C34:$D34)&lt;2,"",($F34+$G34)*Settings!$B$9)</f>
        <v/>
      </c>
      <c r="I34" s="7" t="str">
        <f aca="false">IF(COUNT($C34:$D34)&lt;2,"",Settings!$B$11/60*Settings!$B$10)</f>
        <v/>
      </c>
      <c r="J34" s="7" t="str">
        <f aca="false">IF(COUNT($C34:$D34)&lt;2,"",N($E34)*Settings!$B$10+IF($B34="Painted",Settings!$B$12,0))</f>
        <v/>
      </c>
      <c r="K34" s="7" t="str">
        <f aca="false">IF(COUNT($C34:$D34)&lt;2,"",Settings!$B$13+Settings!$B$14)</f>
        <v/>
      </c>
      <c r="L34" s="7" t="str">
        <f aca="false">IF(COUNT($C34:$D34)&lt;2,"",SUM($F34:$K34))</f>
        <v/>
      </c>
      <c r="M34" s="8" t="str">
        <f aca="false">IF(OR(COUNT($C34:$D34)&lt;2,$B34=""),"",IFERROR(INDEX(Settings!$B$21:$B$23,MATCH($B34,Settings!$A$21:$A$23,0)),""))</f>
        <v/>
      </c>
      <c r="N34" s="7" t="str">
        <f aca="false">IF(OR($L34="",$M34=""),"",$L34*$M34)</f>
        <v/>
      </c>
      <c r="O34" s="9" t="str">
        <f aca="false">IF($N34="","",IF(Settings!$B$17&gt;0,CEILING(($N34+Settings!$B$16)/(1-Settings!$B$15),Settings!$B$17),($N34+Settings!$B$16)/(1-Settings!$B$15)))</f>
        <v/>
      </c>
      <c r="P34" s="7" t="str">
        <f aca="false">IF($O34="","",$O34*Settings!$B$15+Settings!$B$16)</f>
        <v/>
      </c>
      <c r="Q34" s="7" t="str">
        <f aca="false">IF($O34="","",$O34-$P34-$L34)</f>
        <v/>
      </c>
      <c r="R34" s="7" t="str">
        <f aca="false">IF(OR($Q34="",N($D34)&lt;=0),"",$Q34/$D34)</f>
        <v/>
      </c>
      <c r="S34" s="4"/>
    </row>
    <row r="35" customFormat="false" ht="15" hidden="false" customHeight="false" outlineLevel="0" collapsed="false">
      <c r="A35" s="4"/>
      <c r="B35" s="4"/>
      <c r="C35" s="5"/>
      <c r="D35" s="6"/>
      <c r="E35" s="6"/>
      <c r="F35" s="7" t="str">
        <f aca="false">IF(COUNT($C35:$D35)&lt;2,"",$C35*Settings!$B$7)</f>
        <v/>
      </c>
      <c r="G35" s="7" t="str">
        <f aca="false">IF(COUNT($C35:$D35)&lt;2,"",$D35*Settings!$B$8)</f>
        <v/>
      </c>
      <c r="H35" s="7" t="str">
        <f aca="false">IF(COUNT($C35:$D35)&lt;2,"",($F35+$G35)*Settings!$B$9)</f>
        <v/>
      </c>
      <c r="I35" s="7" t="str">
        <f aca="false">IF(COUNT($C35:$D35)&lt;2,"",Settings!$B$11/60*Settings!$B$10)</f>
        <v/>
      </c>
      <c r="J35" s="7" t="str">
        <f aca="false">IF(COUNT($C35:$D35)&lt;2,"",N($E35)*Settings!$B$10+IF($B35="Painted",Settings!$B$12,0))</f>
        <v/>
      </c>
      <c r="K35" s="7" t="str">
        <f aca="false">IF(COUNT($C35:$D35)&lt;2,"",Settings!$B$13+Settings!$B$14)</f>
        <v/>
      </c>
      <c r="L35" s="7" t="str">
        <f aca="false">IF(COUNT($C35:$D35)&lt;2,"",SUM($F35:$K35))</f>
        <v/>
      </c>
      <c r="M35" s="8" t="str">
        <f aca="false">IF(OR(COUNT($C35:$D35)&lt;2,$B35=""),"",IFERROR(INDEX(Settings!$B$21:$B$23,MATCH($B35,Settings!$A$21:$A$23,0)),""))</f>
        <v/>
      </c>
      <c r="N35" s="7" t="str">
        <f aca="false">IF(OR($L35="",$M35=""),"",$L35*$M35)</f>
        <v/>
      </c>
      <c r="O35" s="9" t="str">
        <f aca="false">IF($N35="","",IF(Settings!$B$17&gt;0,CEILING(($N35+Settings!$B$16)/(1-Settings!$B$15),Settings!$B$17),($N35+Settings!$B$16)/(1-Settings!$B$15)))</f>
        <v/>
      </c>
      <c r="P35" s="7" t="str">
        <f aca="false">IF($O35="","",$O35*Settings!$B$15+Settings!$B$16)</f>
        <v/>
      </c>
      <c r="Q35" s="7" t="str">
        <f aca="false">IF($O35="","",$O35-$P35-$L35)</f>
        <v/>
      </c>
      <c r="R35" s="7" t="str">
        <f aca="false">IF(OR($Q35="",N($D35)&lt;=0),"",$Q35/$D35)</f>
        <v/>
      </c>
      <c r="S35" s="4"/>
    </row>
    <row r="36" customFormat="false" ht="15" hidden="false" customHeight="false" outlineLevel="0" collapsed="false">
      <c r="A36" s="4"/>
      <c r="B36" s="4"/>
      <c r="C36" s="5"/>
      <c r="D36" s="6"/>
      <c r="E36" s="6"/>
      <c r="F36" s="7" t="str">
        <f aca="false">IF(COUNT($C36:$D36)&lt;2,"",$C36*Settings!$B$7)</f>
        <v/>
      </c>
      <c r="G36" s="7" t="str">
        <f aca="false">IF(COUNT($C36:$D36)&lt;2,"",$D36*Settings!$B$8)</f>
        <v/>
      </c>
      <c r="H36" s="7" t="str">
        <f aca="false">IF(COUNT($C36:$D36)&lt;2,"",($F36+$G36)*Settings!$B$9)</f>
        <v/>
      </c>
      <c r="I36" s="7" t="str">
        <f aca="false">IF(COUNT($C36:$D36)&lt;2,"",Settings!$B$11/60*Settings!$B$10)</f>
        <v/>
      </c>
      <c r="J36" s="7" t="str">
        <f aca="false">IF(COUNT($C36:$D36)&lt;2,"",N($E36)*Settings!$B$10+IF($B36="Painted",Settings!$B$12,0))</f>
        <v/>
      </c>
      <c r="K36" s="7" t="str">
        <f aca="false">IF(COUNT($C36:$D36)&lt;2,"",Settings!$B$13+Settings!$B$14)</f>
        <v/>
      </c>
      <c r="L36" s="7" t="str">
        <f aca="false">IF(COUNT($C36:$D36)&lt;2,"",SUM($F36:$K36))</f>
        <v/>
      </c>
      <c r="M36" s="8" t="str">
        <f aca="false">IF(OR(COUNT($C36:$D36)&lt;2,$B36=""),"",IFERROR(INDEX(Settings!$B$21:$B$23,MATCH($B36,Settings!$A$21:$A$23,0)),""))</f>
        <v/>
      </c>
      <c r="N36" s="7" t="str">
        <f aca="false">IF(OR($L36="",$M36=""),"",$L36*$M36)</f>
        <v/>
      </c>
      <c r="O36" s="9" t="str">
        <f aca="false">IF($N36="","",IF(Settings!$B$17&gt;0,CEILING(($N36+Settings!$B$16)/(1-Settings!$B$15),Settings!$B$17),($N36+Settings!$B$16)/(1-Settings!$B$15)))</f>
        <v/>
      </c>
      <c r="P36" s="7" t="str">
        <f aca="false">IF($O36="","",$O36*Settings!$B$15+Settings!$B$16)</f>
        <v/>
      </c>
      <c r="Q36" s="7" t="str">
        <f aca="false">IF($O36="","",$O36-$P36-$L36)</f>
        <v/>
      </c>
      <c r="R36" s="7" t="str">
        <f aca="false">IF(OR($Q36="",N($D36)&lt;=0),"",$Q36/$D36)</f>
        <v/>
      </c>
      <c r="S36" s="4"/>
    </row>
    <row r="37" customFormat="false" ht="15" hidden="false" customHeight="false" outlineLevel="0" collapsed="false">
      <c r="A37" s="4"/>
      <c r="B37" s="4"/>
      <c r="C37" s="5"/>
      <c r="D37" s="6"/>
      <c r="E37" s="6"/>
      <c r="F37" s="7" t="str">
        <f aca="false">IF(COUNT($C37:$D37)&lt;2,"",$C37*Settings!$B$7)</f>
        <v/>
      </c>
      <c r="G37" s="7" t="str">
        <f aca="false">IF(COUNT($C37:$D37)&lt;2,"",$D37*Settings!$B$8)</f>
        <v/>
      </c>
      <c r="H37" s="7" t="str">
        <f aca="false">IF(COUNT($C37:$D37)&lt;2,"",($F37+$G37)*Settings!$B$9)</f>
        <v/>
      </c>
      <c r="I37" s="7" t="str">
        <f aca="false">IF(COUNT($C37:$D37)&lt;2,"",Settings!$B$11/60*Settings!$B$10)</f>
        <v/>
      </c>
      <c r="J37" s="7" t="str">
        <f aca="false">IF(COUNT($C37:$D37)&lt;2,"",N($E37)*Settings!$B$10+IF($B37="Painted",Settings!$B$12,0))</f>
        <v/>
      </c>
      <c r="K37" s="7" t="str">
        <f aca="false">IF(COUNT($C37:$D37)&lt;2,"",Settings!$B$13+Settings!$B$14)</f>
        <v/>
      </c>
      <c r="L37" s="7" t="str">
        <f aca="false">IF(COUNT($C37:$D37)&lt;2,"",SUM($F37:$K37))</f>
        <v/>
      </c>
      <c r="M37" s="8" t="str">
        <f aca="false">IF(OR(COUNT($C37:$D37)&lt;2,$B37=""),"",IFERROR(INDEX(Settings!$B$21:$B$23,MATCH($B37,Settings!$A$21:$A$23,0)),""))</f>
        <v/>
      </c>
      <c r="N37" s="7" t="str">
        <f aca="false">IF(OR($L37="",$M37=""),"",$L37*$M37)</f>
        <v/>
      </c>
      <c r="O37" s="9" t="str">
        <f aca="false">IF($N37="","",IF(Settings!$B$17&gt;0,CEILING(($N37+Settings!$B$16)/(1-Settings!$B$15),Settings!$B$17),($N37+Settings!$B$16)/(1-Settings!$B$15)))</f>
        <v/>
      </c>
      <c r="P37" s="7" t="str">
        <f aca="false">IF($O37="","",$O37*Settings!$B$15+Settings!$B$16)</f>
        <v/>
      </c>
      <c r="Q37" s="7" t="str">
        <f aca="false">IF($O37="","",$O37-$P37-$L37)</f>
        <v/>
      </c>
      <c r="R37" s="7" t="str">
        <f aca="false">IF(OR($Q37="",N($D37)&lt;=0),"",$Q37/$D37)</f>
        <v/>
      </c>
      <c r="S37" s="4"/>
    </row>
    <row r="38" customFormat="false" ht="15" hidden="false" customHeight="false" outlineLevel="0" collapsed="false">
      <c r="A38" s="4"/>
      <c r="B38" s="4"/>
      <c r="C38" s="5"/>
      <c r="D38" s="6"/>
      <c r="E38" s="6"/>
      <c r="F38" s="7" t="str">
        <f aca="false">IF(COUNT($C38:$D38)&lt;2,"",$C38*Settings!$B$7)</f>
        <v/>
      </c>
      <c r="G38" s="7" t="str">
        <f aca="false">IF(COUNT($C38:$D38)&lt;2,"",$D38*Settings!$B$8)</f>
        <v/>
      </c>
      <c r="H38" s="7" t="str">
        <f aca="false">IF(COUNT($C38:$D38)&lt;2,"",($F38+$G38)*Settings!$B$9)</f>
        <v/>
      </c>
      <c r="I38" s="7" t="str">
        <f aca="false">IF(COUNT($C38:$D38)&lt;2,"",Settings!$B$11/60*Settings!$B$10)</f>
        <v/>
      </c>
      <c r="J38" s="7" t="str">
        <f aca="false">IF(COUNT($C38:$D38)&lt;2,"",N($E38)*Settings!$B$10+IF($B38="Painted",Settings!$B$12,0))</f>
        <v/>
      </c>
      <c r="K38" s="7" t="str">
        <f aca="false">IF(COUNT($C38:$D38)&lt;2,"",Settings!$B$13+Settings!$B$14)</f>
        <v/>
      </c>
      <c r="L38" s="7" t="str">
        <f aca="false">IF(COUNT($C38:$D38)&lt;2,"",SUM($F38:$K38))</f>
        <v/>
      </c>
      <c r="M38" s="8" t="str">
        <f aca="false">IF(OR(COUNT($C38:$D38)&lt;2,$B38=""),"",IFERROR(INDEX(Settings!$B$21:$B$23,MATCH($B38,Settings!$A$21:$A$23,0)),""))</f>
        <v/>
      </c>
      <c r="N38" s="7" t="str">
        <f aca="false">IF(OR($L38="",$M38=""),"",$L38*$M38)</f>
        <v/>
      </c>
      <c r="O38" s="9" t="str">
        <f aca="false">IF($N38="","",IF(Settings!$B$17&gt;0,CEILING(($N38+Settings!$B$16)/(1-Settings!$B$15),Settings!$B$17),($N38+Settings!$B$16)/(1-Settings!$B$15)))</f>
        <v/>
      </c>
      <c r="P38" s="7" t="str">
        <f aca="false">IF($O38="","",$O38*Settings!$B$15+Settings!$B$16)</f>
        <v/>
      </c>
      <c r="Q38" s="7" t="str">
        <f aca="false">IF($O38="","",$O38-$P38-$L38)</f>
        <v/>
      </c>
      <c r="R38" s="7" t="str">
        <f aca="false">IF(OR($Q38="",N($D38)&lt;=0),"",$Q38/$D38)</f>
        <v/>
      </c>
      <c r="S38" s="4"/>
    </row>
    <row r="39" customFormat="false" ht="15" hidden="false" customHeight="false" outlineLevel="0" collapsed="false">
      <c r="A39" s="4"/>
      <c r="B39" s="4"/>
      <c r="C39" s="5"/>
      <c r="D39" s="6"/>
      <c r="E39" s="6"/>
      <c r="F39" s="7" t="str">
        <f aca="false">IF(COUNT($C39:$D39)&lt;2,"",$C39*Settings!$B$7)</f>
        <v/>
      </c>
      <c r="G39" s="7" t="str">
        <f aca="false">IF(COUNT($C39:$D39)&lt;2,"",$D39*Settings!$B$8)</f>
        <v/>
      </c>
      <c r="H39" s="7" t="str">
        <f aca="false">IF(COUNT($C39:$D39)&lt;2,"",($F39+$G39)*Settings!$B$9)</f>
        <v/>
      </c>
      <c r="I39" s="7" t="str">
        <f aca="false">IF(COUNT($C39:$D39)&lt;2,"",Settings!$B$11/60*Settings!$B$10)</f>
        <v/>
      </c>
      <c r="J39" s="7" t="str">
        <f aca="false">IF(COUNT($C39:$D39)&lt;2,"",N($E39)*Settings!$B$10+IF($B39="Painted",Settings!$B$12,0))</f>
        <v/>
      </c>
      <c r="K39" s="7" t="str">
        <f aca="false">IF(COUNT($C39:$D39)&lt;2,"",Settings!$B$13+Settings!$B$14)</f>
        <v/>
      </c>
      <c r="L39" s="7" t="str">
        <f aca="false">IF(COUNT($C39:$D39)&lt;2,"",SUM($F39:$K39))</f>
        <v/>
      </c>
      <c r="M39" s="8" t="str">
        <f aca="false">IF(OR(COUNT($C39:$D39)&lt;2,$B39=""),"",IFERROR(INDEX(Settings!$B$21:$B$23,MATCH($B39,Settings!$A$21:$A$23,0)),""))</f>
        <v/>
      </c>
      <c r="N39" s="7" t="str">
        <f aca="false">IF(OR($L39="",$M39=""),"",$L39*$M39)</f>
        <v/>
      </c>
      <c r="O39" s="9" t="str">
        <f aca="false">IF($N39="","",IF(Settings!$B$17&gt;0,CEILING(($N39+Settings!$B$16)/(1-Settings!$B$15),Settings!$B$17),($N39+Settings!$B$16)/(1-Settings!$B$15)))</f>
        <v/>
      </c>
      <c r="P39" s="7" t="str">
        <f aca="false">IF($O39="","",$O39*Settings!$B$15+Settings!$B$16)</f>
        <v/>
      </c>
      <c r="Q39" s="7" t="str">
        <f aca="false">IF($O39="","",$O39-$P39-$L39)</f>
        <v/>
      </c>
      <c r="R39" s="7" t="str">
        <f aca="false">IF(OR($Q39="",N($D39)&lt;=0),"",$Q39/$D39)</f>
        <v/>
      </c>
      <c r="S39" s="4"/>
    </row>
    <row r="40" customFormat="false" ht="15" hidden="false" customHeight="false" outlineLevel="0" collapsed="false">
      <c r="A40" s="4"/>
      <c r="B40" s="4"/>
      <c r="C40" s="5"/>
      <c r="D40" s="6"/>
      <c r="E40" s="6"/>
      <c r="F40" s="7" t="str">
        <f aca="false">IF(COUNT($C40:$D40)&lt;2,"",$C40*Settings!$B$7)</f>
        <v/>
      </c>
      <c r="G40" s="7" t="str">
        <f aca="false">IF(COUNT($C40:$D40)&lt;2,"",$D40*Settings!$B$8)</f>
        <v/>
      </c>
      <c r="H40" s="7" t="str">
        <f aca="false">IF(COUNT($C40:$D40)&lt;2,"",($F40+$G40)*Settings!$B$9)</f>
        <v/>
      </c>
      <c r="I40" s="7" t="str">
        <f aca="false">IF(COUNT($C40:$D40)&lt;2,"",Settings!$B$11/60*Settings!$B$10)</f>
        <v/>
      </c>
      <c r="J40" s="7" t="str">
        <f aca="false">IF(COUNT($C40:$D40)&lt;2,"",N($E40)*Settings!$B$10+IF($B40="Painted",Settings!$B$12,0))</f>
        <v/>
      </c>
      <c r="K40" s="7" t="str">
        <f aca="false">IF(COUNT($C40:$D40)&lt;2,"",Settings!$B$13+Settings!$B$14)</f>
        <v/>
      </c>
      <c r="L40" s="7" t="str">
        <f aca="false">IF(COUNT($C40:$D40)&lt;2,"",SUM($F40:$K40))</f>
        <v/>
      </c>
      <c r="M40" s="8" t="str">
        <f aca="false">IF(OR(COUNT($C40:$D40)&lt;2,$B40=""),"",IFERROR(INDEX(Settings!$B$21:$B$23,MATCH($B40,Settings!$A$21:$A$23,0)),""))</f>
        <v/>
      </c>
      <c r="N40" s="7" t="str">
        <f aca="false">IF(OR($L40="",$M40=""),"",$L40*$M40)</f>
        <v/>
      </c>
      <c r="O40" s="9" t="str">
        <f aca="false">IF($N40="","",IF(Settings!$B$17&gt;0,CEILING(($N40+Settings!$B$16)/(1-Settings!$B$15),Settings!$B$17),($N40+Settings!$B$16)/(1-Settings!$B$15)))</f>
        <v/>
      </c>
      <c r="P40" s="7" t="str">
        <f aca="false">IF($O40="","",$O40*Settings!$B$15+Settings!$B$16)</f>
        <v/>
      </c>
      <c r="Q40" s="7" t="str">
        <f aca="false">IF($O40="","",$O40-$P40-$L40)</f>
        <v/>
      </c>
      <c r="R40" s="7" t="str">
        <f aca="false">IF(OR($Q40="",N($D40)&lt;=0),"",$Q40/$D40)</f>
        <v/>
      </c>
      <c r="S40" s="4"/>
    </row>
    <row r="41" customFormat="false" ht="15" hidden="false" customHeight="false" outlineLevel="0" collapsed="false">
      <c r="A41" s="4"/>
      <c r="B41" s="4"/>
      <c r="C41" s="5"/>
      <c r="D41" s="6"/>
      <c r="E41" s="6"/>
      <c r="F41" s="7" t="str">
        <f aca="false">IF(COUNT($C41:$D41)&lt;2,"",$C41*Settings!$B$7)</f>
        <v/>
      </c>
      <c r="G41" s="7" t="str">
        <f aca="false">IF(COUNT($C41:$D41)&lt;2,"",$D41*Settings!$B$8)</f>
        <v/>
      </c>
      <c r="H41" s="7" t="str">
        <f aca="false">IF(COUNT($C41:$D41)&lt;2,"",($F41+$G41)*Settings!$B$9)</f>
        <v/>
      </c>
      <c r="I41" s="7" t="str">
        <f aca="false">IF(COUNT($C41:$D41)&lt;2,"",Settings!$B$11/60*Settings!$B$10)</f>
        <v/>
      </c>
      <c r="J41" s="7" t="str">
        <f aca="false">IF(COUNT($C41:$D41)&lt;2,"",N($E41)*Settings!$B$10+IF($B41="Painted",Settings!$B$12,0))</f>
        <v/>
      </c>
      <c r="K41" s="7" t="str">
        <f aca="false">IF(COUNT($C41:$D41)&lt;2,"",Settings!$B$13+Settings!$B$14)</f>
        <v/>
      </c>
      <c r="L41" s="7" t="str">
        <f aca="false">IF(COUNT($C41:$D41)&lt;2,"",SUM($F41:$K41))</f>
        <v/>
      </c>
      <c r="M41" s="8" t="str">
        <f aca="false">IF(OR(COUNT($C41:$D41)&lt;2,$B41=""),"",IFERROR(INDEX(Settings!$B$21:$B$23,MATCH($B41,Settings!$A$21:$A$23,0)),""))</f>
        <v/>
      </c>
      <c r="N41" s="7" t="str">
        <f aca="false">IF(OR($L41="",$M41=""),"",$L41*$M41)</f>
        <v/>
      </c>
      <c r="O41" s="9" t="str">
        <f aca="false">IF($N41="","",IF(Settings!$B$17&gt;0,CEILING(($N41+Settings!$B$16)/(1-Settings!$B$15),Settings!$B$17),($N41+Settings!$B$16)/(1-Settings!$B$15)))</f>
        <v/>
      </c>
      <c r="P41" s="7" t="str">
        <f aca="false">IF($O41="","",$O41*Settings!$B$15+Settings!$B$16)</f>
        <v/>
      </c>
      <c r="Q41" s="7" t="str">
        <f aca="false">IF($O41="","",$O41-$P41-$L41)</f>
        <v/>
      </c>
      <c r="R41" s="7" t="str">
        <f aca="false">IF(OR($Q41="",N($D41)&lt;=0),"",$Q41/$D41)</f>
        <v/>
      </c>
      <c r="S41" s="4"/>
    </row>
    <row r="42" customFormat="false" ht="15" hidden="false" customHeight="false" outlineLevel="0" collapsed="false">
      <c r="A42" s="4"/>
      <c r="B42" s="4"/>
      <c r="C42" s="5"/>
      <c r="D42" s="6"/>
      <c r="E42" s="6"/>
      <c r="F42" s="7" t="str">
        <f aca="false">IF(COUNT($C42:$D42)&lt;2,"",$C42*Settings!$B$7)</f>
        <v/>
      </c>
      <c r="G42" s="7" t="str">
        <f aca="false">IF(COUNT($C42:$D42)&lt;2,"",$D42*Settings!$B$8)</f>
        <v/>
      </c>
      <c r="H42" s="7" t="str">
        <f aca="false">IF(COUNT($C42:$D42)&lt;2,"",($F42+$G42)*Settings!$B$9)</f>
        <v/>
      </c>
      <c r="I42" s="7" t="str">
        <f aca="false">IF(COUNT($C42:$D42)&lt;2,"",Settings!$B$11/60*Settings!$B$10)</f>
        <v/>
      </c>
      <c r="J42" s="7" t="str">
        <f aca="false">IF(COUNT($C42:$D42)&lt;2,"",N($E42)*Settings!$B$10+IF($B42="Painted",Settings!$B$12,0))</f>
        <v/>
      </c>
      <c r="K42" s="7" t="str">
        <f aca="false">IF(COUNT($C42:$D42)&lt;2,"",Settings!$B$13+Settings!$B$14)</f>
        <v/>
      </c>
      <c r="L42" s="7" t="str">
        <f aca="false">IF(COUNT($C42:$D42)&lt;2,"",SUM($F42:$K42))</f>
        <v/>
      </c>
      <c r="M42" s="8" t="str">
        <f aca="false">IF(OR(COUNT($C42:$D42)&lt;2,$B42=""),"",IFERROR(INDEX(Settings!$B$21:$B$23,MATCH($B42,Settings!$A$21:$A$23,0)),""))</f>
        <v/>
      </c>
      <c r="N42" s="7" t="str">
        <f aca="false">IF(OR($L42="",$M42=""),"",$L42*$M42)</f>
        <v/>
      </c>
      <c r="O42" s="9" t="str">
        <f aca="false">IF($N42="","",IF(Settings!$B$17&gt;0,CEILING(($N42+Settings!$B$16)/(1-Settings!$B$15),Settings!$B$17),($N42+Settings!$B$16)/(1-Settings!$B$15)))</f>
        <v/>
      </c>
      <c r="P42" s="7" t="str">
        <f aca="false">IF($O42="","",$O42*Settings!$B$15+Settings!$B$16)</f>
        <v/>
      </c>
      <c r="Q42" s="7" t="str">
        <f aca="false">IF($O42="","",$O42-$P42-$L42)</f>
        <v/>
      </c>
      <c r="R42" s="7" t="str">
        <f aca="false">IF(OR($Q42="",N($D42)&lt;=0),"",$Q42/$D42)</f>
        <v/>
      </c>
      <c r="S42" s="4"/>
    </row>
    <row r="43" customFormat="false" ht="15" hidden="false" customHeight="false" outlineLevel="0" collapsed="false">
      <c r="A43" s="4"/>
      <c r="B43" s="4"/>
      <c r="C43" s="5"/>
      <c r="D43" s="6"/>
      <c r="E43" s="6"/>
      <c r="F43" s="7" t="str">
        <f aca="false">IF(COUNT($C43:$D43)&lt;2,"",$C43*Settings!$B$7)</f>
        <v/>
      </c>
      <c r="G43" s="7" t="str">
        <f aca="false">IF(COUNT($C43:$D43)&lt;2,"",$D43*Settings!$B$8)</f>
        <v/>
      </c>
      <c r="H43" s="7" t="str">
        <f aca="false">IF(COUNT($C43:$D43)&lt;2,"",($F43+$G43)*Settings!$B$9)</f>
        <v/>
      </c>
      <c r="I43" s="7" t="str">
        <f aca="false">IF(COUNT($C43:$D43)&lt;2,"",Settings!$B$11/60*Settings!$B$10)</f>
        <v/>
      </c>
      <c r="J43" s="7" t="str">
        <f aca="false">IF(COUNT($C43:$D43)&lt;2,"",N($E43)*Settings!$B$10+IF($B43="Painted",Settings!$B$12,0))</f>
        <v/>
      </c>
      <c r="K43" s="7" t="str">
        <f aca="false">IF(COUNT($C43:$D43)&lt;2,"",Settings!$B$13+Settings!$B$14)</f>
        <v/>
      </c>
      <c r="L43" s="7" t="str">
        <f aca="false">IF(COUNT($C43:$D43)&lt;2,"",SUM($F43:$K43))</f>
        <v/>
      </c>
      <c r="M43" s="8" t="str">
        <f aca="false">IF(OR(COUNT($C43:$D43)&lt;2,$B43=""),"",IFERROR(INDEX(Settings!$B$21:$B$23,MATCH($B43,Settings!$A$21:$A$23,0)),""))</f>
        <v/>
      </c>
      <c r="N43" s="7" t="str">
        <f aca="false">IF(OR($L43="",$M43=""),"",$L43*$M43)</f>
        <v/>
      </c>
      <c r="O43" s="9" t="str">
        <f aca="false">IF($N43="","",IF(Settings!$B$17&gt;0,CEILING(($N43+Settings!$B$16)/(1-Settings!$B$15),Settings!$B$17),($N43+Settings!$B$16)/(1-Settings!$B$15)))</f>
        <v/>
      </c>
      <c r="P43" s="7" t="str">
        <f aca="false">IF($O43="","",$O43*Settings!$B$15+Settings!$B$16)</f>
        <v/>
      </c>
      <c r="Q43" s="7" t="str">
        <f aca="false">IF($O43="","",$O43-$P43-$L43)</f>
        <v/>
      </c>
      <c r="R43" s="7" t="str">
        <f aca="false">IF(OR($Q43="",N($D43)&lt;=0),"",$Q43/$D43)</f>
        <v/>
      </c>
      <c r="S43" s="4"/>
    </row>
    <row r="44" customFormat="false" ht="15" hidden="false" customHeight="false" outlineLevel="0" collapsed="false">
      <c r="A44" s="4"/>
      <c r="B44" s="4"/>
      <c r="C44" s="5"/>
      <c r="D44" s="6"/>
      <c r="E44" s="6"/>
      <c r="F44" s="7" t="str">
        <f aca="false">IF(COUNT($C44:$D44)&lt;2,"",$C44*Settings!$B$7)</f>
        <v/>
      </c>
      <c r="G44" s="7" t="str">
        <f aca="false">IF(COUNT($C44:$D44)&lt;2,"",$D44*Settings!$B$8)</f>
        <v/>
      </c>
      <c r="H44" s="7" t="str">
        <f aca="false">IF(COUNT($C44:$D44)&lt;2,"",($F44+$G44)*Settings!$B$9)</f>
        <v/>
      </c>
      <c r="I44" s="7" t="str">
        <f aca="false">IF(COUNT($C44:$D44)&lt;2,"",Settings!$B$11/60*Settings!$B$10)</f>
        <v/>
      </c>
      <c r="J44" s="7" t="str">
        <f aca="false">IF(COUNT($C44:$D44)&lt;2,"",N($E44)*Settings!$B$10+IF($B44="Painted",Settings!$B$12,0))</f>
        <v/>
      </c>
      <c r="K44" s="7" t="str">
        <f aca="false">IF(COUNT($C44:$D44)&lt;2,"",Settings!$B$13+Settings!$B$14)</f>
        <v/>
      </c>
      <c r="L44" s="7" t="str">
        <f aca="false">IF(COUNT($C44:$D44)&lt;2,"",SUM($F44:$K44))</f>
        <v/>
      </c>
      <c r="M44" s="8" t="str">
        <f aca="false">IF(OR(COUNT($C44:$D44)&lt;2,$B44=""),"",IFERROR(INDEX(Settings!$B$21:$B$23,MATCH($B44,Settings!$A$21:$A$23,0)),""))</f>
        <v/>
      </c>
      <c r="N44" s="7" t="str">
        <f aca="false">IF(OR($L44="",$M44=""),"",$L44*$M44)</f>
        <v/>
      </c>
      <c r="O44" s="9" t="str">
        <f aca="false">IF($N44="","",IF(Settings!$B$17&gt;0,CEILING(($N44+Settings!$B$16)/(1-Settings!$B$15),Settings!$B$17),($N44+Settings!$B$16)/(1-Settings!$B$15)))</f>
        <v/>
      </c>
      <c r="P44" s="7" t="str">
        <f aca="false">IF($O44="","",$O44*Settings!$B$15+Settings!$B$16)</f>
        <v/>
      </c>
      <c r="Q44" s="7" t="str">
        <f aca="false">IF($O44="","",$O44-$P44-$L44)</f>
        <v/>
      </c>
      <c r="R44" s="7" t="str">
        <f aca="false">IF(OR($Q44="",N($D44)&lt;=0),"",$Q44/$D44)</f>
        <v/>
      </c>
      <c r="S44" s="4"/>
    </row>
    <row r="45" customFormat="false" ht="15" hidden="false" customHeight="false" outlineLevel="0" collapsed="false">
      <c r="A45" s="4"/>
      <c r="B45" s="4"/>
      <c r="C45" s="5"/>
      <c r="D45" s="6"/>
      <c r="E45" s="6"/>
      <c r="F45" s="7" t="str">
        <f aca="false">IF(COUNT($C45:$D45)&lt;2,"",$C45*Settings!$B$7)</f>
        <v/>
      </c>
      <c r="G45" s="7" t="str">
        <f aca="false">IF(COUNT($C45:$D45)&lt;2,"",$D45*Settings!$B$8)</f>
        <v/>
      </c>
      <c r="H45" s="7" t="str">
        <f aca="false">IF(COUNT($C45:$D45)&lt;2,"",($F45+$G45)*Settings!$B$9)</f>
        <v/>
      </c>
      <c r="I45" s="7" t="str">
        <f aca="false">IF(COUNT($C45:$D45)&lt;2,"",Settings!$B$11/60*Settings!$B$10)</f>
        <v/>
      </c>
      <c r="J45" s="7" t="str">
        <f aca="false">IF(COUNT($C45:$D45)&lt;2,"",N($E45)*Settings!$B$10+IF($B45="Painted",Settings!$B$12,0))</f>
        <v/>
      </c>
      <c r="K45" s="7" t="str">
        <f aca="false">IF(COUNT($C45:$D45)&lt;2,"",Settings!$B$13+Settings!$B$14)</f>
        <v/>
      </c>
      <c r="L45" s="7" t="str">
        <f aca="false">IF(COUNT($C45:$D45)&lt;2,"",SUM($F45:$K45))</f>
        <v/>
      </c>
      <c r="M45" s="8" t="str">
        <f aca="false">IF(OR(COUNT($C45:$D45)&lt;2,$B45=""),"",IFERROR(INDEX(Settings!$B$21:$B$23,MATCH($B45,Settings!$A$21:$A$23,0)),""))</f>
        <v/>
      </c>
      <c r="N45" s="7" t="str">
        <f aca="false">IF(OR($L45="",$M45=""),"",$L45*$M45)</f>
        <v/>
      </c>
      <c r="O45" s="9" t="str">
        <f aca="false">IF($N45="","",IF(Settings!$B$17&gt;0,CEILING(($N45+Settings!$B$16)/(1-Settings!$B$15),Settings!$B$17),($N45+Settings!$B$16)/(1-Settings!$B$15)))</f>
        <v/>
      </c>
      <c r="P45" s="7" t="str">
        <f aca="false">IF($O45="","",$O45*Settings!$B$15+Settings!$B$16)</f>
        <v/>
      </c>
      <c r="Q45" s="7" t="str">
        <f aca="false">IF($O45="","",$O45-$P45-$L45)</f>
        <v/>
      </c>
      <c r="R45" s="7" t="str">
        <f aca="false">IF(OR($Q45="",N($D45)&lt;=0),"",$Q45/$D45)</f>
        <v/>
      </c>
      <c r="S45" s="4"/>
    </row>
    <row r="46" customFormat="false" ht="15" hidden="false" customHeight="false" outlineLevel="0" collapsed="false">
      <c r="A46" s="4"/>
      <c r="B46" s="4"/>
      <c r="C46" s="5"/>
      <c r="D46" s="6"/>
      <c r="E46" s="6"/>
      <c r="F46" s="7" t="str">
        <f aca="false">IF(COUNT($C46:$D46)&lt;2,"",$C46*Settings!$B$7)</f>
        <v/>
      </c>
      <c r="G46" s="7" t="str">
        <f aca="false">IF(COUNT($C46:$D46)&lt;2,"",$D46*Settings!$B$8)</f>
        <v/>
      </c>
      <c r="H46" s="7" t="str">
        <f aca="false">IF(COUNT($C46:$D46)&lt;2,"",($F46+$G46)*Settings!$B$9)</f>
        <v/>
      </c>
      <c r="I46" s="7" t="str">
        <f aca="false">IF(COUNT($C46:$D46)&lt;2,"",Settings!$B$11/60*Settings!$B$10)</f>
        <v/>
      </c>
      <c r="J46" s="7" t="str">
        <f aca="false">IF(COUNT($C46:$D46)&lt;2,"",N($E46)*Settings!$B$10+IF($B46="Painted",Settings!$B$12,0))</f>
        <v/>
      </c>
      <c r="K46" s="7" t="str">
        <f aca="false">IF(COUNT($C46:$D46)&lt;2,"",Settings!$B$13+Settings!$B$14)</f>
        <v/>
      </c>
      <c r="L46" s="7" t="str">
        <f aca="false">IF(COUNT($C46:$D46)&lt;2,"",SUM($F46:$K46))</f>
        <v/>
      </c>
      <c r="M46" s="8" t="str">
        <f aca="false">IF(OR(COUNT($C46:$D46)&lt;2,$B46=""),"",IFERROR(INDEX(Settings!$B$21:$B$23,MATCH($B46,Settings!$A$21:$A$23,0)),""))</f>
        <v/>
      </c>
      <c r="N46" s="7" t="str">
        <f aca="false">IF(OR($L46="",$M46=""),"",$L46*$M46)</f>
        <v/>
      </c>
      <c r="O46" s="9" t="str">
        <f aca="false">IF($N46="","",IF(Settings!$B$17&gt;0,CEILING(($N46+Settings!$B$16)/(1-Settings!$B$15),Settings!$B$17),($N46+Settings!$B$16)/(1-Settings!$B$15)))</f>
        <v/>
      </c>
      <c r="P46" s="7" t="str">
        <f aca="false">IF($O46="","",$O46*Settings!$B$15+Settings!$B$16)</f>
        <v/>
      </c>
      <c r="Q46" s="7" t="str">
        <f aca="false">IF($O46="","",$O46-$P46-$L46)</f>
        <v/>
      </c>
      <c r="R46" s="7" t="str">
        <f aca="false">IF(OR($Q46="",N($D46)&lt;=0),"",$Q46/$D46)</f>
        <v/>
      </c>
      <c r="S46" s="4"/>
    </row>
    <row r="47" customFormat="false" ht="15" hidden="false" customHeight="false" outlineLevel="0" collapsed="false">
      <c r="A47" s="4"/>
      <c r="B47" s="4"/>
      <c r="C47" s="5"/>
      <c r="D47" s="6"/>
      <c r="E47" s="6"/>
      <c r="F47" s="7" t="str">
        <f aca="false">IF(COUNT($C47:$D47)&lt;2,"",$C47*Settings!$B$7)</f>
        <v/>
      </c>
      <c r="G47" s="7" t="str">
        <f aca="false">IF(COUNT($C47:$D47)&lt;2,"",$D47*Settings!$B$8)</f>
        <v/>
      </c>
      <c r="H47" s="7" t="str">
        <f aca="false">IF(COUNT($C47:$D47)&lt;2,"",($F47+$G47)*Settings!$B$9)</f>
        <v/>
      </c>
      <c r="I47" s="7" t="str">
        <f aca="false">IF(COUNT($C47:$D47)&lt;2,"",Settings!$B$11/60*Settings!$B$10)</f>
        <v/>
      </c>
      <c r="J47" s="7" t="str">
        <f aca="false">IF(COUNT($C47:$D47)&lt;2,"",N($E47)*Settings!$B$10+IF($B47="Painted",Settings!$B$12,0))</f>
        <v/>
      </c>
      <c r="K47" s="7" t="str">
        <f aca="false">IF(COUNT($C47:$D47)&lt;2,"",Settings!$B$13+Settings!$B$14)</f>
        <v/>
      </c>
      <c r="L47" s="7" t="str">
        <f aca="false">IF(COUNT($C47:$D47)&lt;2,"",SUM($F47:$K47))</f>
        <v/>
      </c>
      <c r="M47" s="8" t="str">
        <f aca="false">IF(OR(COUNT($C47:$D47)&lt;2,$B47=""),"",IFERROR(INDEX(Settings!$B$21:$B$23,MATCH($B47,Settings!$A$21:$A$23,0)),""))</f>
        <v/>
      </c>
      <c r="N47" s="7" t="str">
        <f aca="false">IF(OR($L47="",$M47=""),"",$L47*$M47)</f>
        <v/>
      </c>
      <c r="O47" s="9" t="str">
        <f aca="false">IF($N47="","",IF(Settings!$B$17&gt;0,CEILING(($N47+Settings!$B$16)/(1-Settings!$B$15),Settings!$B$17),($N47+Settings!$B$16)/(1-Settings!$B$15)))</f>
        <v/>
      </c>
      <c r="P47" s="7" t="str">
        <f aca="false">IF($O47="","",$O47*Settings!$B$15+Settings!$B$16)</f>
        <v/>
      </c>
      <c r="Q47" s="7" t="str">
        <f aca="false">IF($O47="","",$O47-$P47-$L47)</f>
        <v/>
      </c>
      <c r="R47" s="7" t="str">
        <f aca="false">IF(OR($Q47="",N($D47)&lt;=0),"",$Q47/$D47)</f>
        <v/>
      </c>
      <c r="S47" s="4"/>
    </row>
    <row r="48" customFormat="false" ht="15" hidden="false" customHeight="false" outlineLevel="0" collapsed="false">
      <c r="A48" s="4"/>
      <c r="B48" s="4"/>
      <c r="C48" s="5"/>
      <c r="D48" s="6"/>
      <c r="E48" s="6"/>
      <c r="F48" s="7" t="str">
        <f aca="false">IF(COUNT($C48:$D48)&lt;2,"",$C48*Settings!$B$7)</f>
        <v/>
      </c>
      <c r="G48" s="7" t="str">
        <f aca="false">IF(COUNT($C48:$D48)&lt;2,"",$D48*Settings!$B$8)</f>
        <v/>
      </c>
      <c r="H48" s="7" t="str">
        <f aca="false">IF(COUNT($C48:$D48)&lt;2,"",($F48+$G48)*Settings!$B$9)</f>
        <v/>
      </c>
      <c r="I48" s="7" t="str">
        <f aca="false">IF(COUNT($C48:$D48)&lt;2,"",Settings!$B$11/60*Settings!$B$10)</f>
        <v/>
      </c>
      <c r="J48" s="7" t="str">
        <f aca="false">IF(COUNT($C48:$D48)&lt;2,"",N($E48)*Settings!$B$10+IF($B48="Painted",Settings!$B$12,0))</f>
        <v/>
      </c>
      <c r="K48" s="7" t="str">
        <f aca="false">IF(COUNT($C48:$D48)&lt;2,"",Settings!$B$13+Settings!$B$14)</f>
        <v/>
      </c>
      <c r="L48" s="7" t="str">
        <f aca="false">IF(COUNT($C48:$D48)&lt;2,"",SUM($F48:$K48))</f>
        <v/>
      </c>
      <c r="M48" s="8" t="str">
        <f aca="false">IF(OR(COUNT($C48:$D48)&lt;2,$B48=""),"",IFERROR(INDEX(Settings!$B$21:$B$23,MATCH($B48,Settings!$A$21:$A$23,0)),""))</f>
        <v/>
      </c>
      <c r="N48" s="7" t="str">
        <f aca="false">IF(OR($L48="",$M48=""),"",$L48*$M48)</f>
        <v/>
      </c>
      <c r="O48" s="9" t="str">
        <f aca="false">IF($N48="","",IF(Settings!$B$17&gt;0,CEILING(($N48+Settings!$B$16)/(1-Settings!$B$15),Settings!$B$17),($N48+Settings!$B$16)/(1-Settings!$B$15)))</f>
        <v/>
      </c>
      <c r="P48" s="7" t="str">
        <f aca="false">IF($O48="","",$O48*Settings!$B$15+Settings!$B$16)</f>
        <v/>
      </c>
      <c r="Q48" s="7" t="str">
        <f aca="false">IF($O48="","",$O48-$P48-$L48)</f>
        <v/>
      </c>
      <c r="R48" s="7" t="str">
        <f aca="false">IF(OR($Q48="",N($D48)&lt;=0),"",$Q48/$D48)</f>
        <v/>
      </c>
      <c r="S48" s="4"/>
    </row>
    <row r="49" customFormat="false" ht="15" hidden="false" customHeight="false" outlineLevel="0" collapsed="false">
      <c r="A49" s="4"/>
      <c r="B49" s="4"/>
      <c r="C49" s="5"/>
      <c r="D49" s="6"/>
      <c r="E49" s="6"/>
      <c r="F49" s="7" t="str">
        <f aca="false">IF(COUNT($C49:$D49)&lt;2,"",$C49*Settings!$B$7)</f>
        <v/>
      </c>
      <c r="G49" s="7" t="str">
        <f aca="false">IF(COUNT($C49:$D49)&lt;2,"",$D49*Settings!$B$8)</f>
        <v/>
      </c>
      <c r="H49" s="7" t="str">
        <f aca="false">IF(COUNT($C49:$D49)&lt;2,"",($F49+$G49)*Settings!$B$9)</f>
        <v/>
      </c>
      <c r="I49" s="7" t="str">
        <f aca="false">IF(COUNT($C49:$D49)&lt;2,"",Settings!$B$11/60*Settings!$B$10)</f>
        <v/>
      </c>
      <c r="J49" s="7" t="str">
        <f aca="false">IF(COUNT($C49:$D49)&lt;2,"",N($E49)*Settings!$B$10+IF($B49="Painted",Settings!$B$12,0))</f>
        <v/>
      </c>
      <c r="K49" s="7" t="str">
        <f aca="false">IF(COUNT($C49:$D49)&lt;2,"",Settings!$B$13+Settings!$B$14)</f>
        <v/>
      </c>
      <c r="L49" s="7" t="str">
        <f aca="false">IF(COUNT($C49:$D49)&lt;2,"",SUM($F49:$K49))</f>
        <v/>
      </c>
      <c r="M49" s="8" t="str">
        <f aca="false">IF(OR(COUNT($C49:$D49)&lt;2,$B49=""),"",IFERROR(INDEX(Settings!$B$21:$B$23,MATCH($B49,Settings!$A$21:$A$23,0)),""))</f>
        <v/>
      </c>
      <c r="N49" s="7" t="str">
        <f aca="false">IF(OR($L49="",$M49=""),"",$L49*$M49)</f>
        <v/>
      </c>
      <c r="O49" s="9" t="str">
        <f aca="false">IF($N49="","",IF(Settings!$B$17&gt;0,CEILING(($N49+Settings!$B$16)/(1-Settings!$B$15),Settings!$B$17),($N49+Settings!$B$16)/(1-Settings!$B$15)))</f>
        <v/>
      </c>
      <c r="P49" s="7" t="str">
        <f aca="false">IF($O49="","",$O49*Settings!$B$15+Settings!$B$16)</f>
        <v/>
      </c>
      <c r="Q49" s="7" t="str">
        <f aca="false">IF($O49="","",$O49-$P49-$L49)</f>
        <v/>
      </c>
      <c r="R49" s="7" t="str">
        <f aca="false">IF(OR($Q49="",N($D49)&lt;=0),"",$Q49/$D49)</f>
        <v/>
      </c>
      <c r="S49" s="4"/>
    </row>
    <row r="50" customFormat="false" ht="15" hidden="false" customHeight="false" outlineLevel="0" collapsed="false">
      <c r="A50" s="4"/>
      <c r="B50" s="4"/>
      <c r="C50" s="5"/>
      <c r="D50" s="6"/>
      <c r="E50" s="6"/>
      <c r="F50" s="7" t="str">
        <f aca="false">IF(COUNT($C50:$D50)&lt;2,"",$C50*Settings!$B$7)</f>
        <v/>
      </c>
      <c r="G50" s="7" t="str">
        <f aca="false">IF(COUNT($C50:$D50)&lt;2,"",$D50*Settings!$B$8)</f>
        <v/>
      </c>
      <c r="H50" s="7" t="str">
        <f aca="false">IF(COUNT($C50:$D50)&lt;2,"",($F50+$G50)*Settings!$B$9)</f>
        <v/>
      </c>
      <c r="I50" s="7" t="str">
        <f aca="false">IF(COUNT($C50:$D50)&lt;2,"",Settings!$B$11/60*Settings!$B$10)</f>
        <v/>
      </c>
      <c r="J50" s="7" t="str">
        <f aca="false">IF(COUNT($C50:$D50)&lt;2,"",N($E50)*Settings!$B$10+IF($B50="Painted",Settings!$B$12,0))</f>
        <v/>
      </c>
      <c r="K50" s="7" t="str">
        <f aca="false">IF(COUNT($C50:$D50)&lt;2,"",Settings!$B$13+Settings!$B$14)</f>
        <v/>
      </c>
      <c r="L50" s="7" t="str">
        <f aca="false">IF(COUNT($C50:$D50)&lt;2,"",SUM($F50:$K50))</f>
        <v/>
      </c>
      <c r="M50" s="8" t="str">
        <f aca="false">IF(OR(COUNT($C50:$D50)&lt;2,$B50=""),"",IFERROR(INDEX(Settings!$B$21:$B$23,MATCH($B50,Settings!$A$21:$A$23,0)),""))</f>
        <v/>
      </c>
      <c r="N50" s="7" t="str">
        <f aca="false">IF(OR($L50="",$M50=""),"",$L50*$M50)</f>
        <v/>
      </c>
      <c r="O50" s="9" t="str">
        <f aca="false">IF($N50="","",IF(Settings!$B$17&gt;0,CEILING(($N50+Settings!$B$16)/(1-Settings!$B$15),Settings!$B$17),($N50+Settings!$B$16)/(1-Settings!$B$15)))</f>
        <v/>
      </c>
      <c r="P50" s="7" t="str">
        <f aca="false">IF($O50="","",$O50*Settings!$B$15+Settings!$B$16)</f>
        <v/>
      </c>
      <c r="Q50" s="7" t="str">
        <f aca="false">IF($O50="","",$O50-$P50-$L50)</f>
        <v/>
      </c>
      <c r="R50" s="7" t="str">
        <f aca="false">IF(OR($Q50="",N($D50)&lt;=0),"",$Q50/$D50)</f>
        <v/>
      </c>
      <c r="S50" s="4"/>
    </row>
    <row r="51" customFormat="false" ht="15" hidden="false" customHeight="false" outlineLevel="0" collapsed="false">
      <c r="A51" s="4"/>
      <c r="B51" s="4"/>
      <c r="C51" s="5"/>
      <c r="D51" s="6"/>
      <c r="E51" s="6"/>
      <c r="F51" s="7" t="str">
        <f aca="false">IF(COUNT($C51:$D51)&lt;2,"",$C51*Settings!$B$7)</f>
        <v/>
      </c>
      <c r="G51" s="7" t="str">
        <f aca="false">IF(COUNT($C51:$D51)&lt;2,"",$D51*Settings!$B$8)</f>
        <v/>
      </c>
      <c r="H51" s="7" t="str">
        <f aca="false">IF(COUNT($C51:$D51)&lt;2,"",($F51+$G51)*Settings!$B$9)</f>
        <v/>
      </c>
      <c r="I51" s="7" t="str">
        <f aca="false">IF(COUNT($C51:$D51)&lt;2,"",Settings!$B$11/60*Settings!$B$10)</f>
        <v/>
      </c>
      <c r="J51" s="7" t="str">
        <f aca="false">IF(COUNT($C51:$D51)&lt;2,"",N($E51)*Settings!$B$10+IF($B51="Painted",Settings!$B$12,0))</f>
        <v/>
      </c>
      <c r="K51" s="7" t="str">
        <f aca="false">IF(COUNT($C51:$D51)&lt;2,"",Settings!$B$13+Settings!$B$14)</f>
        <v/>
      </c>
      <c r="L51" s="7" t="str">
        <f aca="false">IF(COUNT($C51:$D51)&lt;2,"",SUM($F51:$K51))</f>
        <v/>
      </c>
      <c r="M51" s="8" t="str">
        <f aca="false">IF(OR(COUNT($C51:$D51)&lt;2,$B51=""),"",IFERROR(INDEX(Settings!$B$21:$B$23,MATCH($B51,Settings!$A$21:$A$23,0)),""))</f>
        <v/>
      </c>
      <c r="N51" s="7" t="str">
        <f aca="false">IF(OR($L51="",$M51=""),"",$L51*$M51)</f>
        <v/>
      </c>
      <c r="O51" s="9" t="str">
        <f aca="false">IF($N51="","",IF(Settings!$B$17&gt;0,CEILING(($N51+Settings!$B$16)/(1-Settings!$B$15),Settings!$B$17),($N51+Settings!$B$16)/(1-Settings!$B$15)))</f>
        <v/>
      </c>
      <c r="P51" s="7" t="str">
        <f aca="false">IF($O51="","",$O51*Settings!$B$15+Settings!$B$16)</f>
        <v/>
      </c>
      <c r="Q51" s="7" t="str">
        <f aca="false">IF($O51="","",$O51-$P51-$L51)</f>
        <v/>
      </c>
      <c r="R51" s="7" t="str">
        <f aca="false">IF(OR($Q51="",N($D51)&lt;=0),"",$Q51/$D51)</f>
        <v/>
      </c>
      <c r="S51" s="4"/>
    </row>
    <row r="52" customFormat="false" ht="15" hidden="false" customHeight="false" outlineLevel="0" collapsed="false">
      <c r="A52" s="4"/>
      <c r="B52" s="4"/>
      <c r="C52" s="5"/>
      <c r="D52" s="6"/>
      <c r="E52" s="6"/>
      <c r="F52" s="7" t="str">
        <f aca="false">IF(COUNT($C52:$D52)&lt;2,"",$C52*Settings!$B$7)</f>
        <v/>
      </c>
      <c r="G52" s="7" t="str">
        <f aca="false">IF(COUNT($C52:$D52)&lt;2,"",$D52*Settings!$B$8)</f>
        <v/>
      </c>
      <c r="H52" s="7" t="str">
        <f aca="false">IF(COUNT($C52:$D52)&lt;2,"",($F52+$G52)*Settings!$B$9)</f>
        <v/>
      </c>
      <c r="I52" s="7" t="str">
        <f aca="false">IF(COUNT($C52:$D52)&lt;2,"",Settings!$B$11/60*Settings!$B$10)</f>
        <v/>
      </c>
      <c r="J52" s="7" t="str">
        <f aca="false">IF(COUNT($C52:$D52)&lt;2,"",N($E52)*Settings!$B$10+IF($B52="Painted",Settings!$B$12,0))</f>
        <v/>
      </c>
      <c r="K52" s="7" t="str">
        <f aca="false">IF(COUNT($C52:$D52)&lt;2,"",Settings!$B$13+Settings!$B$14)</f>
        <v/>
      </c>
      <c r="L52" s="7" t="str">
        <f aca="false">IF(COUNT($C52:$D52)&lt;2,"",SUM($F52:$K52))</f>
        <v/>
      </c>
      <c r="M52" s="8" t="str">
        <f aca="false">IF(OR(COUNT($C52:$D52)&lt;2,$B52=""),"",IFERROR(INDEX(Settings!$B$21:$B$23,MATCH($B52,Settings!$A$21:$A$23,0)),""))</f>
        <v/>
      </c>
      <c r="N52" s="7" t="str">
        <f aca="false">IF(OR($L52="",$M52=""),"",$L52*$M52)</f>
        <v/>
      </c>
      <c r="O52" s="9" t="str">
        <f aca="false">IF($N52="","",IF(Settings!$B$17&gt;0,CEILING(($N52+Settings!$B$16)/(1-Settings!$B$15),Settings!$B$17),($N52+Settings!$B$16)/(1-Settings!$B$15)))</f>
        <v/>
      </c>
      <c r="P52" s="7" t="str">
        <f aca="false">IF($O52="","",$O52*Settings!$B$15+Settings!$B$16)</f>
        <v/>
      </c>
      <c r="Q52" s="7" t="str">
        <f aca="false">IF($O52="","",$O52-$P52-$L52)</f>
        <v/>
      </c>
      <c r="R52" s="7" t="str">
        <f aca="false">IF(OR($Q52="",N($D52)&lt;=0),"",$Q52/$D52)</f>
        <v/>
      </c>
      <c r="S52" s="4"/>
    </row>
    <row r="53" customFormat="false" ht="15" hidden="false" customHeight="false" outlineLevel="0" collapsed="false">
      <c r="A53" s="4"/>
      <c r="B53" s="4"/>
      <c r="C53" s="5"/>
      <c r="D53" s="6"/>
      <c r="E53" s="6"/>
      <c r="F53" s="7" t="str">
        <f aca="false">IF(COUNT($C53:$D53)&lt;2,"",$C53*Settings!$B$7)</f>
        <v/>
      </c>
      <c r="G53" s="7" t="str">
        <f aca="false">IF(COUNT($C53:$D53)&lt;2,"",$D53*Settings!$B$8)</f>
        <v/>
      </c>
      <c r="H53" s="7" t="str">
        <f aca="false">IF(COUNT($C53:$D53)&lt;2,"",($F53+$G53)*Settings!$B$9)</f>
        <v/>
      </c>
      <c r="I53" s="7" t="str">
        <f aca="false">IF(COUNT($C53:$D53)&lt;2,"",Settings!$B$11/60*Settings!$B$10)</f>
        <v/>
      </c>
      <c r="J53" s="7" t="str">
        <f aca="false">IF(COUNT($C53:$D53)&lt;2,"",N($E53)*Settings!$B$10+IF($B53="Painted",Settings!$B$12,0))</f>
        <v/>
      </c>
      <c r="K53" s="7" t="str">
        <f aca="false">IF(COUNT($C53:$D53)&lt;2,"",Settings!$B$13+Settings!$B$14)</f>
        <v/>
      </c>
      <c r="L53" s="7" t="str">
        <f aca="false">IF(COUNT($C53:$D53)&lt;2,"",SUM($F53:$K53))</f>
        <v/>
      </c>
      <c r="M53" s="8" t="str">
        <f aca="false">IF(OR(COUNT($C53:$D53)&lt;2,$B53=""),"",IFERROR(INDEX(Settings!$B$21:$B$23,MATCH($B53,Settings!$A$21:$A$23,0)),""))</f>
        <v/>
      </c>
      <c r="N53" s="7" t="str">
        <f aca="false">IF(OR($L53="",$M53=""),"",$L53*$M53)</f>
        <v/>
      </c>
      <c r="O53" s="9" t="str">
        <f aca="false">IF($N53="","",IF(Settings!$B$17&gt;0,CEILING(($N53+Settings!$B$16)/(1-Settings!$B$15),Settings!$B$17),($N53+Settings!$B$16)/(1-Settings!$B$15)))</f>
        <v/>
      </c>
      <c r="P53" s="7" t="str">
        <f aca="false">IF($O53="","",$O53*Settings!$B$15+Settings!$B$16)</f>
        <v/>
      </c>
      <c r="Q53" s="7" t="str">
        <f aca="false">IF($O53="","",$O53-$P53-$L53)</f>
        <v/>
      </c>
      <c r="R53" s="7" t="str">
        <f aca="false">IF(OR($Q53="",N($D53)&lt;=0),"",$Q53/$D53)</f>
        <v/>
      </c>
      <c r="S53" s="4"/>
    </row>
    <row r="54" customFormat="false" ht="15" hidden="false" customHeight="false" outlineLevel="0" collapsed="false">
      <c r="A54" s="4"/>
      <c r="B54" s="4"/>
      <c r="C54" s="5"/>
      <c r="D54" s="6"/>
      <c r="E54" s="6"/>
      <c r="F54" s="7" t="str">
        <f aca="false">IF(COUNT($C54:$D54)&lt;2,"",$C54*Settings!$B$7)</f>
        <v/>
      </c>
      <c r="G54" s="7" t="str">
        <f aca="false">IF(COUNT($C54:$D54)&lt;2,"",$D54*Settings!$B$8)</f>
        <v/>
      </c>
      <c r="H54" s="7" t="str">
        <f aca="false">IF(COUNT($C54:$D54)&lt;2,"",($F54+$G54)*Settings!$B$9)</f>
        <v/>
      </c>
      <c r="I54" s="7" t="str">
        <f aca="false">IF(COUNT($C54:$D54)&lt;2,"",Settings!$B$11/60*Settings!$B$10)</f>
        <v/>
      </c>
      <c r="J54" s="7" t="str">
        <f aca="false">IF(COUNT($C54:$D54)&lt;2,"",N($E54)*Settings!$B$10+IF($B54="Painted",Settings!$B$12,0))</f>
        <v/>
      </c>
      <c r="K54" s="7" t="str">
        <f aca="false">IF(COUNT($C54:$D54)&lt;2,"",Settings!$B$13+Settings!$B$14)</f>
        <v/>
      </c>
      <c r="L54" s="7" t="str">
        <f aca="false">IF(COUNT($C54:$D54)&lt;2,"",SUM($F54:$K54))</f>
        <v/>
      </c>
      <c r="M54" s="8" t="str">
        <f aca="false">IF(OR(COUNT($C54:$D54)&lt;2,$B54=""),"",IFERROR(INDEX(Settings!$B$21:$B$23,MATCH($B54,Settings!$A$21:$A$23,0)),""))</f>
        <v/>
      </c>
      <c r="N54" s="7" t="str">
        <f aca="false">IF(OR($L54="",$M54=""),"",$L54*$M54)</f>
        <v/>
      </c>
      <c r="O54" s="9" t="str">
        <f aca="false">IF($N54="","",IF(Settings!$B$17&gt;0,CEILING(($N54+Settings!$B$16)/(1-Settings!$B$15),Settings!$B$17),($N54+Settings!$B$16)/(1-Settings!$B$15)))</f>
        <v/>
      </c>
      <c r="P54" s="7" t="str">
        <f aca="false">IF($O54="","",$O54*Settings!$B$15+Settings!$B$16)</f>
        <v/>
      </c>
      <c r="Q54" s="7" t="str">
        <f aca="false">IF($O54="","",$O54-$P54-$L54)</f>
        <v/>
      </c>
      <c r="R54" s="7" t="str">
        <f aca="false">IF(OR($Q54="",N($D54)&lt;=0),"",$Q54/$D54)</f>
        <v/>
      </c>
      <c r="S54" s="4"/>
    </row>
  </sheetData>
  <conditionalFormatting sqref="Q5:R54">
    <cfRule type="cellIs" priority="2" operator="lessThan" aboveAverage="0" equalAverage="0" bottom="0" percent="0" rank="0" text="" dxfId="0">
      <formula>0</formula>
    </cfRule>
  </conditionalFormatting>
  <dataValidations count="2">
    <dataValidation allowBlank="true" error="Choose Unpainted, Multicolor or Painted from the dropdown." errorStyle="stop" errorTitle="Pick a version" operator="between" showDropDown="false" showErrorMessage="true" showInputMessage="false" sqref="B5:B54" type="list">
      <formula1>"Unpainted,Multicolor,Painted"</formula1>
      <formula2>0</formula2>
    </dataValidation>
    <dataValidation allowBlank="true" error="Enter a number of 0 or more." errorStyle="stop" errorTitle="Number needed" operator="greaterThanOrEqual" showDropDown="false" showErrorMessage="true" showInputMessage="false" sqref="C5:E5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10" t="s">
        <v>33</v>
      </c>
      <c r="B4" s="10" t="s">
        <v>34</v>
      </c>
      <c r="C4" s="10" t="s">
        <v>35</v>
      </c>
    </row>
    <row r="5" customFormat="false" ht="15" hidden="false" customHeight="false" outlineLevel="0" collapsed="false">
      <c r="A5" s="11" t="s">
        <v>36</v>
      </c>
      <c r="B5" s="12" t="n">
        <v>20</v>
      </c>
      <c r="C5" s="13" t="s">
        <v>37</v>
      </c>
    </row>
    <row r="6" customFormat="false" ht="15" hidden="false" customHeight="false" outlineLevel="0" collapsed="false">
      <c r="A6" s="11" t="s">
        <v>38</v>
      </c>
      <c r="B6" s="14" t="n">
        <v>1000</v>
      </c>
      <c r="C6" s="13" t="s">
        <v>39</v>
      </c>
    </row>
    <row r="7" customFormat="false" ht="15" hidden="false" customHeight="false" outlineLevel="0" collapsed="false">
      <c r="A7" s="11" t="s">
        <v>40</v>
      </c>
      <c r="B7" s="15" t="n">
        <f aca="false">IF(B6&gt;0,B5/B6,0)</f>
        <v>0.02</v>
      </c>
      <c r="C7" s="13" t="s">
        <v>41</v>
      </c>
    </row>
    <row r="8" customFormat="false" ht="15" hidden="false" customHeight="false" outlineLevel="0" collapsed="false">
      <c r="A8" s="11" t="s">
        <v>42</v>
      </c>
      <c r="B8" s="12" t="n">
        <v>0.5</v>
      </c>
      <c r="C8" s="13" t="s">
        <v>43</v>
      </c>
    </row>
    <row r="9" customFormat="false" ht="15" hidden="false" customHeight="false" outlineLevel="0" collapsed="false">
      <c r="A9" s="11" t="s">
        <v>44</v>
      </c>
      <c r="B9" s="16" t="n">
        <v>0.1</v>
      </c>
      <c r="C9" s="13" t="s">
        <v>45</v>
      </c>
    </row>
    <row r="10" customFormat="false" ht="15" hidden="false" customHeight="false" outlineLevel="0" collapsed="false">
      <c r="A10" s="11" t="s">
        <v>46</v>
      </c>
      <c r="B10" s="12" t="n">
        <v>20</v>
      </c>
      <c r="C10" s="13" t="s">
        <v>47</v>
      </c>
    </row>
    <row r="11" customFormat="false" ht="15" hidden="false" customHeight="false" outlineLevel="0" collapsed="false">
      <c r="A11" s="11" t="s">
        <v>48</v>
      </c>
      <c r="B11" s="14" t="n">
        <v>30</v>
      </c>
      <c r="C11" s="13" t="s">
        <v>49</v>
      </c>
    </row>
    <row r="12" customFormat="false" ht="15" hidden="false" customHeight="false" outlineLevel="0" collapsed="false">
      <c r="A12" s="11" t="s">
        <v>50</v>
      </c>
      <c r="B12" s="12" t="n">
        <v>5</v>
      </c>
      <c r="C12" s="13" t="s">
        <v>51</v>
      </c>
    </row>
    <row r="13" customFormat="false" ht="15" hidden="false" customHeight="false" outlineLevel="0" collapsed="false">
      <c r="A13" s="11" t="s">
        <v>52</v>
      </c>
      <c r="B13" s="12" t="n">
        <v>1.5</v>
      </c>
      <c r="C13" s="13" t="s">
        <v>53</v>
      </c>
    </row>
    <row r="14" customFormat="false" ht="15" hidden="false" customHeight="false" outlineLevel="0" collapsed="false">
      <c r="A14" s="11" t="s">
        <v>54</v>
      </c>
      <c r="B14" s="12" t="n">
        <v>2</v>
      </c>
      <c r="C14" s="13" t="s">
        <v>55</v>
      </c>
    </row>
    <row r="15" customFormat="false" ht="23.85" hidden="false" customHeight="false" outlineLevel="0" collapsed="false">
      <c r="A15" s="11" t="s">
        <v>56</v>
      </c>
      <c r="B15" s="16" t="n">
        <v>0.095</v>
      </c>
      <c r="C15" s="13" t="s">
        <v>57</v>
      </c>
    </row>
    <row r="16" customFormat="false" ht="15" hidden="false" customHeight="false" outlineLevel="0" collapsed="false">
      <c r="A16" s="11" t="s">
        <v>58</v>
      </c>
      <c r="B16" s="12" t="n">
        <v>0.45</v>
      </c>
      <c r="C16" s="13" t="s">
        <v>59</v>
      </c>
    </row>
    <row r="17" customFormat="false" ht="15" hidden="false" customHeight="false" outlineLevel="0" collapsed="false">
      <c r="A17" s="11" t="s">
        <v>60</v>
      </c>
      <c r="B17" s="12" t="n">
        <v>5</v>
      </c>
      <c r="C17" s="13" t="s">
        <v>61</v>
      </c>
    </row>
    <row r="19" customFormat="false" ht="15" hidden="false" customHeight="false" outlineLevel="0" collapsed="false">
      <c r="A19" s="17" t="s">
        <v>62</v>
      </c>
    </row>
    <row r="20" customFormat="false" ht="15" hidden="false" customHeight="false" outlineLevel="0" collapsed="false">
      <c r="A20" s="10" t="s">
        <v>4</v>
      </c>
      <c r="B20" s="10" t="s">
        <v>15</v>
      </c>
      <c r="C20" s="10" t="s">
        <v>63</v>
      </c>
    </row>
    <row r="21" customFormat="false" ht="15" hidden="false" customHeight="false" outlineLevel="0" collapsed="false">
      <c r="A21" s="11" t="s">
        <v>23</v>
      </c>
      <c r="B21" s="18" t="n">
        <v>2</v>
      </c>
      <c r="C21" s="13" t="s">
        <v>64</v>
      </c>
    </row>
    <row r="22" customFormat="false" ht="15" hidden="false" customHeight="false" outlineLevel="0" collapsed="false">
      <c r="A22" s="11" t="s">
        <v>26</v>
      </c>
      <c r="B22" s="18" t="n">
        <v>2.5</v>
      </c>
      <c r="C22" s="13" t="s">
        <v>65</v>
      </c>
    </row>
    <row r="23" customFormat="false" ht="15" hidden="false" customHeight="false" outlineLevel="0" collapsed="false">
      <c r="A23" s="11" t="s">
        <v>29</v>
      </c>
      <c r="B23" s="18" t="n">
        <v>1.5</v>
      </c>
      <c r="C23" s="13" t="s">
        <v>66</v>
      </c>
    </row>
    <row r="24" customFormat="false" ht="15" hidden="false" customHeight="false" outlineLevel="0" collapsed="false">
      <c r="A24" s="2" t="s">
        <v>67</v>
      </c>
    </row>
    <row r="25" customFormat="false" ht="15" hidden="false" customHeight="false" outlineLevel="0" collapsed="false">
      <c r="A25" s="2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9" t="s">
        <v>69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70</v>
      </c>
    </row>
    <row r="4" customFormat="false" ht="15" hidden="false" customHeight="false" outlineLevel="0" collapsed="false">
      <c r="A4" s="20" t="s">
        <v>71</v>
      </c>
    </row>
    <row r="5" customFormat="false" ht="15" hidden="false" customHeight="false" outlineLevel="0" collapsed="false">
      <c r="A5" s="20" t="s">
        <v>72</v>
      </c>
    </row>
    <row r="6" customFormat="false" ht="15" hidden="false" customHeight="false" outlineLevel="0" collapsed="false">
      <c r="A6" s="20" t="s">
        <v>73</v>
      </c>
    </row>
    <row r="7" customFormat="false" ht="15" hidden="false" customHeight="false" outlineLevel="0" collapsed="false">
      <c r="A7" s="20" t="s">
        <v>74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1" t="s">
        <v>75</v>
      </c>
    </row>
    <row r="10" customFormat="false" ht="15" hidden="false" customHeight="false" outlineLevel="0" collapsed="false">
      <c r="A10" s="20" t="s">
        <v>76</v>
      </c>
    </row>
    <row r="11" customFormat="false" ht="15" hidden="false" customHeight="false" outlineLevel="0" collapsed="false">
      <c r="A11" s="20" t="s">
        <v>77</v>
      </c>
    </row>
    <row r="12" customFormat="false" ht="15" hidden="false" customHeight="false" outlineLevel="0" collapsed="false">
      <c r="A12" s="20" t="s">
        <v>78</v>
      </c>
    </row>
    <row r="13" customFormat="false" ht="15" hidden="false" customHeight="false" outlineLevel="0" collapsed="false">
      <c r="A13" s="20" t="s">
        <v>79</v>
      </c>
    </row>
    <row r="14" customFormat="false" ht="15" hidden="false" customHeight="false" outlineLevel="0" collapsed="false">
      <c r="A14" s="20" t="s">
        <v>80</v>
      </c>
    </row>
    <row r="15" customFormat="false" ht="15" hidden="false" customHeight="false" outlineLevel="0" collapsed="false">
      <c r="A15" s="20"/>
    </row>
    <row r="16" customFormat="false" ht="15" hidden="false" customHeight="false" outlineLevel="0" collapsed="false">
      <c r="A16" s="21" t="s">
        <v>81</v>
      </c>
    </row>
    <row r="17" customFormat="false" ht="15" hidden="false" customHeight="false" outlineLevel="0" collapsed="false">
      <c r="A17" s="2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2026-10-05T20:01:16Z</dcterms:created>
  <dc:creator>openpyxl</dc:creator>
  <dc:description/>
  <dc:language>en-US</dc:language>
  <cp:lastModifiedBy/>
  <dcterms:modified xsi:type="dcterms:W3CDTF">2026-10-05T20:01:16Z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